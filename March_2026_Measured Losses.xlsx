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vnishchoubey\OneDrive\Desktop\March_2026_Gen._Analysis\"/>
    </mc:Choice>
  </mc:AlternateContent>
  <xr:revisionPtr revIDLastSave="0" documentId="13_ncr:1_{5AACD988-9F6A-4263-8E97-300233CD76A2}" xr6:coauthVersionLast="47" xr6:coauthVersionMax="47" xr10:uidLastSave="{00000000-0000-0000-0000-000000000000}"/>
  <bookViews>
    <workbookView xWindow="-110" yWindow="-110" windowWidth="19420" windowHeight="10300" xr2:uid="{7D2ABB2B-E487-4CE2-A9D6-00A584529668}"/>
  </bookViews>
  <sheets>
    <sheet name="March_2026" sheetId="9"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3" i="9" l="1"/>
  <c r="C34" i="9"/>
  <c r="F18" i="9"/>
  <c r="H19" i="9"/>
  <c r="G18" i="9"/>
  <c r="G19" i="9"/>
  <c r="G20" i="9"/>
  <c r="G21" i="9"/>
  <c r="G22" i="9"/>
  <c r="G23" i="9"/>
  <c r="G24" i="9"/>
  <c r="G25" i="9"/>
  <c r="G26" i="9"/>
  <c r="G27" i="9"/>
  <c r="G28" i="9"/>
  <c r="G29" i="9"/>
  <c r="G30" i="9"/>
  <c r="G31" i="9"/>
  <c r="G32" i="9"/>
  <c r="G17" i="9"/>
  <c r="F13" i="9"/>
  <c r="F14" i="9"/>
  <c r="E33" i="9"/>
  <c r="E34" i="9" s="1"/>
  <c r="D33" i="9"/>
  <c r="B33" i="9"/>
  <c r="F33" i="9" s="1"/>
  <c r="L32" i="9"/>
  <c r="K32" i="9"/>
  <c r="J32" i="9"/>
  <c r="I32" i="9"/>
  <c r="H32" i="9"/>
  <c r="F32" i="9"/>
  <c r="L31" i="9"/>
  <c r="K31" i="9"/>
  <c r="J31" i="9"/>
  <c r="I31" i="9"/>
  <c r="H31" i="9"/>
  <c r="F31" i="9"/>
  <c r="L30" i="9"/>
  <c r="K30" i="9"/>
  <c r="J30" i="9"/>
  <c r="I30" i="9"/>
  <c r="H30" i="9"/>
  <c r="F30" i="9"/>
  <c r="L29" i="9"/>
  <c r="K29" i="9"/>
  <c r="J29" i="9"/>
  <c r="I29" i="9"/>
  <c r="H29" i="9"/>
  <c r="F29" i="9"/>
  <c r="L28" i="9"/>
  <c r="K28" i="9"/>
  <c r="J28" i="9"/>
  <c r="I28" i="9"/>
  <c r="H28" i="9"/>
  <c r="F28" i="9"/>
  <c r="L27" i="9"/>
  <c r="K27" i="9"/>
  <c r="J27" i="9"/>
  <c r="I27" i="9"/>
  <c r="H27" i="9"/>
  <c r="F27" i="9"/>
  <c r="L26" i="9"/>
  <c r="K26" i="9"/>
  <c r="J26" i="9"/>
  <c r="I26" i="9"/>
  <c r="H26" i="9"/>
  <c r="F26" i="9"/>
  <c r="L25" i="9"/>
  <c r="K25" i="9"/>
  <c r="J25" i="9"/>
  <c r="I25" i="9"/>
  <c r="H25" i="9"/>
  <c r="F25" i="9"/>
  <c r="L24" i="9"/>
  <c r="K24" i="9"/>
  <c r="J24" i="9"/>
  <c r="I24" i="9"/>
  <c r="H24" i="9"/>
  <c r="F24" i="9"/>
  <c r="L23" i="9"/>
  <c r="K23" i="9"/>
  <c r="J23" i="9"/>
  <c r="I23" i="9"/>
  <c r="H23" i="9"/>
  <c r="F23" i="9"/>
  <c r="L22" i="9"/>
  <c r="K22" i="9"/>
  <c r="J22" i="9"/>
  <c r="I22" i="9"/>
  <c r="H22" i="9"/>
  <c r="F22" i="9"/>
  <c r="L21" i="9"/>
  <c r="K21" i="9"/>
  <c r="J21" i="9"/>
  <c r="I21" i="9"/>
  <c r="H21" i="9"/>
  <c r="F21" i="9"/>
  <c r="L20" i="9"/>
  <c r="K20" i="9"/>
  <c r="J20" i="9"/>
  <c r="I20" i="9"/>
  <c r="H20" i="9"/>
  <c r="F20" i="9"/>
  <c r="L19" i="9"/>
  <c r="K19" i="9"/>
  <c r="J19" i="9"/>
  <c r="I19" i="9"/>
  <c r="F19" i="9"/>
  <c r="L18" i="9"/>
  <c r="K18" i="9"/>
  <c r="J18" i="9"/>
  <c r="I18" i="9"/>
  <c r="H18" i="9"/>
  <c r="L17" i="9"/>
  <c r="K17" i="9"/>
  <c r="J17" i="9"/>
  <c r="I17" i="9"/>
  <c r="H17" i="9"/>
  <c r="F17" i="9"/>
  <c r="L16" i="9"/>
  <c r="K16" i="9"/>
  <c r="J16" i="9"/>
  <c r="I16" i="9"/>
  <c r="H16" i="9"/>
  <c r="G16" i="9"/>
  <c r="F16" i="9"/>
  <c r="L15" i="9"/>
  <c r="K15" i="9"/>
  <c r="J15" i="9"/>
  <c r="I15" i="9"/>
  <c r="H15" i="9"/>
  <c r="G15" i="9"/>
  <c r="F15" i="9"/>
  <c r="L14" i="9"/>
  <c r="K14" i="9"/>
  <c r="J14" i="9"/>
  <c r="I14" i="9"/>
  <c r="H14" i="9"/>
  <c r="G14" i="9"/>
  <c r="L13" i="9"/>
  <c r="K13" i="9"/>
  <c r="J13" i="9"/>
  <c r="I13" i="9"/>
  <c r="H13" i="9"/>
  <c r="G13" i="9"/>
  <c r="L12" i="9"/>
  <c r="K12" i="9"/>
  <c r="J12" i="9"/>
  <c r="I12" i="9"/>
  <c r="H12" i="9"/>
  <c r="G12" i="9"/>
  <c r="F12" i="9"/>
  <c r="L11" i="9"/>
  <c r="K11" i="9"/>
  <c r="J11" i="9"/>
  <c r="I11" i="9"/>
  <c r="H11" i="9"/>
  <c r="G11" i="9"/>
  <c r="F11" i="9"/>
  <c r="L10" i="9"/>
  <c r="K10" i="9"/>
  <c r="J10" i="9"/>
  <c r="I10" i="9"/>
  <c r="H10" i="9"/>
  <c r="G10" i="9"/>
  <c r="F10" i="9"/>
  <c r="L9" i="9"/>
  <c r="K9" i="9"/>
  <c r="J9" i="9"/>
  <c r="I9" i="9"/>
  <c r="H9" i="9"/>
  <c r="G9" i="9"/>
  <c r="F9" i="9"/>
  <c r="L8" i="9"/>
  <c r="K8" i="9"/>
  <c r="J8" i="9"/>
  <c r="I8" i="9"/>
  <c r="H8" i="9"/>
  <c r="G8" i="9"/>
  <c r="F8" i="9"/>
  <c r="L7" i="9"/>
  <c r="K7" i="9"/>
  <c r="J7" i="9"/>
  <c r="I7" i="9"/>
  <c r="H7" i="9"/>
  <c r="G7" i="9"/>
  <c r="F7" i="9"/>
  <c r="L6" i="9"/>
  <c r="K6" i="9"/>
  <c r="J6" i="9"/>
  <c r="I6" i="9"/>
  <c r="H6" i="9"/>
  <c r="G6" i="9"/>
  <c r="F6" i="9"/>
  <c r="L5" i="9"/>
  <c r="K5" i="9"/>
  <c r="J5" i="9"/>
  <c r="I5" i="9"/>
  <c r="H5" i="9"/>
  <c r="G5" i="9"/>
  <c r="F5" i="9"/>
  <c r="L4" i="9"/>
  <c r="K4" i="9"/>
  <c r="J4" i="9"/>
  <c r="I4" i="9"/>
  <c r="H4" i="9"/>
  <c r="G4" i="9"/>
  <c r="F4" i="9"/>
  <c r="L3" i="9"/>
  <c r="K3" i="9"/>
  <c r="J3" i="9"/>
  <c r="I3" i="9"/>
  <c r="H3" i="9"/>
  <c r="G3" i="9"/>
  <c r="F3" i="9"/>
  <c r="L2" i="9"/>
  <c r="K2" i="9"/>
  <c r="J2" i="9"/>
  <c r="I2" i="9"/>
  <c r="H2" i="9"/>
  <c r="G2" i="9"/>
  <c r="F2" i="9"/>
  <c r="L33" i="9" l="1"/>
  <c r="K33" i="9"/>
  <c r="I33" i="9"/>
  <c r="G33" i="9"/>
  <c r="J33" i="9"/>
  <c r="H33" i="9"/>
</calcChain>
</file>

<file path=xl/sharedStrings.xml><?xml version="1.0" encoding="utf-8"?>
<sst xmlns="http://schemas.openxmlformats.org/spreadsheetml/2006/main" count="54" uniqueCount="52">
  <si>
    <t>Date</t>
  </si>
  <si>
    <t>Remarks</t>
  </si>
  <si>
    <t>Total</t>
  </si>
  <si>
    <t>Expected</t>
  </si>
  <si>
    <t>Inv. Loss(kWh), %age</t>
  </si>
  <si>
    <t>AC Loss(Inv. to MFM)   %age</t>
  </si>
  <si>
    <t>TL Line loss %age ( MFM to Main meter)</t>
  </si>
  <si>
    <t>Energy Loss(kWh), IG vs MFM</t>
  </si>
  <si>
    <t>Energy Loss(kWh), MFM-Main meter</t>
  </si>
  <si>
    <t>Energy loss(kwh), (IG O/P to main meter)</t>
  </si>
  <si>
    <t>% Losses (IG O/P-MM)</t>
  </si>
  <si>
    <t>Generation(kWh) at Inv. O/P, DGR</t>
  </si>
  <si>
    <t>MFM reading(kWh), DGR</t>
  </si>
  <si>
    <t>Main meter reading(kWh), DGR</t>
  </si>
  <si>
    <t>_</t>
  </si>
  <si>
    <t>Generation(kWh) at Inv. I/P, actual</t>
  </si>
  <si>
    <t>1st March_2026</t>
  </si>
  <si>
    <t>2nd March_2026</t>
  </si>
  <si>
    <t>3rd March_2026</t>
  </si>
  <si>
    <t>4th March_2026</t>
  </si>
  <si>
    <t xml:space="preserve"> </t>
  </si>
  <si>
    <t>5th March_2026</t>
  </si>
  <si>
    <t>6th March_2026</t>
  </si>
  <si>
    <t>7th March_2026</t>
  </si>
  <si>
    <t>8th March_2026</t>
  </si>
  <si>
    <t>9th March_2026</t>
  </si>
  <si>
    <t>10th March_2026</t>
  </si>
  <si>
    <t>11th March_2026</t>
  </si>
  <si>
    <t>12th March_2026</t>
  </si>
  <si>
    <t>13th March_2026</t>
  </si>
  <si>
    <t>14th March_2026</t>
  </si>
  <si>
    <t>15th March_2026</t>
  </si>
  <si>
    <t>Generation(kWh) at Inv. I/P, actual - DATA MISSING</t>
  </si>
  <si>
    <t>16th March_2026</t>
  </si>
  <si>
    <t>17th March_2026</t>
  </si>
  <si>
    <t>Generation(kWh) at Inv. Input- DATA MISSING due to trackSo Work</t>
  </si>
  <si>
    <t>18th March_2026</t>
  </si>
  <si>
    <t>19th March_2026</t>
  </si>
  <si>
    <t>20th March_2026</t>
  </si>
  <si>
    <t>21st March_2026</t>
  </si>
  <si>
    <t>22nd March_2026</t>
  </si>
  <si>
    <t>23rd March_2026</t>
  </si>
  <si>
    <t>24th March_2026</t>
  </si>
  <si>
    <t>Inv. Loss is showing high because 3,4, datas of inv. data are missed due to this inv. input ke gen. add nhi huye hai jo miss huye hai but output me already add ho jaate hai. kyuki output me daily energy section from trackSo wale data use karte hai analysis ke liye jisme ki energy har 10 min. ka add hote rehta hai esa input ke case me nahi hai</t>
  </si>
  <si>
    <t>25th March_2026</t>
  </si>
  <si>
    <t>26th March_2026</t>
  </si>
  <si>
    <t>27th March_2026</t>
  </si>
  <si>
    <t>28th March_2026</t>
  </si>
  <si>
    <t>Inv. 3, 5 &amp; 7 was offline on trackSo from 14:40 to 19:00, that's why Inv. input energy data is very less here</t>
  </si>
  <si>
    <t>29th March_2026</t>
  </si>
  <si>
    <t>30th March_2026</t>
  </si>
  <si>
    <t>31st March_2026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</si>
</sst>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4"/>
      <color theme="0"/>
      <name val="Aptos Narrow"/>
      <family val="2"/>
      <scheme val="minor"/>
    </font>
    <font>
      <b/>
      <sz val="11"/>
      <color theme="1"/>
      <name val="Aptos Narrow"/>
      <family val="2"/>
      <scheme val="minor"/>
    </font>
    <font>
      <b/>
      <sz val="11"/>
      <color theme="0"/>
      <name val="Aptos Narrow"/>
      <family val="2"/>
      <scheme val="minor"/>
    </font>
    <font>
      <b/>
      <sz val="11"/>
      <color theme="1"/>
      <name val="Aptos Narrow"/>
      <family val="2"/>
      <scheme val="minor"/>
    </font>
  </fonts>
  <fills count="6">
    <fill>
      <patternFill patternType="none"/>
    </fill>
    <fill>
      <patternFill patternType="gray125"/>
    </fill>
    <fill>
      <patternFill patternType="solid">
        <fgColor rgb="FF00B0F0"/>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style="medium">
        <color indexed="64"/>
      </top>
      <bottom/>
      <diagonal/>
    </border>
  </borders>
  <cellStyleXfs count="1">
    <xf numFmtId="0" fontId="0" fillId="0" borderId="0"/>
  </cellStyleXfs>
  <cellXfs count="17">
    <xf numFmtId="0" fontId="0" fillId="0" borderId="0" xfId="0"/>
    <xf numFmtId="0" fontId="1" fillId="2" borderId="3" xfId="0" applyFont="1" applyFill="1" applyBorder="1" applyAlignment="1">
      <alignment horizontal="center" vertical="center" wrapText="1" indent="1"/>
    </xf>
    <xf numFmtId="0" fontId="1" fillId="2" borderId="4" xfId="0" applyFont="1" applyFill="1" applyBorder="1" applyAlignment="1">
      <alignment horizontal="center" vertical="center" wrapText="1" indent="1"/>
    </xf>
    <xf numFmtId="0" fontId="1" fillId="2" borderId="5" xfId="0" applyFont="1" applyFill="1" applyBorder="1" applyAlignment="1">
      <alignment horizontal="center" vertical="center" wrapText="1" indent="1"/>
    </xf>
    <xf numFmtId="0" fontId="1" fillId="2" borderId="2" xfId="0" applyFont="1" applyFill="1" applyBorder="1" applyAlignment="1">
      <alignment horizontal="center" vertical="center" wrapText="1" indent="1"/>
    </xf>
    <xf numFmtId="0" fontId="1" fillId="2" borderId="8" xfId="0" applyFont="1" applyFill="1" applyBorder="1" applyAlignment="1">
      <alignment horizontal="center" vertical="center" wrapText="1" indent="1"/>
    </xf>
    <xf numFmtId="0" fontId="3" fillId="5"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6" xfId="0" applyFont="1" applyBorder="1" applyAlignment="1">
      <alignment horizontal="center" vertical="center" wrapText="1"/>
    </xf>
    <xf numFmtId="0" fontId="2" fillId="0" borderId="1" xfId="0" applyFont="1" applyBorder="1" applyAlignment="1">
      <alignment horizontal="center" vertical="center"/>
    </xf>
    <xf numFmtId="10" fontId="2" fillId="0" borderId="1" xfId="0" applyNumberFormat="1" applyFont="1" applyBorder="1" applyAlignment="1">
      <alignment horizontal="center" vertical="center"/>
    </xf>
    <xf numFmtId="0" fontId="2" fillId="0" borderId="7" xfId="0" applyFont="1" applyBorder="1" applyAlignment="1">
      <alignment horizontal="center" vertical="center"/>
    </xf>
    <xf numFmtId="0" fontId="2" fillId="3" borderId="6" xfId="0" applyFont="1" applyFill="1" applyBorder="1" applyAlignment="1">
      <alignment horizontal="center" vertical="center"/>
    </xf>
    <xf numFmtId="0" fontId="2" fillId="4" borderId="6" xfId="0" applyFont="1" applyFill="1" applyBorder="1" applyAlignment="1">
      <alignment horizontal="center" vertical="center"/>
    </xf>
    <xf numFmtId="0" fontId="2" fillId="0" borderId="6" xfId="0" applyFont="1" applyBorder="1" applyAlignment="1">
      <alignment horizontal="center" vertical="center"/>
    </xf>
    <xf numFmtId="0" fontId="2" fillId="0" borderId="6" xfId="0" applyFont="1" applyBorder="1" applyAlignment="1">
      <alignment vertical="center"/>
    </xf>
    <xf numFmtId="0" fontId="4" fillId="0" borderId="6" xfId="0" applyFont="1" applyBorder="1" applyAlignment="1">
      <alignment horizontal="center" vertical="center" wrapText="1"/>
    </xf>
  </cellXfs>
  <cellStyles count="1">
    <cellStyle name="Normal" xfId="0" builtinId="0"/>
  </cellStyles>
  <dxfs count="1">
    <dxf>
      <font>
        <color theme="0"/>
      </font>
      <fill>
        <patternFill patternType="solid">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March_2026!$F$1</c:f>
              <c:strCache>
                <c:ptCount val="1"/>
                <c:pt idx="0">
                  <c:v>Inv. Loss(kWh), %age</c:v>
                </c:pt>
              </c:strCache>
            </c:strRef>
          </c:tx>
          <c:spPr>
            <a:ln w="28575" cap="rnd">
              <a:solidFill>
                <a:schemeClr val="accent1"/>
              </a:solidFill>
              <a:round/>
            </a:ln>
            <a:effectLst/>
          </c:spPr>
          <c:marker>
            <c:symbol val="circle"/>
            <c:size val="8"/>
            <c:spPr>
              <a:solidFill>
                <a:srgbClr val="FF0000"/>
              </a:solidFill>
              <a:ln w="9525">
                <a:solidFill>
                  <a:srgbClr val="0E2841"/>
                </a:solidFill>
                <a:prstDash val="solid"/>
              </a:ln>
              <a:effectLst/>
            </c:spPr>
          </c:marker>
          <c:cat>
            <c:strRef>
              <c:f>March_2026!$A$2:$A$32</c:f>
              <c:strCache>
                <c:ptCount val="31"/>
                <c:pt idx="0">
                  <c:v>1st March_2026</c:v>
                </c:pt>
                <c:pt idx="1">
                  <c:v>2nd March_2026</c:v>
                </c:pt>
                <c:pt idx="2">
                  <c:v>3rd March_2026</c:v>
                </c:pt>
                <c:pt idx="3">
                  <c:v>4th March_2026</c:v>
                </c:pt>
                <c:pt idx="4">
                  <c:v>5th March_2026</c:v>
                </c:pt>
                <c:pt idx="5">
                  <c:v>6th March_2026</c:v>
                </c:pt>
                <c:pt idx="6">
                  <c:v>7th March_2026</c:v>
                </c:pt>
                <c:pt idx="7">
                  <c:v>8th March_2026</c:v>
                </c:pt>
                <c:pt idx="8">
                  <c:v>9th March_2026</c:v>
                </c:pt>
                <c:pt idx="9">
                  <c:v>10th March_2026</c:v>
                </c:pt>
                <c:pt idx="10">
                  <c:v>11th March_2026</c:v>
                </c:pt>
                <c:pt idx="11">
                  <c:v>12th March_2026</c:v>
                </c:pt>
                <c:pt idx="12">
                  <c:v>13th March_2026</c:v>
                </c:pt>
                <c:pt idx="13">
                  <c:v>14th March_2026</c:v>
                </c:pt>
                <c:pt idx="14">
                  <c:v>15th March_2026</c:v>
                </c:pt>
                <c:pt idx="15">
                  <c:v>16th March_2026</c:v>
                </c:pt>
                <c:pt idx="16">
                  <c:v>17th March_2026</c:v>
                </c:pt>
                <c:pt idx="17">
                  <c:v>18th March_2026</c:v>
                </c:pt>
                <c:pt idx="18">
                  <c:v>19th March_2026</c:v>
                </c:pt>
                <c:pt idx="19">
                  <c:v>20th March_2026</c:v>
                </c:pt>
                <c:pt idx="20">
                  <c:v>21st March_2026</c:v>
                </c:pt>
                <c:pt idx="21">
                  <c:v>22nd March_2026</c:v>
                </c:pt>
                <c:pt idx="22">
                  <c:v>23rd March_2026</c:v>
                </c:pt>
                <c:pt idx="23">
                  <c:v>24th March_2026</c:v>
                </c:pt>
                <c:pt idx="24">
                  <c:v>25th March_2026</c:v>
                </c:pt>
                <c:pt idx="25">
                  <c:v>26th March_2026</c:v>
                </c:pt>
                <c:pt idx="26">
                  <c:v>27th March_2026</c:v>
                </c:pt>
                <c:pt idx="27">
                  <c:v>28th March_2026</c:v>
                </c:pt>
                <c:pt idx="28">
                  <c:v>29th March_2026</c:v>
                </c:pt>
                <c:pt idx="29">
                  <c:v>30th March_2026</c:v>
                </c:pt>
                <c:pt idx="30">
                  <c:v>31st March_2026</c:v>
                </c:pt>
              </c:strCache>
            </c:strRef>
          </c:cat>
          <c:val>
            <c:numRef>
              <c:f>March_2026!$F$2:$F$32</c:f>
              <c:numCache>
                <c:formatCode>0.00%</c:formatCode>
                <c:ptCount val="31"/>
                <c:pt idx="0">
                  <c:v>2.6621910990210922E-4</c:v>
                </c:pt>
                <c:pt idx="1">
                  <c:v>1.0710043698963563E-2</c:v>
                </c:pt>
                <c:pt idx="2">
                  <c:v>1.5763905108617898E-2</c:v>
                </c:pt>
                <c:pt idx="3">
                  <c:v>1.1781447482691771E-2</c:v>
                </c:pt>
                <c:pt idx="4">
                  <c:v>1.279704674837169E-2</c:v>
                </c:pt>
                <c:pt idx="5">
                  <c:v>5.2064844613170218E-3</c:v>
                </c:pt>
                <c:pt idx="6">
                  <c:v>1.2847077403210561E-2</c:v>
                </c:pt>
                <c:pt idx="7">
                  <c:v>5.8261501713573957E-3</c:v>
                </c:pt>
                <c:pt idx="8">
                  <c:v>1.182906015242724E-2</c:v>
                </c:pt>
                <c:pt idx="9">
                  <c:v>1.1837817656104288E-2</c:v>
                </c:pt>
                <c:pt idx="10">
                  <c:v>7.4626430109775701E-3</c:v>
                </c:pt>
                <c:pt idx="11">
                  <c:v>1.8617229149221811E-2</c:v>
                </c:pt>
                <c:pt idx="12">
                  <c:v>2.3886788442534154E-2</c:v>
                </c:pt>
                <c:pt idx="13">
                  <c:v>8.8066300498999342E-3</c:v>
                </c:pt>
                <c:pt idx="14">
                  <c:v>-1.7480665873984311E-2</c:v>
                </c:pt>
                <c:pt idx="15">
                  <c:v>6.2499505054605178E-3</c:v>
                </c:pt>
                <c:pt idx="16">
                  <c:v>-0.17789012090291562</c:v>
                </c:pt>
                <c:pt idx="17">
                  <c:v>4.189485320571249E-3</c:v>
                </c:pt>
                <c:pt idx="18">
                  <c:v>1.7217952114544518E-2</c:v>
                </c:pt>
                <c:pt idx="19">
                  <c:v>1.7474801248298182E-2</c:v>
                </c:pt>
                <c:pt idx="20">
                  <c:v>-2.1746238216856651E-4</c:v>
                </c:pt>
                <c:pt idx="21">
                  <c:v>7.2613206991268327E-3</c:v>
                </c:pt>
                <c:pt idx="22">
                  <c:v>2.6743270731448696E-2</c:v>
                </c:pt>
                <c:pt idx="23">
                  <c:v>4.2326980942828461E-2</c:v>
                </c:pt>
                <c:pt idx="24">
                  <c:v>3.2684009369991412E-2</c:v>
                </c:pt>
                <c:pt idx="25">
                  <c:v>1.4805744183456833E-3</c:v>
                </c:pt>
                <c:pt idx="26">
                  <c:v>1.5268771102417143E-2</c:v>
                </c:pt>
                <c:pt idx="27">
                  <c:v>-4.7784133587565725E-2</c:v>
                </c:pt>
                <c:pt idx="28">
                  <c:v>1.2121212121212159E-2</c:v>
                </c:pt>
                <c:pt idx="29">
                  <c:v>3.1084987473501614E-2</c:v>
                </c:pt>
                <c:pt idx="30">
                  <c:v>1.7724820676981445E-2</c:v>
                </c:pt>
              </c:numCache>
            </c:numRef>
          </c:val>
          <c:smooth val="0"/>
          <c:extLst>
            <c:ext xmlns:c16="http://schemas.microsoft.com/office/drawing/2014/chart" uri="{C3380CC4-5D6E-409C-BE32-E72D297353CC}">
              <c16:uniqueId val="{00000000-FA24-4305-966D-D4A2E71A7EE3}"/>
            </c:ext>
          </c:extLst>
        </c:ser>
        <c:ser>
          <c:idx val="1"/>
          <c:order val="1"/>
          <c:tx>
            <c:strRef>
              <c:f>March_2026!$G$1</c:f>
              <c:strCache>
                <c:ptCount val="1"/>
                <c:pt idx="0">
                  <c:v>AC Loss(Inv. to MFM)   %age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March_2026!$A$2:$A$32</c:f>
              <c:strCache>
                <c:ptCount val="31"/>
                <c:pt idx="0">
                  <c:v>1st March_2026</c:v>
                </c:pt>
                <c:pt idx="1">
                  <c:v>2nd March_2026</c:v>
                </c:pt>
                <c:pt idx="2">
                  <c:v>3rd March_2026</c:v>
                </c:pt>
                <c:pt idx="3">
                  <c:v>4th March_2026</c:v>
                </c:pt>
                <c:pt idx="4">
                  <c:v>5th March_2026</c:v>
                </c:pt>
                <c:pt idx="5">
                  <c:v>6th March_2026</c:v>
                </c:pt>
                <c:pt idx="6">
                  <c:v>7th March_2026</c:v>
                </c:pt>
                <c:pt idx="7">
                  <c:v>8th March_2026</c:v>
                </c:pt>
                <c:pt idx="8">
                  <c:v>9th March_2026</c:v>
                </c:pt>
                <c:pt idx="9">
                  <c:v>10th March_2026</c:v>
                </c:pt>
                <c:pt idx="10">
                  <c:v>11th March_2026</c:v>
                </c:pt>
                <c:pt idx="11">
                  <c:v>12th March_2026</c:v>
                </c:pt>
                <c:pt idx="12">
                  <c:v>13th March_2026</c:v>
                </c:pt>
                <c:pt idx="13">
                  <c:v>14th March_2026</c:v>
                </c:pt>
                <c:pt idx="14">
                  <c:v>15th March_2026</c:v>
                </c:pt>
                <c:pt idx="15">
                  <c:v>16th March_2026</c:v>
                </c:pt>
                <c:pt idx="16">
                  <c:v>17th March_2026</c:v>
                </c:pt>
                <c:pt idx="17">
                  <c:v>18th March_2026</c:v>
                </c:pt>
                <c:pt idx="18">
                  <c:v>19th March_2026</c:v>
                </c:pt>
                <c:pt idx="19">
                  <c:v>20th March_2026</c:v>
                </c:pt>
                <c:pt idx="20">
                  <c:v>21st March_2026</c:v>
                </c:pt>
                <c:pt idx="21">
                  <c:v>22nd March_2026</c:v>
                </c:pt>
                <c:pt idx="22">
                  <c:v>23rd March_2026</c:v>
                </c:pt>
                <c:pt idx="23">
                  <c:v>24th March_2026</c:v>
                </c:pt>
                <c:pt idx="24">
                  <c:v>25th March_2026</c:v>
                </c:pt>
                <c:pt idx="25">
                  <c:v>26th March_2026</c:v>
                </c:pt>
                <c:pt idx="26">
                  <c:v>27th March_2026</c:v>
                </c:pt>
                <c:pt idx="27">
                  <c:v>28th March_2026</c:v>
                </c:pt>
                <c:pt idx="28">
                  <c:v>29th March_2026</c:v>
                </c:pt>
                <c:pt idx="29">
                  <c:v>30th March_2026</c:v>
                </c:pt>
                <c:pt idx="30">
                  <c:v>31st March_2026</c:v>
                </c:pt>
              </c:strCache>
            </c:strRef>
          </c:cat>
          <c:val>
            <c:numRef>
              <c:f>March_2026!$G$2:$G$32</c:f>
              <c:numCache>
                <c:formatCode>0.00%</c:formatCode>
                <c:ptCount val="31"/>
                <c:pt idx="0">
                  <c:v>4.9437317649239018E-3</c:v>
                </c:pt>
                <c:pt idx="1">
                  <c:v>4.5614642877764306E-3</c:v>
                </c:pt>
                <c:pt idx="2">
                  <c:v>4.4350531741978267E-3</c:v>
                </c:pt>
                <c:pt idx="3">
                  <c:v>6.6386503441136068E-3</c:v>
                </c:pt>
                <c:pt idx="4">
                  <c:v>5.1111559912380561E-3</c:v>
                </c:pt>
                <c:pt idx="5">
                  <c:v>4.9138116389686095E-3</c:v>
                </c:pt>
                <c:pt idx="6">
                  <c:v>5.9164935051640626E-3</c:v>
                </c:pt>
                <c:pt idx="7">
                  <c:v>5.1081699380542611E-3</c:v>
                </c:pt>
                <c:pt idx="8">
                  <c:v>5.6130753092761623E-3</c:v>
                </c:pt>
                <c:pt idx="9">
                  <c:v>4.3008789686480716E-3</c:v>
                </c:pt>
                <c:pt idx="10">
                  <c:v>4.1306312120820577E-3</c:v>
                </c:pt>
                <c:pt idx="11">
                  <c:v>4.0019666203207245E-3</c:v>
                </c:pt>
                <c:pt idx="12">
                  <c:v>3.7422988718630724E-3</c:v>
                </c:pt>
                <c:pt idx="13">
                  <c:v>4.11905394631947E-3</c:v>
                </c:pt>
                <c:pt idx="14">
                  <c:v>4.4080148119839783E-3</c:v>
                </c:pt>
                <c:pt idx="15">
                  <c:v>4.2022833645891777E-3</c:v>
                </c:pt>
                <c:pt idx="16">
                  <c:v>3.7040371432613766E-3</c:v>
                </c:pt>
                <c:pt idx="17">
                  <c:v>4.0511355252390866E-3</c:v>
                </c:pt>
                <c:pt idx="18">
                  <c:v>5.8759368072903839E-3</c:v>
                </c:pt>
                <c:pt idx="19">
                  <c:v>5.9763955740402483E-3</c:v>
                </c:pt>
                <c:pt idx="20">
                  <c:v>3.7241063074339832E-3</c:v>
                </c:pt>
                <c:pt idx="21">
                  <c:v>4.5639400404609764E-3</c:v>
                </c:pt>
                <c:pt idx="22">
                  <c:v>5.7795010607944982E-3</c:v>
                </c:pt>
                <c:pt idx="23">
                  <c:v>4.2263239606693337E-3</c:v>
                </c:pt>
                <c:pt idx="24">
                  <c:v>3.4922698479460147E-3</c:v>
                </c:pt>
                <c:pt idx="25">
                  <c:v>4.8719578135278463E-3</c:v>
                </c:pt>
                <c:pt idx="26">
                  <c:v>3.8151528510239167E-3</c:v>
                </c:pt>
                <c:pt idx="27">
                  <c:v>6.2313885518914744E-3</c:v>
                </c:pt>
                <c:pt idx="28">
                  <c:v>5.3495234253932156E-3</c:v>
                </c:pt>
                <c:pt idx="29">
                  <c:v>4.7138850766752435E-3</c:v>
                </c:pt>
                <c:pt idx="30">
                  <c:v>-3.2589016294508145E-2</c:v>
                </c:pt>
              </c:numCache>
            </c:numRef>
          </c:val>
          <c:smooth val="0"/>
          <c:extLst>
            <c:ext xmlns:c16="http://schemas.microsoft.com/office/drawing/2014/chart" uri="{C3380CC4-5D6E-409C-BE32-E72D297353CC}">
              <c16:uniqueId val="{00000002-FA24-4305-966D-D4A2E71A7EE3}"/>
            </c:ext>
          </c:extLst>
        </c:ser>
        <c:ser>
          <c:idx val="2"/>
          <c:order val="2"/>
          <c:tx>
            <c:strRef>
              <c:f>March_2026!$H$1</c:f>
              <c:strCache>
                <c:ptCount val="1"/>
                <c:pt idx="0">
                  <c:v>TL Line loss %age ( MFM to Main meter)</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March_2026!$A$2:$A$32</c:f>
              <c:strCache>
                <c:ptCount val="31"/>
                <c:pt idx="0">
                  <c:v>1st March_2026</c:v>
                </c:pt>
                <c:pt idx="1">
                  <c:v>2nd March_2026</c:v>
                </c:pt>
                <c:pt idx="2">
                  <c:v>3rd March_2026</c:v>
                </c:pt>
                <c:pt idx="3">
                  <c:v>4th March_2026</c:v>
                </c:pt>
                <c:pt idx="4">
                  <c:v>5th March_2026</c:v>
                </c:pt>
                <c:pt idx="5">
                  <c:v>6th March_2026</c:v>
                </c:pt>
                <c:pt idx="6">
                  <c:v>7th March_2026</c:v>
                </c:pt>
                <c:pt idx="7">
                  <c:v>8th March_2026</c:v>
                </c:pt>
                <c:pt idx="8">
                  <c:v>9th March_2026</c:v>
                </c:pt>
                <c:pt idx="9">
                  <c:v>10th March_2026</c:v>
                </c:pt>
                <c:pt idx="10">
                  <c:v>11th March_2026</c:v>
                </c:pt>
                <c:pt idx="11">
                  <c:v>12th March_2026</c:v>
                </c:pt>
                <c:pt idx="12">
                  <c:v>13th March_2026</c:v>
                </c:pt>
                <c:pt idx="13">
                  <c:v>14th March_2026</c:v>
                </c:pt>
                <c:pt idx="14">
                  <c:v>15th March_2026</c:v>
                </c:pt>
                <c:pt idx="15">
                  <c:v>16th March_2026</c:v>
                </c:pt>
                <c:pt idx="16">
                  <c:v>17th March_2026</c:v>
                </c:pt>
                <c:pt idx="17">
                  <c:v>18th March_2026</c:v>
                </c:pt>
                <c:pt idx="18">
                  <c:v>19th March_2026</c:v>
                </c:pt>
                <c:pt idx="19">
                  <c:v>20th March_2026</c:v>
                </c:pt>
                <c:pt idx="20">
                  <c:v>21st March_2026</c:v>
                </c:pt>
                <c:pt idx="21">
                  <c:v>22nd March_2026</c:v>
                </c:pt>
                <c:pt idx="22">
                  <c:v>23rd March_2026</c:v>
                </c:pt>
                <c:pt idx="23">
                  <c:v>24th March_2026</c:v>
                </c:pt>
                <c:pt idx="24">
                  <c:v>25th March_2026</c:v>
                </c:pt>
                <c:pt idx="25">
                  <c:v>26th March_2026</c:v>
                </c:pt>
                <c:pt idx="26">
                  <c:v>27th March_2026</c:v>
                </c:pt>
                <c:pt idx="27">
                  <c:v>28th March_2026</c:v>
                </c:pt>
                <c:pt idx="28">
                  <c:v>29th March_2026</c:v>
                </c:pt>
                <c:pt idx="29">
                  <c:v>30th March_2026</c:v>
                </c:pt>
                <c:pt idx="30">
                  <c:v>31st March_2026</c:v>
                </c:pt>
              </c:strCache>
            </c:strRef>
          </c:cat>
          <c:val>
            <c:numRef>
              <c:f>March_2026!$H$2:$H$32</c:f>
              <c:numCache>
                <c:formatCode>0.00%</c:formatCode>
                <c:ptCount val="31"/>
                <c:pt idx="0">
                  <c:v>1.0239106405259178E-2</c:v>
                </c:pt>
                <c:pt idx="1">
                  <c:v>1.0846867749419953E-2</c:v>
                </c:pt>
                <c:pt idx="2">
                  <c:v>1.1253644314868805E-2</c:v>
                </c:pt>
                <c:pt idx="3">
                  <c:v>9.0853352655927769E-3</c:v>
                </c:pt>
                <c:pt idx="4">
                  <c:v>1.1034769935457007E-2</c:v>
                </c:pt>
                <c:pt idx="5">
                  <c:v>1.1014492753623189E-2</c:v>
                </c:pt>
                <c:pt idx="6">
                  <c:v>1.0400041188281934E-2</c:v>
                </c:pt>
                <c:pt idx="7">
                  <c:v>1.0814783704325913E-2</c:v>
                </c:pt>
                <c:pt idx="8">
                  <c:v>1.1513567338810057E-2</c:v>
                </c:pt>
                <c:pt idx="9">
                  <c:v>1.1378343399482313E-2</c:v>
                </c:pt>
                <c:pt idx="10">
                  <c:v>1.123352775977533E-2</c:v>
                </c:pt>
                <c:pt idx="11">
                  <c:v>1.1305732484076432E-2</c:v>
                </c:pt>
                <c:pt idx="12">
                  <c:v>1.1591667122313959E-2</c:v>
                </c:pt>
                <c:pt idx="13">
                  <c:v>1.0916368488082964E-2</c:v>
                </c:pt>
                <c:pt idx="14">
                  <c:v>1.1184645929847782E-2</c:v>
                </c:pt>
                <c:pt idx="15">
                  <c:v>1.2003841229193343E-2</c:v>
                </c:pt>
                <c:pt idx="16">
                  <c:v>1.1230878461240561E-2</c:v>
                </c:pt>
                <c:pt idx="17">
                  <c:v>1.0169034951848609E-2</c:v>
                </c:pt>
                <c:pt idx="18">
                  <c:v>1.0688752035110072E-2</c:v>
                </c:pt>
                <c:pt idx="19">
                  <c:v>1.065608023401588E-2</c:v>
                </c:pt>
                <c:pt idx="20">
                  <c:v>1.1382012688145291E-2</c:v>
                </c:pt>
                <c:pt idx="21">
                  <c:v>1.1652909759311924E-2</c:v>
                </c:pt>
                <c:pt idx="22">
                  <c:v>1.1479028697571744E-2</c:v>
                </c:pt>
                <c:pt idx="23">
                  <c:v>1.0765328218771268E-2</c:v>
                </c:pt>
                <c:pt idx="24">
                  <c:v>9.5926328579650829E-3</c:v>
                </c:pt>
                <c:pt idx="25">
                  <c:v>1.0419000672193592E-2</c:v>
                </c:pt>
                <c:pt idx="26">
                  <c:v>1.1582167832167832E-2</c:v>
                </c:pt>
                <c:pt idx="27">
                  <c:v>9.8773652960435047E-3</c:v>
                </c:pt>
                <c:pt idx="28">
                  <c:v>1.1098068509230605E-2</c:v>
                </c:pt>
                <c:pt idx="29">
                  <c:v>1.1057820410338396E-2</c:v>
                </c:pt>
                <c:pt idx="30">
                  <c:v>4.5577819988310897E-2</c:v>
                </c:pt>
              </c:numCache>
            </c:numRef>
          </c:val>
          <c:smooth val="0"/>
          <c:extLst>
            <c:ext xmlns:c16="http://schemas.microsoft.com/office/drawing/2014/chart" uri="{C3380CC4-5D6E-409C-BE32-E72D297353CC}">
              <c16:uniqueId val="{00000004-FA24-4305-966D-D4A2E71A7EE3}"/>
            </c:ext>
          </c:extLst>
        </c:ser>
        <c:ser>
          <c:idx val="3"/>
          <c:order val="3"/>
          <c:tx>
            <c:strRef>
              <c:f>March_2026!$L$1</c:f>
              <c:strCache>
                <c:ptCount val="1"/>
                <c:pt idx="0">
                  <c:v>% Losses (IG O/P-MM)</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March_2026!$A$2:$A$32</c:f>
              <c:strCache>
                <c:ptCount val="31"/>
                <c:pt idx="0">
                  <c:v>1st March_2026</c:v>
                </c:pt>
                <c:pt idx="1">
                  <c:v>2nd March_2026</c:v>
                </c:pt>
                <c:pt idx="2">
                  <c:v>3rd March_2026</c:v>
                </c:pt>
                <c:pt idx="3">
                  <c:v>4th March_2026</c:v>
                </c:pt>
                <c:pt idx="4">
                  <c:v>5th March_2026</c:v>
                </c:pt>
                <c:pt idx="5">
                  <c:v>6th March_2026</c:v>
                </c:pt>
                <c:pt idx="6">
                  <c:v>7th March_2026</c:v>
                </c:pt>
                <c:pt idx="7">
                  <c:v>8th March_2026</c:v>
                </c:pt>
                <c:pt idx="8">
                  <c:v>9th March_2026</c:v>
                </c:pt>
                <c:pt idx="9">
                  <c:v>10th March_2026</c:v>
                </c:pt>
                <c:pt idx="10">
                  <c:v>11th March_2026</c:v>
                </c:pt>
                <c:pt idx="11">
                  <c:v>12th March_2026</c:v>
                </c:pt>
                <c:pt idx="12">
                  <c:v>13th March_2026</c:v>
                </c:pt>
                <c:pt idx="13">
                  <c:v>14th March_2026</c:v>
                </c:pt>
                <c:pt idx="14">
                  <c:v>15th March_2026</c:v>
                </c:pt>
                <c:pt idx="15">
                  <c:v>16th March_2026</c:v>
                </c:pt>
                <c:pt idx="16">
                  <c:v>17th March_2026</c:v>
                </c:pt>
                <c:pt idx="17">
                  <c:v>18th March_2026</c:v>
                </c:pt>
                <c:pt idx="18">
                  <c:v>19th March_2026</c:v>
                </c:pt>
                <c:pt idx="19">
                  <c:v>20th March_2026</c:v>
                </c:pt>
                <c:pt idx="20">
                  <c:v>21st March_2026</c:v>
                </c:pt>
                <c:pt idx="21">
                  <c:v>22nd March_2026</c:v>
                </c:pt>
                <c:pt idx="22">
                  <c:v>23rd March_2026</c:v>
                </c:pt>
                <c:pt idx="23">
                  <c:v>24th March_2026</c:v>
                </c:pt>
                <c:pt idx="24">
                  <c:v>25th March_2026</c:v>
                </c:pt>
                <c:pt idx="25">
                  <c:v>26th March_2026</c:v>
                </c:pt>
                <c:pt idx="26">
                  <c:v>27th March_2026</c:v>
                </c:pt>
                <c:pt idx="27">
                  <c:v>28th March_2026</c:v>
                </c:pt>
                <c:pt idx="28">
                  <c:v>29th March_2026</c:v>
                </c:pt>
                <c:pt idx="29">
                  <c:v>30th March_2026</c:v>
                </c:pt>
                <c:pt idx="30">
                  <c:v>31st March_2026</c:v>
                </c:pt>
              </c:strCache>
            </c:strRef>
          </c:cat>
          <c:val>
            <c:numRef>
              <c:f>March_2026!$L$2:$L$32</c:f>
              <c:numCache>
                <c:formatCode>0.00%</c:formatCode>
                <c:ptCount val="31"/>
                <c:pt idx="0">
                  <c:v>1.5132218774602963E-2</c:v>
                </c:pt>
                <c:pt idx="1">
                  <c:v>1.5358854437323171E-2</c:v>
                </c:pt>
                <c:pt idx="2">
                  <c:v>1.5638786978126679E-2</c:v>
                </c:pt>
                <c:pt idx="3">
                  <c:v>1.5663671245619067E-2</c:v>
                </c:pt>
                <c:pt idx="4">
                  <c:v>1.6089525496227518E-2</c:v>
                </c:pt>
                <c:pt idx="5">
                  <c:v>1.5874181249901708E-2</c:v>
                </c:pt>
                <c:pt idx="6">
                  <c:v>1.6255002917302086E-2</c:v>
                </c:pt>
                <c:pt idx="7">
                  <c:v>1.5867709889375178E-2</c:v>
                </c:pt>
                <c:pt idx="8">
                  <c:v>1.7062016127535055E-2</c:v>
                </c:pt>
                <c:pt idx="9">
                  <c:v>1.5630285490305495E-2</c:v>
                </c:pt>
                <c:pt idx="10">
                  <c:v>1.5317757411471069E-2</c:v>
                </c:pt>
                <c:pt idx="11">
                  <c:v>1.5262453940377608E-2</c:v>
                </c:pt>
                <c:pt idx="12">
                  <c:v>1.5290586511382183E-2</c:v>
                </c:pt>
                <c:pt idx="13">
                  <c:v>1.4990457323702119E-2</c:v>
                </c:pt>
                <c:pt idx="14">
                  <c:v>1.5543358656906196E-2</c:v>
                </c:pt>
                <c:pt idx="15">
                  <c:v>1.615568105147391E-2</c:v>
                </c:pt>
                <c:pt idx="16">
                  <c:v>1.4893316013530047E-2</c:v>
                </c:pt>
                <c:pt idx="17">
                  <c:v>1.4178974338336864E-2</c:v>
                </c:pt>
                <c:pt idx="18">
                  <c:v>1.6501882410893353E-2</c:v>
                </c:pt>
                <c:pt idx="19">
                  <c:v>1.6568790857308939E-2</c:v>
                </c:pt>
                <c:pt idx="20">
                  <c:v>1.506373117033606E-2</c:v>
                </c:pt>
                <c:pt idx="21">
                  <c:v>1.6163666618334498E-2</c:v>
                </c:pt>
                <c:pt idx="22">
                  <c:v>1.7192186699831736E-2</c:v>
                </c:pt>
                <c:pt idx="23">
                  <c:v>1.4946154414845139E-2</c:v>
                </c:pt>
                <c:pt idx="24">
                  <c:v>1.305140264341881E-2</c:v>
                </c:pt>
                <c:pt idx="25">
                  <c:v>1.5240197553987393E-2</c:v>
                </c:pt>
                <c:pt idx="26">
                  <c:v>1.5353132942565816E-2</c:v>
                </c:pt>
                <c:pt idx="27">
                  <c:v>1.6047204146906364E-2</c:v>
                </c:pt>
                <c:pt idx="28">
                  <c:v>1.6388222557157071E-2</c:v>
                </c:pt>
                <c:pt idx="29">
                  <c:v>1.571958019240079E-2</c:v>
                </c:pt>
                <c:pt idx="30">
                  <c:v>1.4474140012069972E-2</c:v>
                </c:pt>
              </c:numCache>
            </c:numRef>
          </c:val>
          <c:smooth val="0"/>
          <c:extLst>
            <c:ext xmlns:c16="http://schemas.microsoft.com/office/drawing/2014/chart" uri="{C3380CC4-5D6E-409C-BE32-E72D297353CC}">
              <c16:uniqueId val="{00000006-FA24-4305-966D-D4A2E71A7EE3}"/>
            </c:ext>
          </c:extLst>
        </c:ser>
        <c:dLbls>
          <c:showLegendKey val="0"/>
          <c:showVal val="0"/>
          <c:showCatName val="0"/>
          <c:showSerName val="0"/>
          <c:showPercent val="0"/>
          <c:showBubbleSize val="0"/>
        </c:dLbls>
        <c:marker val="1"/>
        <c:smooth val="0"/>
        <c:axId val="1480871431"/>
        <c:axId val="1480885767"/>
      </c:lineChart>
      <c:catAx>
        <c:axId val="1480871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885767"/>
        <c:crosses val="autoZero"/>
        <c:auto val="1"/>
        <c:lblAlgn val="ctr"/>
        <c:lblOffset val="100"/>
        <c:noMultiLvlLbl val="0"/>
      </c:catAx>
      <c:valAx>
        <c:axId val="14808857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8714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13</xdr:col>
      <xdr:colOff>66675</xdr:colOff>
      <xdr:row>1</xdr:row>
      <xdr:rowOff>0</xdr:rowOff>
    </xdr:from>
    <xdr:to>
      <xdr:col>28</xdr:col>
      <xdr:colOff>247650</xdr:colOff>
      <xdr:row>28</xdr:row>
      <xdr:rowOff>76200</xdr:rowOff>
    </xdr:to>
    <xdr:graphicFrame macro="">
      <xdr:nvGraphicFramePr>
        <xdr:cNvPr id="2" name="Chart 1">
          <a:extLst>
            <a:ext uri="{FF2B5EF4-FFF2-40B4-BE49-F238E27FC236}">
              <a16:creationId xmlns:a16="http://schemas.microsoft.com/office/drawing/2014/main" id="{5F101F17-D194-C3F0-212A-9DDBB907FB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97CC6-292D-4B59-9691-F80A04A505DD}">
  <dimension ref="A1:X34"/>
  <sheetViews>
    <sheetView tabSelected="1" topLeftCell="M1" workbookViewId="0">
      <pane ySplit="1" topLeftCell="A4" activePane="bottomLeft" state="frozen"/>
      <selection pane="bottomLeft" activeCell="E9" sqref="E9"/>
    </sheetView>
  </sheetViews>
  <sheetFormatPr defaultRowHeight="14.5" x14ac:dyDescent="0.35"/>
  <cols>
    <col min="1" max="1" width="18.54296875" customWidth="1"/>
    <col min="2" max="2" width="20" customWidth="1"/>
    <col min="3" max="3" width="16.453125" customWidth="1"/>
    <col min="4" max="4" width="19.1796875" customWidth="1"/>
    <col min="5" max="5" width="14.26953125" customWidth="1"/>
    <col min="6" max="6" width="14.81640625" customWidth="1"/>
    <col min="7" max="7" width="10.54296875" customWidth="1"/>
    <col min="8" max="8" width="23.54296875" customWidth="1"/>
    <col min="9" max="9" width="18.54296875" customWidth="1"/>
    <col min="10" max="10" width="28.26953125" customWidth="1"/>
    <col min="11" max="11" width="23.26953125" customWidth="1"/>
    <col min="12" max="12" width="18.7265625" customWidth="1"/>
    <col min="13" max="13" width="43.26953125" customWidth="1"/>
  </cols>
  <sheetData>
    <row r="1" spans="1:13" ht="85.5" customHeight="1" x14ac:dyDescent="0.35">
      <c r="A1" s="1" t="s">
        <v>0</v>
      </c>
      <c r="B1" s="2" t="s">
        <v>15</v>
      </c>
      <c r="C1" s="2" t="s">
        <v>11</v>
      </c>
      <c r="D1" s="2" t="s">
        <v>12</v>
      </c>
      <c r="E1" s="2" t="s">
        <v>13</v>
      </c>
      <c r="F1" s="5" t="s">
        <v>4</v>
      </c>
      <c r="G1" s="5" t="s">
        <v>5</v>
      </c>
      <c r="H1" s="3" t="s">
        <v>6</v>
      </c>
      <c r="I1" s="4" t="s">
        <v>7</v>
      </c>
      <c r="J1" s="4" t="s">
        <v>8</v>
      </c>
      <c r="K1" s="4" t="s">
        <v>9</v>
      </c>
      <c r="L1" s="4" t="s">
        <v>10</v>
      </c>
      <c r="M1" s="4" t="s">
        <v>1</v>
      </c>
    </row>
    <row r="2" spans="1:13" x14ac:dyDescent="0.35">
      <c r="A2" s="7" t="s">
        <v>16</v>
      </c>
      <c r="B2" s="8">
        <v>17279</v>
      </c>
      <c r="C2" s="9">
        <v>17274.400000000001</v>
      </c>
      <c r="D2" s="9">
        <v>17189</v>
      </c>
      <c r="E2" s="9">
        <v>17013</v>
      </c>
      <c r="F2" s="10">
        <f>((B2-C2)/B2)</f>
        <v>2.6621910990210922E-4</v>
      </c>
      <c r="G2" s="10">
        <f>((C2-D2)/C2)</f>
        <v>4.9437317649239018E-3</v>
      </c>
      <c r="H2" s="10">
        <f>((D2-E2)/D2)</f>
        <v>1.0239106405259178E-2</v>
      </c>
      <c r="I2" s="9">
        <f t="shared" ref="I2:I27" si="0">C2-D2</f>
        <v>85.400000000001455</v>
      </c>
      <c r="J2" s="9">
        <f t="shared" ref="J2:J27" si="1">D2-E2</f>
        <v>176</v>
      </c>
      <c r="K2" s="9">
        <f t="shared" ref="K2:K26" si="2">C2-E2</f>
        <v>261.40000000000146</v>
      </c>
      <c r="L2" s="10">
        <f>(C2-E2)/C2</f>
        <v>1.5132218774602963E-2</v>
      </c>
      <c r="M2" s="9"/>
    </row>
    <row r="3" spans="1:13" x14ac:dyDescent="0.35">
      <c r="A3" s="7" t="s">
        <v>17</v>
      </c>
      <c r="B3" s="8">
        <v>17506.495330000002</v>
      </c>
      <c r="C3" s="9">
        <v>17319</v>
      </c>
      <c r="D3" s="9">
        <v>17240</v>
      </c>
      <c r="E3" s="9">
        <v>17053</v>
      </c>
      <c r="F3" s="10">
        <f t="shared" ref="F3:H33" si="3">((B3-C3)/B3)</f>
        <v>1.0710043698963563E-2</v>
      </c>
      <c r="G3" s="10">
        <f t="shared" si="3"/>
        <v>4.5614642877764306E-3</v>
      </c>
      <c r="H3" s="10">
        <f t="shared" si="3"/>
        <v>1.0846867749419953E-2</v>
      </c>
      <c r="I3" s="9">
        <f t="shared" si="0"/>
        <v>79</v>
      </c>
      <c r="J3" s="9">
        <f t="shared" si="1"/>
        <v>187</v>
      </c>
      <c r="K3" s="9">
        <f t="shared" si="2"/>
        <v>266</v>
      </c>
      <c r="L3" s="10">
        <f t="shared" ref="L3:L32" si="4">(C3-E3)/C3</f>
        <v>1.5358854437323171E-2</v>
      </c>
      <c r="M3" s="9"/>
    </row>
    <row r="4" spans="1:13" x14ac:dyDescent="0.35">
      <c r="A4" s="7" t="s">
        <v>18</v>
      </c>
      <c r="B4" s="8">
        <v>17502.304670000001</v>
      </c>
      <c r="C4" s="9">
        <v>17226.400000000001</v>
      </c>
      <c r="D4" s="9">
        <v>17150</v>
      </c>
      <c r="E4" s="9">
        <v>16957</v>
      </c>
      <c r="F4" s="10">
        <f t="shared" si="3"/>
        <v>1.5763905108617898E-2</v>
      </c>
      <c r="G4" s="10">
        <f t="shared" si="3"/>
        <v>4.4350531741978267E-3</v>
      </c>
      <c r="H4" s="10">
        <f t="shared" si="3"/>
        <v>1.1253644314868805E-2</v>
      </c>
      <c r="I4" s="9">
        <f t="shared" si="0"/>
        <v>76.400000000001455</v>
      </c>
      <c r="J4" s="9">
        <f t="shared" si="1"/>
        <v>193</v>
      </c>
      <c r="K4" s="9">
        <f t="shared" si="2"/>
        <v>269.40000000000146</v>
      </c>
      <c r="L4" s="10">
        <f t="shared" si="4"/>
        <v>1.5638786978126679E-2</v>
      </c>
      <c r="M4" s="7"/>
    </row>
    <row r="5" spans="1:13" x14ac:dyDescent="0.35">
      <c r="A5" s="7" t="s">
        <v>19</v>
      </c>
      <c r="B5" s="8">
        <v>18276.22033</v>
      </c>
      <c r="C5" s="9">
        <v>18060.900000000001</v>
      </c>
      <c r="D5" s="9">
        <v>17941</v>
      </c>
      <c r="E5" s="9">
        <v>17778</v>
      </c>
      <c r="F5" s="10">
        <f t="shared" si="3"/>
        <v>1.1781447482691771E-2</v>
      </c>
      <c r="G5" s="10">
        <f t="shared" si="3"/>
        <v>6.6386503441136068E-3</v>
      </c>
      <c r="H5" s="10">
        <f t="shared" si="3"/>
        <v>9.0853352655927769E-3</v>
      </c>
      <c r="I5" s="9">
        <f t="shared" si="0"/>
        <v>119.90000000000146</v>
      </c>
      <c r="J5" s="9">
        <f t="shared" si="1"/>
        <v>163</v>
      </c>
      <c r="K5" s="9">
        <f t="shared" si="2"/>
        <v>282.90000000000146</v>
      </c>
      <c r="L5" s="10">
        <f t="shared" si="4"/>
        <v>1.5663671245619067E-2</v>
      </c>
      <c r="M5" s="9" t="s">
        <v>20</v>
      </c>
    </row>
    <row r="6" spans="1:13" x14ac:dyDescent="0.35">
      <c r="A6" s="7" t="s">
        <v>21</v>
      </c>
      <c r="B6" s="8">
        <v>19561.02333</v>
      </c>
      <c r="C6" s="9">
        <v>19310.7</v>
      </c>
      <c r="D6" s="9">
        <v>19212</v>
      </c>
      <c r="E6" s="9">
        <v>19000</v>
      </c>
      <c r="F6" s="10">
        <f t="shared" si="3"/>
        <v>1.279704674837169E-2</v>
      </c>
      <c r="G6" s="10">
        <f t="shared" si="3"/>
        <v>5.1111559912380561E-3</v>
      </c>
      <c r="H6" s="10">
        <f t="shared" si="3"/>
        <v>1.1034769935457007E-2</v>
      </c>
      <c r="I6" s="9">
        <f t="shared" si="0"/>
        <v>98.700000000000728</v>
      </c>
      <c r="J6" s="9">
        <f t="shared" si="1"/>
        <v>212</v>
      </c>
      <c r="K6" s="9">
        <f t="shared" si="2"/>
        <v>310.70000000000073</v>
      </c>
      <c r="L6" s="10">
        <f t="shared" si="4"/>
        <v>1.6089525496227518E-2</v>
      </c>
      <c r="M6" s="9"/>
    </row>
    <row r="7" spans="1:13" x14ac:dyDescent="0.35">
      <c r="A7" s="7" t="s">
        <v>22</v>
      </c>
      <c r="B7" s="8">
        <v>19168.500499999998</v>
      </c>
      <c r="C7" s="9">
        <v>19068.7</v>
      </c>
      <c r="D7" s="9">
        <v>18975</v>
      </c>
      <c r="E7" s="9">
        <v>18766</v>
      </c>
      <c r="F7" s="10">
        <f t="shared" si="3"/>
        <v>5.2064844613170218E-3</v>
      </c>
      <c r="G7" s="10">
        <f t="shared" si="3"/>
        <v>4.9138116389686095E-3</v>
      </c>
      <c r="H7" s="10">
        <f t="shared" si="3"/>
        <v>1.1014492753623189E-2</v>
      </c>
      <c r="I7" s="9">
        <f t="shared" si="0"/>
        <v>93.700000000000728</v>
      </c>
      <c r="J7" s="9">
        <f t="shared" si="1"/>
        <v>209</v>
      </c>
      <c r="K7" s="9">
        <f t="shared" si="2"/>
        <v>302.70000000000073</v>
      </c>
      <c r="L7" s="10">
        <f t="shared" si="4"/>
        <v>1.5874181249901708E-2</v>
      </c>
      <c r="M7" s="7"/>
    </row>
    <row r="8" spans="1:13" x14ac:dyDescent="0.35">
      <c r="A8" s="7" t="s">
        <v>23</v>
      </c>
      <c r="B8" s="8">
        <v>19792.880669999999</v>
      </c>
      <c r="C8" s="9">
        <v>19538.599999999999</v>
      </c>
      <c r="D8" s="9">
        <v>19423</v>
      </c>
      <c r="E8" s="9">
        <v>19221</v>
      </c>
      <c r="F8" s="10">
        <f t="shared" si="3"/>
        <v>1.2847077403210561E-2</v>
      </c>
      <c r="G8" s="10">
        <f t="shared" si="3"/>
        <v>5.9164935051640626E-3</v>
      </c>
      <c r="H8" s="10">
        <f t="shared" si="3"/>
        <v>1.0400041188281934E-2</v>
      </c>
      <c r="I8" s="9">
        <f t="shared" si="0"/>
        <v>115.59999999999854</v>
      </c>
      <c r="J8" s="9">
        <f t="shared" si="1"/>
        <v>202</v>
      </c>
      <c r="K8" s="9">
        <f t="shared" si="2"/>
        <v>317.59999999999854</v>
      </c>
      <c r="L8" s="10">
        <f t="shared" si="4"/>
        <v>1.6255002917302086E-2</v>
      </c>
      <c r="M8" s="7"/>
    </row>
    <row r="9" spans="1:13" x14ac:dyDescent="0.35">
      <c r="A9" s="7" t="s">
        <v>24</v>
      </c>
      <c r="B9" s="8">
        <v>19258</v>
      </c>
      <c r="C9" s="9">
        <v>19145.8</v>
      </c>
      <c r="D9" s="9">
        <v>19048</v>
      </c>
      <c r="E9" s="9">
        <v>18842</v>
      </c>
      <c r="F9" s="10">
        <f t="shared" si="3"/>
        <v>5.8261501713573957E-3</v>
      </c>
      <c r="G9" s="10">
        <f t="shared" si="3"/>
        <v>5.1081699380542611E-3</v>
      </c>
      <c r="H9" s="10">
        <f t="shared" si="3"/>
        <v>1.0814783704325913E-2</v>
      </c>
      <c r="I9" s="9">
        <f t="shared" si="0"/>
        <v>97.799999999999272</v>
      </c>
      <c r="J9" s="9">
        <f t="shared" si="1"/>
        <v>206</v>
      </c>
      <c r="K9" s="9">
        <f t="shared" si="2"/>
        <v>303.79999999999927</v>
      </c>
      <c r="L9" s="10">
        <f t="shared" si="4"/>
        <v>1.5867709889375178E-2</v>
      </c>
      <c r="M9" s="9"/>
    </row>
    <row r="10" spans="1:13" x14ac:dyDescent="0.35">
      <c r="A10" s="7" t="s">
        <v>25</v>
      </c>
      <c r="B10" s="8">
        <v>16352.130333333331</v>
      </c>
      <c r="C10" s="9">
        <v>16158.7</v>
      </c>
      <c r="D10" s="9">
        <v>16068</v>
      </c>
      <c r="E10" s="9">
        <v>15883</v>
      </c>
      <c r="F10" s="10">
        <f t="shared" si="3"/>
        <v>1.182906015242724E-2</v>
      </c>
      <c r="G10" s="10">
        <f t="shared" si="3"/>
        <v>5.6130753092761623E-3</v>
      </c>
      <c r="H10" s="10">
        <f t="shared" si="3"/>
        <v>1.1513567338810057E-2</v>
      </c>
      <c r="I10" s="9">
        <f t="shared" si="0"/>
        <v>90.700000000000728</v>
      </c>
      <c r="J10" s="9">
        <f t="shared" si="1"/>
        <v>185</v>
      </c>
      <c r="K10" s="9">
        <f t="shared" si="2"/>
        <v>275.70000000000073</v>
      </c>
      <c r="L10" s="10">
        <f t="shared" si="4"/>
        <v>1.7062016127535055E-2</v>
      </c>
      <c r="M10" s="6"/>
    </row>
    <row r="11" spans="1:13" x14ac:dyDescent="0.35">
      <c r="A11" s="7" t="s">
        <v>26</v>
      </c>
      <c r="B11" s="8">
        <v>18847.209833333334</v>
      </c>
      <c r="C11" s="9">
        <v>18624.099999999999</v>
      </c>
      <c r="D11" s="9">
        <v>18544</v>
      </c>
      <c r="E11" s="9">
        <v>18333</v>
      </c>
      <c r="F11" s="10">
        <f t="shared" si="3"/>
        <v>1.1837817656104288E-2</v>
      </c>
      <c r="G11" s="10">
        <f t="shared" si="3"/>
        <v>4.3008789686480716E-3</v>
      </c>
      <c r="H11" s="10">
        <f t="shared" si="3"/>
        <v>1.1378343399482313E-2</v>
      </c>
      <c r="I11" s="9">
        <f t="shared" si="0"/>
        <v>80.099999999998545</v>
      </c>
      <c r="J11" s="9">
        <f t="shared" si="1"/>
        <v>211</v>
      </c>
      <c r="K11" s="9">
        <f t="shared" si="2"/>
        <v>291.09999999999854</v>
      </c>
      <c r="L11" s="10">
        <f t="shared" si="4"/>
        <v>1.5630285490305495E-2</v>
      </c>
      <c r="M11" s="9"/>
    </row>
    <row r="12" spans="1:13" x14ac:dyDescent="0.35">
      <c r="A12" s="7" t="s">
        <v>27</v>
      </c>
      <c r="B12" s="8">
        <v>18732.594666666675</v>
      </c>
      <c r="C12" s="9">
        <v>18592.8</v>
      </c>
      <c r="D12" s="9">
        <v>18516</v>
      </c>
      <c r="E12" s="9">
        <v>18308</v>
      </c>
      <c r="F12" s="10">
        <f t="shared" si="3"/>
        <v>7.4626430109775701E-3</v>
      </c>
      <c r="G12" s="10">
        <f t="shared" si="3"/>
        <v>4.1306312120820577E-3</v>
      </c>
      <c r="H12" s="10">
        <f t="shared" si="3"/>
        <v>1.123352775977533E-2</v>
      </c>
      <c r="I12" s="9">
        <f t="shared" si="0"/>
        <v>76.799999999999272</v>
      </c>
      <c r="J12" s="9">
        <f t="shared" si="1"/>
        <v>208</v>
      </c>
      <c r="K12" s="9">
        <f t="shared" si="2"/>
        <v>284.79999999999927</v>
      </c>
      <c r="L12" s="10">
        <f t="shared" si="4"/>
        <v>1.5317757411471069E-2</v>
      </c>
      <c r="M12" s="9"/>
    </row>
    <row r="13" spans="1:13" x14ac:dyDescent="0.35">
      <c r="A13" s="7" t="s">
        <v>28</v>
      </c>
      <c r="B13" s="8">
        <v>19274.538499999999</v>
      </c>
      <c r="C13" s="9">
        <v>18915.7</v>
      </c>
      <c r="D13" s="9">
        <v>18840</v>
      </c>
      <c r="E13" s="9">
        <v>18627</v>
      </c>
      <c r="F13" s="10">
        <f>((B13-C13)/B13)</f>
        <v>1.8617229149221811E-2</v>
      </c>
      <c r="G13" s="10">
        <f t="shared" si="3"/>
        <v>4.0019666203207245E-3</v>
      </c>
      <c r="H13" s="10">
        <f t="shared" si="3"/>
        <v>1.1305732484076432E-2</v>
      </c>
      <c r="I13" s="9">
        <f t="shared" si="0"/>
        <v>75.700000000000728</v>
      </c>
      <c r="J13" s="9">
        <f t="shared" si="1"/>
        <v>213</v>
      </c>
      <c r="K13" s="9">
        <f t="shared" si="2"/>
        <v>288.70000000000073</v>
      </c>
      <c r="L13" s="10">
        <f t="shared" si="4"/>
        <v>1.5262453940377608E-2</v>
      </c>
      <c r="M13" s="9"/>
    </row>
    <row r="14" spans="1:13" x14ac:dyDescent="0.35">
      <c r="A14" s="7" t="s">
        <v>29</v>
      </c>
      <c r="B14" s="8">
        <v>18806.937333333331</v>
      </c>
      <c r="C14" s="9">
        <v>18357.7</v>
      </c>
      <c r="D14" s="9">
        <v>18289</v>
      </c>
      <c r="E14" s="9">
        <v>18077</v>
      </c>
      <c r="F14" s="10">
        <f>((B14-C14)/B14)</f>
        <v>2.3886788442534154E-2</v>
      </c>
      <c r="G14" s="10">
        <f t="shared" si="3"/>
        <v>3.7422988718630724E-3</v>
      </c>
      <c r="H14" s="10">
        <f t="shared" si="3"/>
        <v>1.1591667122313959E-2</v>
      </c>
      <c r="I14" s="9">
        <f t="shared" si="0"/>
        <v>68.700000000000728</v>
      </c>
      <c r="J14" s="9">
        <f t="shared" si="1"/>
        <v>212</v>
      </c>
      <c r="K14" s="9">
        <f t="shared" si="2"/>
        <v>280.70000000000073</v>
      </c>
      <c r="L14" s="10">
        <f t="shared" si="4"/>
        <v>1.5290586511382183E-2</v>
      </c>
      <c r="M14" s="7"/>
    </row>
    <row r="15" spans="1:13" x14ac:dyDescent="0.35">
      <c r="A15" s="7" t="s">
        <v>30</v>
      </c>
      <c r="B15" s="8">
        <v>16704.308666666671</v>
      </c>
      <c r="C15" s="9">
        <v>16557.2</v>
      </c>
      <c r="D15" s="9">
        <v>16489</v>
      </c>
      <c r="E15" s="9">
        <v>16309</v>
      </c>
      <c r="F15" s="10">
        <f t="shared" si="3"/>
        <v>8.8066300498999342E-3</v>
      </c>
      <c r="G15" s="10">
        <f t="shared" si="3"/>
        <v>4.11905394631947E-3</v>
      </c>
      <c r="H15" s="10">
        <f t="shared" si="3"/>
        <v>1.0916368488082964E-2</v>
      </c>
      <c r="I15" s="9">
        <f t="shared" si="0"/>
        <v>68.200000000000728</v>
      </c>
      <c r="J15" s="9">
        <f t="shared" si="1"/>
        <v>180</v>
      </c>
      <c r="K15" s="9">
        <f t="shared" si="2"/>
        <v>248.20000000000073</v>
      </c>
      <c r="L15" s="10">
        <f t="shared" si="4"/>
        <v>1.4990457323702119E-2</v>
      </c>
      <c r="M15" s="7"/>
    </row>
    <row r="16" spans="1:13" ht="29" x14ac:dyDescent="0.35">
      <c r="A16" s="7" t="s">
        <v>31</v>
      </c>
      <c r="B16" s="8">
        <v>14916.155666666662</v>
      </c>
      <c r="C16" s="9">
        <v>15176.9</v>
      </c>
      <c r="D16" s="9">
        <v>15110</v>
      </c>
      <c r="E16" s="9">
        <v>14941</v>
      </c>
      <c r="F16" s="10">
        <f t="shared" si="3"/>
        <v>-1.7480665873984311E-2</v>
      </c>
      <c r="G16" s="10">
        <f t="shared" si="3"/>
        <v>4.4080148119839783E-3</v>
      </c>
      <c r="H16" s="10">
        <f t="shared" si="3"/>
        <v>1.1184645929847782E-2</v>
      </c>
      <c r="I16" s="9">
        <f t="shared" si="0"/>
        <v>66.899999999999636</v>
      </c>
      <c r="J16" s="9">
        <f t="shared" si="1"/>
        <v>169</v>
      </c>
      <c r="K16" s="9">
        <f t="shared" si="2"/>
        <v>235.89999999999964</v>
      </c>
      <c r="L16" s="10">
        <f t="shared" si="4"/>
        <v>1.5543358656906196E-2</v>
      </c>
      <c r="M16" s="7" t="s">
        <v>32</v>
      </c>
    </row>
    <row r="17" spans="1:24" x14ac:dyDescent="0.35">
      <c r="A17" s="7" t="s">
        <v>33</v>
      </c>
      <c r="B17" s="8">
        <v>18941.483333333337</v>
      </c>
      <c r="C17" s="9">
        <v>18823.099999999999</v>
      </c>
      <c r="D17" s="9">
        <v>18744</v>
      </c>
      <c r="E17" s="9">
        <v>18519</v>
      </c>
      <c r="F17" s="10">
        <f t="shared" si="3"/>
        <v>6.2499505054605178E-3</v>
      </c>
      <c r="G17" s="10">
        <f t="shared" si="3"/>
        <v>4.2022833645891777E-3</v>
      </c>
      <c r="H17" s="10">
        <f t="shared" si="3"/>
        <v>1.2003841229193343E-2</v>
      </c>
      <c r="I17" s="9">
        <f t="shared" si="0"/>
        <v>79.099999999998545</v>
      </c>
      <c r="J17" s="9">
        <f t="shared" si="1"/>
        <v>225</v>
      </c>
      <c r="K17" s="9">
        <f t="shared" si="2"/>
        <v>304.09999999999854</v>
      </c>
      <c r="L17" s="10">
        <f t="shared" si="4"/>
        <v>1.615568105147391E-2</v>
      </c>
      <c r="M17" s="9"/>
    </row>
    <row r="18" spans="1:24" ht="29" x14ac:dyDescent="0.35">
      <c r="A18" s="7" t="s">
        <v>34</v>
      </c>
      <c r="B18" s="8">
        <v>13202.08033333333</v>
      </c>
      <c r="C18" s="9">
        <v>15550.6</v>
      </c>
      <c r="D18" s="7">
        <v>15493</v>
      </c>
      <c r="E18" s="9">
        <v>15319</v>
      </c>
      <c r="F18" s="10">
        <f>((B18-C18)/B18)</f>
        <v>-0.17789012090291562</v>
      </c>
      <c r="G18" s="10">
        <f t="shared" si="3"/>
        <v>3.7040371432613766E-3</v>
      </c>
      <c r="H18" s="10">
        <f t="shared" si="3"/>
        <v>1.1230878461240561E-2</v>
      </c>
      <c r="I18" s="9">
        <f t="shared" si="0"/>
        <v>57.600000000000364</v>
      </c>
      <c r="J18" s="9">
        <f t="shared" si="1"/>
        <v>174</v>
      </c>
      <c r="K18" s="9">
        <f t="shared" si="2"/>
        <v>231.60000000000036</v>
      </c>
      <c r="L18" s="10">
        <f t="shared" si="4"/>
        <v>1.4893316013530047E-2</v>
      </c>
      <c r="M18" s="7" t="s">
        <v>35</v>
      </c>
    </row>
    <row r="19" spans="1:24" x14ac:dyDescent="0.35">
      <c r="A19" s="7" t="s">
        <v>36</v>
      </c>
      <c r="B19" s="8">
        <v>14972.1255</v>
      </c>
      <c r="C19" s="9">
        <v>14909.4</v>
      </c>
      <c r="D19" s="9">
        <v>14849</v>
      </c>
      <c r="E19" s="9">
        <v>14698</v>
      </c>
      <c r="F19" s="10">
        <f t="shared" si="3"/>
        <v>4.189485320571249E-3</v>
      </c>
      <c r="G19" s="10">
        <f t="shared" si="3"/>
        <v>4.0511355252390866E-3</v>
      </c>
      <c r="H19" s="10">
        <f>((D19-E19)/D19)</f>
        <v>1.0169034951848609E-2</v>
      </c>
      <c r="I19" s="9">
        <f t="shared" si="0"/>
        <v>60.399999999999636</v>
      </c>
      <c r="J19" s="9">
        <f t="shared" si="1"/>
        <v>151</v>
      </c>
      <c r="K19" s="9">
        <f t="shared" si="2"/>
        <v>211.39999999999964</v>
      </c>
      <c r="L19" s="10">
        <f t="shared" si="4"/>
        <v>1.4178974338336864E-2</v>
      </c>
      <c r="M19" s="9"/>
      <c r="X19" t="s">
        <v>14</v>
      </c>
    </row>
    <row r="20" spans="1:24" x14ac:dyDescent="0.35">
      <c r="A20" s="7" t="s">
        <v>37</v>
      </c>
      <c r="B20" s="8">
        <v>14459.46233</v>
      </c>
      <c r="C20" s="9">
        <v>14210.5</v>
      </c>
      <c r="D20" s="9">
        <v>14127</v>
      </c>
      <c r="E20" s="9">
        <v>13976</v>
      </c>
      <c r="F20" s="10">
        <f t="shared" si="3"/>
        <v>1.7217952114544518E-2</v>
      </c>
      <c r="G20" s="10">
        <f t="shared" si="3"/>
        <v>5.8759368072903839E-3</v>
      </c>
      <c r="H20" s="10">
        <f t="shared" si="3"/>
        <v>1.0688752035110072E-2</v>
      </c>
      <c r="I20" s="9">
        <f t="shared" si="0"/>
        <v>83.5</v>
      </c>
      <c r="J20" s="9">
        <f t="shared" si="1"/>
        <v>151</v>
      </c>
      <c r="K20" s="9">
        <f t="shared" si="2"/>
        <v>234.5</v>
      </c>
      <c r="L20" s="10">
        <f t="shared" si="4"/>
        <v>1.6501882410893353E-2</v>
      </c>
      <c r="M20" s="9"/>
    </row>
    <row r="21" spans="1:24" x14ac:dyDescent="0.35">
      <c r="A21" s="7" t="s">
        <v>38</v>
      </c>
      <c r="B21" s="8">
        <v>19601.634669999999</v>
      </c>
      <c r="C21" s="9">
        <v>19259.099999999999</v>
      </c>
      <c r="D21" s="9">
        <v>19144</v>
      </c>
      <c r="E21" s="9">
        <v>18940</v>
      </c>
      <c r="F21" s="10">
        <f>((B21-C21)/B21)</f>
        <v>1.7474801248298182E-2</v>
      </c>
      <c r="G21" s="10">
        <f t="shared" si="3"/>
        <v>5.9763955740402483E-3</v>
      </c>
      <c r="H21" s="10">
        <f>((D21-E21)/D21)</f>
        <v>1.065608023401588E-2</v>
      </c>
      <c r="I21" s="9">
        <f t="shared" si="0"/>
        <v>115.09999999999854</v>
      </c>
      <c r="J21" s="9">
        <f t="shared" si="1"/>
        <v>204</v>
      </c>
      <c r="K21" s="9">
        <f t="shared" si="2"/>
        <v>319.09999999999854</v>
      </c>
      <c r="L21" s="10">
        <f>(C21-E21)/C21</f>
        <v>1.6568790857308939E-2</v>
      </c>
      <c r="M21" s="9"/>
    </row>
    <row r="22" spans="1:24" ht="29" x14ac:dyDescent="0.35">
      <c r="A22" s="7" t="s">
        <v>39</v>
      </c>
      <c r="B22" s="8">
        <v>16134.591333333337</v>
      </c>
      <c r="C22" s="9">
        <v>16138.1</v>
      </c>
      <c r="D22" s="9">
        <v>16078</v>
      </c>
      <c r="E22" s="9">
        <v>15895</v>
      </c>
      <c r="F22" s="10">
        <f>((B22-C22)/B22)</f>
        <v>-2.1746238216856651E-4</v>
      </c>
      <c r="G22" s="10">
        <f t="shared" si="3"/>
        <v>3.7241063074339832E-3</v>
      </c>
      <c r="H22" s="10">
        <f>((D22-E22)/D22)</f>
        <v>1.1382012688145291E-2</v>
      </c>
      <c r="I22" s="9">
        <f t="shared" si="0"/>
        <v>60.100000000000364</v>
      </c>
      <c r="J22" s="9">
        <f t="shared" si="1"/>
        <v>183</v>
      </c>
      <c r="K22" s="9">
        <f t="shared" si="2"/>
        <v>243.10000000000036</v>
      </c>
      <c r="L22" s="10">
        <f>(C22-E22)/C22</f>
        <v>1.506373117033606E-2</v>
      </c>
      <c r="M22" s="7" t="s">
        <v>32</v>
      </c>
    </row>
    <row r="23" spans="1:24" x14ac:dyDescent="0.35">
      <c r="A23" s="7" t="s">
        <v>40</v>
      </c>
      <c r="B23" s="16">
        <v>14589.035666666667</v>
      </c>
      <c r="C23" s="9">
        <v>14483.1</v>
      </c>
      <c r="D23" s="9">
        <v>14417</v>
      </c>
      <c r="E23" s="9">
        <v>14249</v>
      </c>
      <c r="F23" s="10">
        <f t="shared" si="3"/>
        <v>7.2613206991268327E-3</v>
      </c>
      <c r="G23" s="10">
        <f t="shared" si="3"/>
        <v>4.5639400404609764E-3</v>
      </c>
      <c r="H23" s="10">
        <f t="shared" si="3"/>
        <v>1.1652909759311924E-2</v>
      </c>
      <c r="I23" s="9">
        <f t="shared" si="0"/>
        <v>66.100000000000364</v>
      </c>
      <c r="J23" s="9">
        <f t="shared" si="1"/>
        <v>168</v>
      </c>
      <c r="K23" s="9">
        <f t="shared" si="2"/>
        <v>234.10000000000036</v>
      </c>
      <c r="L23" s="10">
        <f t="shared" si="4"/>
        <v>1.6163666618334498E-2</v>
      </c>
      <c r="M23" s="9"/>
    </row>
    <row r="24" spans="1:24" ht="29" x14ac:dyDescent="0.35">
      <c r="A24" s="7" t="s">
        <v>41</v>
      </c>
      <c r="B24" s="8">
        <v>14044.598499999998</v>
      </c>
      <c r="C24" s="9">
        <v>13669</v>
      </c>
      <c r="D24" s="9">
        <v>13590</v>
      </c>
      <c r="E24" s="9">
        <v>13434</v>
      </c>
      <c r="F24" s="10">
        <f t="shared" si="3"/>
        <v>2.6743270731448696E-2</v>
      </c>
      <c r="G24" s="10">
        <f t="shared" si="3"/>
        <v>5.7795010607944982E-3</v>
      </c>
      <c r="H24" s="10">
        <f t="shared" si="3"/>
        <v>1.1479028697571744E-2</v>
      </c>
      <c r="I24" s="9">
        <f t="shared" si="0"/>
        <v>79</v>
      </c>
      <c r="J24" s="9">
        <f t="shared" si="1"/>
        <v>156</v>
      </c>
      <c r="K24" s="9">
        <f t="shared" si="2"/>
        <v>235</v>
      </c>
      <c r="L24" s="10">
        <f t="shared" si="4"/>
        <v>1.7192186699831736E-2</v>
      </c>
      <c r="M24" s="7" t="s">
        <v>32</v>
      </c>
    </row>
    <row r="25" spans="1:24" ht="101.5" x14ac:dyDescent="0.35">
      <c r="A25" s="7" t="s">
        <v>42</v>
      </c>
      <c r="B25" s="8">
        <v>16949</v>
      </c>
      <c r="C25" s="9">
        <v>16231.6</v>
      </c>
      <c r="D25" s="9">
        <v>16163</v>
      </c>
      <c r="E25" s="9">
        <v>15989</v>
      </c>
      <c r="F25" s="10">
        <f t="shared" si="3"/>
        <v>4.2326980942828461E-2</v>
      </c>
      <c r="G25" s="10">
        <f t="shared" si="3"/>
        <v>4.2263239606693337E-3</v>
      </c>
      <c r="H25" s="10">
        <f t="shared" si="3"/>
        <v>1.0765328218771268E-2</v>
      </c>
      <c r="I25" s="9">
        <f t="shared" si="0"/>
        <v>68.600000000000364</v>
      </c>
      <c r="J25" s="9">
        <f t="shared" si="1"/>
        <v>174</v>
      </c>
      <c r="K25" s="9">
        <f t="shared" si="2"/>
        <v>242.60000000000036</v>
      </c>
      <c r="L25" s="10">
        <f t="shared" si="4"/>
        <v>1.4946154414845139E-2</v>
      </c>
      <c r="M25" s="7" t="s">
        <v>43</v>
      </c>
    </row>
    <row r="26" spans="1:24" x14ac:dyDescent="0.35">
      <c r="A26" s="7" t="s">
        <v>44</v>
      </c>
      <c r="B26" s="8">
        <v>16222</v>
      </c>
      <c r="C26" s="9">
        <v>15691.8</v>
      </c>
      <c r="D26" s="9">
        <v>15637</v>
      </c>
      <c r="E26" s="9">
        <v>15487</v>
      </c>
      <c r="F26" s="10">
        <f t="shared" si="3"/>
        <v>3.2684009369991412E-2</v>
      </c>
      <c r="G26" s="10">
        <f t="shared" si="3"/>
        <v>3.4922698479460147E-3</v>
      </c>
      <c r="H26" s="10">
        <f t="shared" si="3"/>
        <v>9.5926328579650829E-3</v>
      </c>
      <c r="I26" s="9">
        <f t="shared" si="0"/>
        <v>54.799999999999272</v>
      </c>
      <c r="J26" s="9">
        <f t="shared" si="1"/>
        <v>150</v>
      </c>
      <c r="K26" s="9">
        <f t="shared" si="2"/>
        <v>204.79999999999927</v>
      </c>
      <c r="L26" s="10">
        <f t="shared" si="4"/>
        <v>1.305140264341881E-2</v>
      </c>
      <c r="M26" s="9"/>
    </row>
    <row r="27" spans="1:24" x14ac:dyDescent="0.35">
      <c r="A27" s="7" t="s">
        <v>45</v>
      </c>
      <c r="B27" s="9">
        <v>17966</v>
      </c>
      <c r="C27" s="9">
        <v>17939.400000000001</v>
      </c>
      <c r="D27" s="9">
        <v>17852</v>
      </c>
      <c r="E27" s="9">
        <v>17666</v>
      </c>
      <c r="F27" s="10">
        <f t="shared" si="3"/>
        <v>1.4805744183456833E-3</v>
      </c>
      <c r="G27" s="10">
        <f t="shared" si="3"/>
        <v>4.8719578135278463E-3</v>
      </c>
      <c r="H27" s="10">
        <f t="shared" si="3"/>
        <v>1.0419000672193592E-2</v>
      </c>
      <c r="I27" s="9">
        <f t="shared" si="0"/>
        <v>87.400000000001455</v>
      </c>
      <c r="J27" s="9">
        <f t="shared" si="1"/>
        <v>186</v>
      </c>
      <c r="K27" s="9">
        <f t="shared" ref="K27:K33" si="5">C27-E27</f>
        <v>273.40000000000146</v>
      </c>
      <c r="L27" s="10">
        <f t="shared" si="4"/>
        <v>1.5240197553987393E-2</v>
      </c>
      <c r="M27" s="9"/>
    </row>
    <row r="28" spans="1:24" x14ac:dyDescent="0.35">
      <c r="A28" s="7" t="s">
        <v>46</v>
      </c>
      <c r="B28" s="9">
        <v>18659</v>
      </c>
      <c r="C28" s="9">
        <v>18374.099999999999</v>
      </c>
      <c r="D28" s="9">
        <v>18304</v>
      </c>
      <c r="E28" s="9">
        <v>18092</v>
      </c>
      <c r="F28" s="10">
        <f t="shared" si="3"/>
        <v>1.5268771102417143E-2</v>
      </c>
      <c r="G28" s="10">
        <f t="shared" si="3"/>
        <v>3.8151528510239167E-3</v>
      </c>
      <c r="H28" s="10">
        <f t="shared" si="3"/>
        <v>1.1582167832167832E-2</v>
      </c>
      <c r="I28" s="9">
        <f>C28-D28</f>
        <v>70.099999999998545</v>
      </c>
      <c r="J28" s="9">
        <f t="shared" ref="J28:J33" si="6">D28-E28</f>
        <v>212</v>
      </c>
      <c r="K28" s="9">
        <f t="shared" si="5"/>
        <v>282.09999999999854</v>
      </c>
      <c r="L28" s="10">
        <f t="shared" si="4"/>
        <v>1.5353132942565816E-2</v>
      </c>
      <c r="M28" s="9"/>
    </row>
    <row r="29" spans="1:24" ht="24.75" customHeight="1" x14ac:dyDescent="0.35">
      <c r="A29" s="7" t="s">
        <v>47</v>
      </c>
      <c r="B29" s="9">
        <v>17307</v>
      </c>
      <c r="C29" s="9">
        <v>18134</v>
      </c>
      <c r="D29" s="9">
        <v>18021</v>
      </c>
      <c r="E29" s="9">
        <v>17843</v>
      </c>
      <c r="F29" s="10">
        <f t="shared" si="3"/>
        <v>-4.7784133587565725E-2</v>
      </c>
      <c r="G29" s="10">
        <f t="shared" si="3"/>
        <v>6.2313885518914744E-3</v>
      </c>
      <c r="H29" s="10">
        <f t="shared" si="3"/>
        <v>9.8773652960435047E-3</v>
      </c>
      <c r="I29" s="9">
        <f>C29-D29</f>
        <v>113</v>
      </c>
      <c r="J29" s="9">
        <f t="shared" si="6"/>
        <v>178</v>
      </c>
      <c r="K29" s="9">
        <f t="shared" si="5"/>
        <v>291</v>
      </c>
      <c r="L29" s="10">
        <f t="shared" si="4"/>
        <v>1.6047204146906364E-2</v>
      </c>
      <c r="M29" s="7" t="s">
        <v>48</v>
      </c>
    </row>
    <row r="30" spans="1:24" x14ac:dyDescent="0.35">
      <c r="A30" s="7" t="s">
        <v>49</v>
      </c>
      <c r="B30" s="9">
        <v>19074</v>
      </c>
      <c r="C30" s="9">
        <v>18842.8</v>
      </c>
      <c r="D30" s="9">
        <v>18742</v>
      </c>
      <c r="E30" s="9">
        <v>18534</v>
      </c>
      <c r="F30" s="10">
        <f t="shared" si="3"/>
        <v>1.2121212121212159E-2</v>
      </c>
      <c r="G30" s="10">
        <f t="shared" si="3"/>
        <v>5.3495234253932156E-3</v>
      </c>
      <c r="H30" s="10">
        <f t="shared" si="3"/>
        <v>1.1098068509230605E-2</v>
      </c>
      <c r="I30" s="9">
        <f t="shared" ref="I30:I33" si="7">C30-D30</f>
        <v>100.79999999999927</v>
      </c>
      <c r="J30" s="9">
        <f t="shared" si="6"/>
        <v>208</v>
      </c>
      <c r="K30" s="9">
        <f t="shared" si="5"/>
        <v>308.79999999999927</v>
      </c>
      <c r="L30" s="10">
        <f t="shared" si="4"/>
        <v>1.6388222557157071E-2</v>
      </c>
      <c r="M30" s="9"/>
    </row>
    <row r="31" spans="1:24" x14ac:dyDescent="0.35">
      <c r="A31" s="7" t="s">
        <v>50</v>
      </c>
      <c r="B31" s="9">
        <v>15567</v>
      </c>
      <c r="C31" s="9">
        <v>15083.1</v>
      </c>
      <c r="D31" s="9">
        <v>15012</v>
      </c>
      <c r="E31" s="9">
        <v>14846</v>
      </c>
      <c r="F31" s="10">
        <f t="shared" si="3"/>
        <v>3.1084987473501614E-2</v>
      </c>
      <c r="G31" s="10">
        <f t="shared" si="3"/>
        <v>4.7138850766752435E-3</v>
      </c>
      <c r="H31" s="10">
        <f t="shared" si="3"/>
        <v>1.1057820410338396E-2</v>
      </c>
      <c r="I31" s="9">
        <f t="shared" si="7"/>
        <v>71.100000000000364</v>
      </c>
      <c r="J31" s="9">
        <f t="shared" si="6"/>
        <v>166</v>
      </c>
      <c r="K31" s="9">
        <f t="shared" si="5"/>
        <v>237.10000000000036</v>
      </c>
      <c r="L31" s="10">
        <f t="shared" si="4"/>
        <v>1.571958019240079E-2</v>
      </c>
      <c r="M31" s="9"/>
    </row>
    <row r="32" spans="1:24" x14ac:dyDescent="0.35">
      <c r="A32" s="7" t="s">
        <v>51</v>
      </c>
      <c r="B32" s="11">
        <v>16869</v>
      </c>
      <c r="C32" s="11">
        <v>16570</v>
      </c>
      <c r="D32" s="11">
        <v>17110</v>
      </c>
      <c r="E32" s="11">
        <v>16330.163500000001</v>
      </c>
      <c r="F32" s="10">
        <f>((B32-C32)/B32)</f>
        <v>1.7724820676981445E-2</v>
      </c>
      <c r="G32" s="10">
        <f t="shared" si="3"/>
        <v>-3.2589016294508145E-2</v>
      </c>
      <c r="H32" s="10">
        <f t="shared" si="3"/>
        <v>4.5577819988310897E-2</v>
      </c>
      <c r="I32" s="9">
        <f t="shared" si="7"/>
        <v>-540</v>
      </c>
      <c r="J32" s="9">
        <f t="shared" si="6"/>
        <v>779.83649999999943</v>
      </c>
      <c r="K32" s="9">
        <f t="shared" si="5"/>
        <v>239.83649999999943</v>
      </c>
      <c r="L32" s="10">
        <f t="shared" si="4"/>
        <v>1.4474140012069972E-2</v>
      </c>
      <c r="M32" s="11"/>
    </row>
    <row r="33" spans="1:13" x14ac:dyDescent="0.35">
      <c r="A33" s="12" t="s">
        <v>2</v>
      </c>
      <c r="B33" s="12">
        <f>SUM(B2:B32)</f>
        <v>536536.31149666675</v>
      </c>
      <c r="C33" s="12">
        <f>SUM(C2:C32)</f>
        <v>533237.29999999981</v>
      </c>
      <c r="D33" s="12">
        <f>SUM(D2:D32)</f>
        <v>531317</v>
      </c>
      <c r="E33" s="12">
        <f>SUM(E2:E32)</f>
        <v>524925.16350000002</v>
      </c>
      <c r="F33" s="10">
        <f>((B33-C33)/B33)</f>
        <v>6.1487199020404618E-3</v>
      </c>
      <c r="G33" s="10">
        <f t="shared" si="3"/>
        <v>3.601210943045084E-3</v>
      </c>
      <c r="H33" s="10">
        <f t="shared" si="3"/>
        <v>1.2030175017927105E-2</v>
      </c>
      <c r="I33" s="9">
        <f t="shared" si="7"/>
        <v>1920.2999999998137</v>
      </c>
      <c r="J33" s="9">
        <f t="shared" si="6"/>
        <v>6391.8364999999758</v>
      </c>
      <c r="K33" s="9">
        <f t="shared" si="5"/>
        <v>8312.1364999997895</v>
      </c>
      <c r="L33" s="12">
        <f t="shared" ref="L33" si="8">(C33-E33)*100/C33</f>
        <v>1.5588062763050883</v>
      </c>
      <c r="M33" s="12"/>
    </row>
    <row r="34" spans="1:13" x14ac:dyDescent="0.35">
      <c r="A34" s="13" t="s">
        <v>3</v>
      </c>
      <c r="B34" s="13"/>
      <c r="C34" s="13">
        <f>-(547900*0.9859-C33)</f>
        <v>-6937.3100000001723</v>
      </c>
      <c r="D34" s="13"/>
      <c r="E34" s="13">
        <f>-(466100-E33)</f>
        <v>58825.163500000024</v>
      </c>
      <c r="F34" s="13"/>
      <c r="G34" s="14"/>
      <c r="H34" s="14"/>
      <c r="I34" s="14"/>
      <c r="J34" s="14"/>
      <c r="K34" s="14"/>
      <c r="L34" s="15"/>
      <c r="M34" s="14"/>
    </row>
  </sheetData>
  <conditionalFormatting sqref="B14">
    <cfRule type="cellIs" dxfId="0" priority="1" operator="lessThan">
      <formula>0</formula>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March_2026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Pratik Kumar</dc:creator>
  <cp:keywords/>
  <dc:description/>
  <cp:lastModifiedBy>Pratik Kumar</cp:lastModifiedBy>
  <cp:revision/>
  <dcterms:created xsi:type="dcterms:W3CDTF">2025-10-17T04:58:29Z</dcterms:created>
  <dcterms:modified xsi:type="dcterms:W3CDTF">2026-04-10T11:38:42Z</dcterms:modified>
  <cp:category/>
  <cp:contentStatus/>
</cp:coreProperties>
</file>