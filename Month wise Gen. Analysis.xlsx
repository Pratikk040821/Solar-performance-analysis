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https://d.docs.live.net/FBF5E3FACAB2818B/Documents/"/>
    </mc:Choice>
  </mc:AlternateContent>
  <xr:revisionPtr revIDLastSave="0" documentId="8_{7B599068-3DB6-4CB0-A195-54E6AB6FB10D}" xr6:coauthVersionLast="47" xr6:coauthVersionMax="47" xr10:uidLastSave="{00000000-0000-0000-0000-000000000000}"/>
  <bookViews>
    <workbookView xWindow="-110" yWindow="-110" windowWidth="19420" windowHeight="10300" xr2:uid="{5C60643C-AB0E-4B66-A606-1318C5151A98}"/>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 i="1" l="1"/>
  <c r="AC3" i="1"/>
  <c r="Z4" i="1"/>
  <c r="Z3" i="1"/>
  <c r="Z2" i="1"/>
  <c r="Y4" i="1"/>
  <c r="Y3" i="1"/>
  <c r="Y2" i="1"/>
  <c r="X4" i="1"/>
  <c r="X3" i="1"/>
  <c r="X2" i="1"/>
  <c r="U4" i="1"/>
  <c r="U3" i="1"/>
  <c r="U2" i="1"/>
  <c r="T4" i="1"/>
  <c r="T3" i="1"/>
  <c r="T2" i="1"/>
  <c r="Q4" i="1"/>
  <c r="Q3" i="1"/>
  <c r="Q2" i="1"/>
  <c r="P4" i="1"/>
  <c r="P3" i="1"/>
  <c r="P2" i="1"/>
  <c r="M4" i="1"/>
  <c r="M3" i="1"/>
  <c r="M2" i="1"/>
  <c r="L4" i="1"/>
  <c r="L2" i="1"/>
  <c r="L3" i="1"/>
  <c r="AD3" i="1"/>
  <c r="W4" i="1"/>
  <c r="W3" i="1"/>
  <c r="W2" i="1"/>
  <c r="I4" i="1"/>
  <c r="I3" i="1"/>
  <c r="I2" i="1"/>
  <c r="H4" i="1"/>
  <c r="H3" i="1"/>
  <c r="H2" i="1"/>
  <c r="AD2" i="1"/>
  <c r="AD4" i="1"/>
  <c r="AC4" i="1"/>
  <c r="AG2" i="1"/>
  <c r="AF2" i="1"/>
</calcChain>
</file>

<file path=xl/sharedStrings.xml><?xml version="1.0" encoding="utf-8"?>
<sst xmlns="http://schemas.openxmlformats.org/spreadsheetml/2006/main" count="41" uniqueCount="41">
  <si>
    <t>Month Name</t>
  </si>
  <si>
    <t>Actual Irradiance (kWh/m²)</t>
  </si>
  <si>
    <t>Actual Irradiance (kWh/m²), during downtime period</t>
  </si>
  <si>
    <t>PVsyst Irradiance (kWh/m²)</t>
  </si>
  <si>
    <t>Expected energy gen. at module(kWh)</t>
  </si>
  <si>
    <t>Expected Inv. I/P DC energy at MPPT(kWh)</t>
  </si>
  <si>
    <t>Actual Inv. I/P DC Energy at MPPT</t>
  </si>
  <si>
    <t>Diff. b/w expec. &amp; actual energy gen. at MPPT %age</t>
  </si>
  <si>
    <t>DC Loss %age</t>
  </si>
  <si>
    <t>Expected Inv. O/P AC energy</t>
  </si>
  <si>
    <t>Actual Inv. O/P AC Energy</t>
  </si>
  <si>
    <t>Diff. b/w expec. &amp; actual inv. O/P AC energy %age</t>
  </si>
  <si>
    <t>Inv. Loss %age</t>
  </si>
  <si>
    <t>Expected Energy  (kWh), MFM</t>
  </si>
  <si>
    <t>Actual Energy(MFM) (kWh</t>
  </si>
  <si>
    <t>Diff. b/w expec. &amp; actual MFM meter energy %age</t>
  </si>
  <si>
    <t>Plant AC Loss %age</t>
  </si>
  <si>
    <t>Expected Energy  (kWh), Main meter</t>
  </si>
  <si>
    <t>Actual main meter energy (TrackSo), kWh</t>
  </si>
  <si>
    <t>Diff. b/w expec. &amp; actual main meter energy %age</t>
  </si>
  <si>
    <t>TL Line Loss %age</t>
  </si>
  <si>
    <t>PVsyst PR</t>
  </si>
  <si>
    <t>Month PR %</t>
  </si>
  <si>
    <t>Overall Loss %age (Module-Main meter), Exected</t>
  </si>
  <si>
    <t>Overall Loss %age (Module-Main meter), Actual</t>
  </si>
  <si>
    <t>Gain/Loss of Actual vs Expected(kWh), Main meter</t>
  </si>
  <si>
    <t>Total plant Down Time(Minutes), ( time considering from 07:00 to 19:00)</t>
  </si>
  <si>
    <t>Total Grid Down Time(Minutes), ( time considering from 07:00 to 19:00)</t>
  </si>
  <si>
    <t>Day time Plant availability, %age</t>
  </si>
  <si>
    <t>Day Time Grid Availability( % )</t>
  </si>
  <si>
    <t>Expected Downtime losses(kWh), Inv. I/P, MPPT</t>
  </si>
  <si>
    <t>Expected Downtime losses(kWh), Inv. O/P</t>
  </si>
  <si>
    <t>Expected Downtime losses(kWh), MFM</t>
  </si>
  <si>
    <t>Expected Downtime losses(kWh), Main Meter</t>
  </si>
  <si>
    <t>Ambient Temp.(°C)  (Average)</t>
  </si>
  <si>
    <t>Wind Speed [Km/hr]   (Average)</t>
  </si>
  <si>
    <t>Module Temp.(°C)  (Average)</t>
  </si>
  <si>
    <t>Remarks</t>
  </si>
  <si>
    <t>Multiple grid breakdown observed due to 132 kV Siwana side LD messages and line changeovers.
Interruptions also recorded due to DF/DT fault (220 kV Balotra line impact).
Several trippings from Kerli Nadi GSS (33 kV incomer trips, fuse failures, rural feeder faults).
Solar VCB tripping observed due to earth fault (2 instances).
Extended outage due to Hinglaj feeder jumper burn &amp; replacement work.
Scheduled shutdowns carried out for VCB yearly maintenance, auxiliary transformer maintenance, and module isolation for VOC checking.
One inverter (Inv-9) tripped due to T203 module issue (temporarily bypassed).
Inv-2 remained off for one full day, contributing to generation loss.
Majority of downtime attributed to grid and feeder-side disturbances, internal plant faults minimal.</t>
  </si>
  <si>
    <t>Multiple grid breakdown observed due to 132 kV Siwana side LD messages and line changeovers.
Interruptions also recorded due to DF/DT fault  (220 kV Balotra Line Impact) .One time shutdown taken for  Epoxy bushing of IDT X'mer replacement and testing of X'mer And Transformer yearly maintenance.  Majority of downtime this month due to DF/DT fault (220 kV balotra) nd IDT t/f epoxy busing replacement , testing and yearly maintenance .</t>
  </si>
  <si>
    <t>Compared to March 2025, plant performance in March 2026 showed improvement in terms of better grid availability and significantly reduced downtime losses, indicating improved operational stability.
However, despite these improvements, overall generation remained lower than March 2025 primarily due to lower irradiance (POA) and higher ambient and module temperatures, which adversely affected plant efficiency and performance.
Overall, operational parameters improved, but environmental factors limited the generation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</si>
</sst>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b/>
      <sz val="11"/>
      <color theme="0"/>
      <name val="Aptos Narrow"/>
      <family val="2"/>
      <scheme val="minor"/>
    </font>
    <font>
      <b/>
      <sz val="8"/>
      <color rgb="FFFFFFFF"/>
      <name val="Times New Roman"/>
      <family val="1"/>
    </font>
    <font>
      <b/>
      <sz val="11"/>
      <color rgb="FFFFFFFF"/>
      <name val="Calibri"/>
      <family val="2"/>
    </font>
    <font>
      <b/>
      <sz val="10"/>
      <color rgb="FFFFFFFF"/>
      <name val="Aptos Narrow"/>
      <family val="2"/>
      <scheme val="minor"/>
    </font>
    <font>
      <b/>
      <sz val="9"/>
      <color rgb="FFFFFFFF"/>
      <name val="Times New Roman"/>
      <family val="1"/>
    </font>
    <font>
      <b/>
      <sz val="8"/>
      <color rgb="FFFFFFFF"/>
      <name val="Calibri"/>
      <family val="2"/>
    </font>
    <font>
      <b/>
      <sz val="8"/>
      <color theme="0"/>
      <name val="Times New Roman"/>
      <family val="1"/>
    </font>
    <font>
      <b/>
      <sz val="8"/>
      <color rgb="FF000000"/>
      <name val="Times New Roman"/>
      <family val="1"/>
    </font>
    <font>
      <b/>
      <sz val="8"/>
      <color theme="0"/>
      <name val="Calibri"/>
      <family val="2"/>
    </font>
    <font>
      <b/>
      <sz val="11"/>
      <color theme="0"/>
      <name val="Times New Roman"/>
      <family val="1"/>
    </font>
    <font>
      <b/>
      <sz val="10"/>
      <color theme="0"/>
      <name val="Calibri"/>
      <family val="2"/>
      <scheme val="minor"/>
    </font>
    <font>
      <b/>
      <sz val="10"/>
      <color theme="0"/>
      <name val="Aptos Narrow"/>
      <family val="2"/>
      <scheme val="minor"/>
    </font>
    <font>
      <b/>
      <sz val="11"/>
      <color theme="1"/>
      <name val="Aptos Narrow"/>
      <family val="2"/>
      <scheme val="minor"/>
    </font>
    <font>
      <b/>
      <sz val="11"/>
      <color theme="1"/>
      <name val="Times New Roman"/>
      <family val="1"/>
    </font>
    <font>
      <b/>
      <sz val="11"/>
      <color theme="1"/>
      <name val="Calibri"/>
      <family val="2"/>
    </font>
    <font>
      <b/>
      <sz val="9"/>
      <color theme="1"/>
      <name val="Aptos Narrow"/>
      <family val="2"/>
      <scheme val="minor"/>
    </font>
  </fonts>
  <fills count="12">
    <fill>
      <patternFill patternType="none"/>
    </fill>
    <fill>
      <patternFill patternType="gray125"/>
    </fill>
    <fill>
      <patternFill patternType="solid">
        <fgColor rgb="FFA02B93"/>
        <bgColor rgb="FF000000"/>
      </patternFill>
    </fill>
    <fill>
      <patternFill patternType="solid">
        <fgColor rgb="FF0070C0"/>
        <bgColor rgb="FF000000"/>
      </patternFill>
    </fill>
    <fill>
      <patternFill patternType="solid">
        <fgColor rgb="FF002060"/>
        <bgColor rgb="FF000000"/>
      </patternFill>
    </fill>
    <fill>
      <patternFill patternType="solid">
        <fgColor rgb="FF4BACC6"/>
        <bgColor rgb="FF000000"/>
      </patternFill>
    </fill>
    <fill>
      <patternFill patternType="solid">
        <fgColor rgb="FF0070C0"/>
        <bgColor indexed="64"/>
      </patternFill>
    </fill>
    <fill>
      <patternFill patternType="solid">
        <fgColor rgb="FF002060"/>
        <bgColor indexed="64"/>
      </patternFill>
    </fill>
    <fill>
      <patternFill patternType="solid">
        <fgColor rgb="FFFF0000"/>
        <bgColor indexed="64"/>
      </patternFill>
    </fill>
    <fill>
      <patternFill patternType="solid">
        <fgColor rgb="FFFFFF00"/>
        <bgColor rgb="FF000000"/>
      </patternFill>
    </fill>
    <fill>
      <patternFill patternType="solid">
        <fgColor rgb="FFFF0000"/>
        <bgColor rgb="FF000000"/>
      </patternFill>
    </fill>
    <fill>
      <patternFill patternType="solid">
        <fgColor rgb="FFFFFF00"/>
        <bgColor indexed="64"/>
      </patternFill>
    </fill>
  </fills>
  <borders count="7">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41">
    <xf numFmtId="0" fontId="0" fillId="0" borderId="0" xfId="0"/>
    <xf numFmtId="17" fontId="2" fillId="2"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0" fillId="0" borderId="0" xfId="0" applyAlignment="1">
      <alignment horizontal="center" wrapText="1"/>
    </xf>
    <xf numFmtId="0" fontId="1" fillId="6" borderId="0" xfId="0" applyFont="1" applyFill="1" applyAlignment="1">
      <alignment horizontal="center" vertical="center"/>
    </xf>
    <xf numFmtId="0" fontId="1" fillId="7" borderId="0" xfId="0" applyFont="1" applyFill="1" applyAlignment="1">
      <alignment horizontal="center" vertical="center"/>
    </xf>
    <xf numFmtId="10" fontId="1" fillId="8" borderId="0" xfId="0" applyNumberFormat="1" applyFont="1" applyFill="1" applyAlignment="1">
      <alignment horizontal="center" vertical="center"/>
    </xf>
    <xf numFmtId="0" fontId="6" fillId="10" borderId="2"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8" fillId="9" borderId="3" xfId="0" applyFont="1" applyFill="1" applyBorder="1" applyAlignment="1">
      <alignment horizontal="center" vertical="center" wrapText="1"/>
    </xf>
    <xf numFmtId="0" fontId="7" fillId="10" borderId="2" xfId="0" applyFont="1" applyFill="1" applyBorder="1" applyAlignment="1">
      <alignment horizontal="center" vertical="center" wrapText="1"/>
    </xf>
    <xf numFmtId="0" fontId="0" fillId="0" borderId="0" xfId="0" applyAlignment="1">
      <alignment horizontal="center" vertical="center"/>
    </xf>
    <xf numFmtId="0" fontId="9" fillId="4" borderId="2"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10" fillId="10" borderId="2" xfId="0" applyFont="1" applyFill="1" applyBorder="1" applyAlignment="1">
      <alignment horizontal="center" vertical="center" wrapText="1"/>
    </xf>
    <xf numFmtId="0" fontId="11" fillId="6" borderId="2" xfId="0" applyFont="1" applyFill="1" applyBorder="1" applyAlignment="1">
      <alignment horizontal="center" vertical="center" wrapText="1"/>
    </xf>
    <xf numFmtId="0" fontId="12" fillId="6" borderId="0" xfId="0" applyFont="1" applyFill="1" applyAlignment="1">
      <alignment horizontal="center" vertical="center"/>
    </xf>
    <xf numFmtId="10" fontId="13" fillId="11" borderId="0" xfId="0" applyNumberFormat="1" applyFont="1" applyFill="1" applyAlignment="1">
      <alignment horizontal="center" vertical="center"/>
    </xf>
    <xf numFmtId="10" fontId="14" fillId="11" borderId="2" xfId="0" applyNumberFormat="1" applyFont="1" applyFill="1" applyBorder="1" applyAlignment="1">
      <alignment horizontal="center" vertical="center" wrapText="1"/>
    </xf>
    <xf numFmtId="0" fontId="1" fillId="8" borderId="0" xfId="0" applyNumberFormat="1" applyFont="1" applyFill="1" applyAlignment="1">
      <alignment horizontal="center" vertical="center"/>
    </xf>
    <xf numFmtId="0" fontId="15" fillId="11" borderId="2" xfId="0" applyFont="1" applyFill="1" applyBorder="1" applyAlignment="1">
      <alignment horizontal="center" vertical="center" wrapText="1"/>
    </xf>
    <xf numFmtId="0" fontId="14" fillId="11" borderId="2" xfId="0" applyFont="1" applyFill="1" applyBorder="1" applyAlignment="1">
      <alignment horizontal="center" vertical="center" wrapText="1"/>
    </xf>
    <xf numFmtId="10" fontId="13" fillId="11" borderId="2" xfId="0" applyNumberFormat="1" applyFont="1" applyFill="1" applyBorder="1" applyAlignment="1">
      <alignment horizontal="center" vertical="center"/>
    </xf>
    <xf numFmtId="0" fontId="13" fillId="11" borderId="2" xfId="0" applyFont="1" applyFill="1" applyBorder="1" applyAlignment="1">
      <alignment horizontal="center" vertical="center"/>
    </xf>
    <xf numFmtId="0" fontId="7" fillId="10" borderId="5" xfId="0" applyFont="1" applyFill="1" applyBorder="1" applyAlignment="1">
      <alignment horizontal="center" vertical="center"/>
    </xf>
    <xf numFmtId="0" fontId="10" fillId="10" borderId="5" xfId="0" applyFont="1" applyFill="1" applyBorder="1" applyAlignment="1">
      <alignment horizontal="center" vertical="center" wrapText="1"/>
    </xf>
    <xf numFmtId="0" fontId="15" fillId="11" borderId="1" xfId="0" applyFont="1" applyFill="1" applyBorder="1" applyAlignment="1">
      <alignment horizontal="center" vertical="center" wrapText="1"/>
    </xf>
    <xf numFmtId="0" fontId="14" fillId="11" borderId="1" xfId="0" applyFont="1" applyFill="1" applyBorder="1" applyAlignment="1">
      <alignment horizontal="center" vertical="center" wrapText="1"/>
    </xf>
    <xf numFmtId="10" fontId="13" fillId="11" borderId="1" xfId="0" applyNumberFormat="1" applyFont="1" applyFill="1" applyBorder="1" applyAlignment="1">
      <alignment horizontal="center" vertical="center"/>
    </xf>
    <xf numFmtId="0" fontId="13" fillId="11" borderId="6" xfId="0" applyFont="1" applyFill="1" applyBorder="1" applyAlignment="1">
      <alignment horizontal="center" vertical="center"/>
    </xf>
    <xf numFmtId="10" fontId="13" fillId="11" borderId="6" xfId="0" applyNumberFormat="1" applyFont="1" applyFill="1" applyBorder="1" applyAlignment="1">
      <alignment horizontal="center" vertical="center"/>
    </xf>
    <xf numFmtId="0" fontId="1" fillId="8" borderId="0" xfId="0" applyFont="1" applyFill="1" applyAlignment="1">
      <alignment horizontal="center" vertical="center"/>
    </xf>
    <xf numFmtId="0" fontId="8" fillId="9" borderId="1" xfId="0" applyFont="1" applyFill="1" applyBorder="1" applyAlignment="1">
      <alignment horizontal="center" vertical="center" wrapText="1"/>
    </xf>
    <xf numFmtId="0" fontId="16" fillId="0" borderId="4" xfId="0" applyFont="1" applyBorder="1" applyAlignment="1">
      <alignment horizontal="center" vertical="center" wrapText="1"/>
    </xf>
    <xf numFmtId="0" fontId="13" fillId="0" borderId="0" xfId="0" applyFont="1" applyAlignment="1">
      <alignment horizontal="center" vertical="center" wrapText="1"/>
    </xf>
    <xf numFmtId="0" fontId="13" fillId="0" borderId="2" xfId="0" applyFont="1" applyBorder="1" applyAlignment="1">
      <alignment horizontal="center" vertical="center" wrapText="1"/>
    </xf>
  </cellXfs>
  <cellStyles count="1">
    <cellStyle name="Normal" xfId="0" builtinId="0"/>
  </cellStyles>
  <dxfs count="20">
    <dxf>
      <font>
        <b/>
        <i val="0"/>
        <color theme="0"/>
      </font>
      <fill>
        <patternFill patternType="solid">
          <bgColor rgb="FFFF0000"/>
        </patternFill>
      </fill>
    </dxf>
    <dxf>
      <font>
        <b/>
        <i val="0"/>
        <color theme="0"/>
      </font>
      <fill>
        <patternFill patternType="solid">
          <bgColor rgb="FF00B050"/>
        </patternFill>
      </fill>
    </dxf>
    <dxf>
      <font>
        <b/>
        <i val="0"/>
        <color theme="0"/>
      </font>
      <fill>
        <patternFill patternType="solid">
          <bgColor rgb="FFFF0000"/>
        </patternFill>
      </fill>
    </dxf>
    <dxf>
      <font>
        <b/>
        <i val="0"/>
        <color theme="0"/>
      </font>
      <fill>
        <patternFill patternType="solid">
          <bgColor rgb="FF00B050"/>
        </patternFill>
      </fill>
    </dxf>
    <dxf>
      <font>
        <b/>
        <i val="0"/>
        <color theme="0"/>
      </font>
      <fill>
        <patternFill patternType="solid">
          <bgColor rgb="FFFF0000"/>
        </patternFill>
      </fill>
    </dxf>
    <dxf>
      <font>
        <b/>
        <i val="0"/>
        <color theme="0"/>
      </font>
      <fill>
        <patternFill patternType="solid">
          <bgColor rgb="FF00B050"/>
        </patternFill>
      </fill>
    </dxf>
    <dxf>
      <font>
        <b/>
        <i val="0"/>
        <color theme="0"/>
      </font>
      <fill>
        <patternFill patternType="solid">
          <bgColor rgb="FFFF0000"/>
        </patternFill>
      </fill>
    </dxf>
    <dxf>
      <font>
        <b/>
        <i val="0"/>
        <color theme="0"/>
      </font>
      <fill>
        <patternFill patternType="solid">
          <bgColor rgb="FF00B050"/>
        </patternFill>
      </fill>
    </dxf>
    <dxf>
      <font>
        <b/>
        <i val="0"/>
        <color theme="0"/>
      </font>
      <fill>
        <patternFill patternType="solid">
          <bgColor rgb="FFFF0000"/>
        </patternFill>
      </fill>
    </dxf>
    <dxf>
      <font>
        <b/>
        <i val="0"/>
        <color theme="0"/>
      </font>
      <fill>
        <patternFill patternType="solid">
          <bgColor rgb="FF00B050"/>
        </patternFill>
      </fill>
    </dxf>
    <dxf>
      <font>
        <b/>
        <i val="0"/>
        <color theme="0"/>
      </font>
      <fill>
        <patternFill patternType="solid">
          <bgColor rgb="FFFF0000"/>
        </patternFill>
      </fill>
    </dxf>
    <dxf>
      <font>
        <b/>
        <i val="0"/>
        <color theme="0"/>
      </font>
      <fill>
        <patternFill patternType="solid">
          <bgColor rgb="FF00B050"/>
        </patternFill>
      </fill>
    </dxf>
    <dxf>
      <font>
        <b/>
        <i val="0"/>
        <color theme="0"/>
      </font>
      <fill>
        <patternFill patternType="solid">
          <bgColor rgb="FFFF0000"/>
        </patternFill>
      </fill>
    </dxf>
    <dxf>
      <font>
        <b/>
        <i val="0"/>
        <color theme="0"/>
      </font>
      <fill>
        <patternFill patternType="solid">
          <bgColor rgb="FF00B050"/>
        </patternFill>
      </fill>
    </dxf>
    <dxf>
      <font>
        <b/>
        <i val="0"/>
        <color theme="0"/>
      </font>
      <fill>
        <patternFill patternType="solid">
          <bgColor rgb="FFFF0000"/>
        </patternFill>
      </fill>
    </dxf>
    <dxf>
      <font>
        <b/>
        <i val="0"/>
        <color theme="0"/>
      </font>
      <fill>
        <patternFill patternType="solid">
          <bgColor rgb="FF00B050"/>
        </patternFill>
      </fill>
    </dxf>
    <dxf>
      <font>
        <b/>
        <i val="0"/>
        <color theme="0"/>
      </font>
      <fill>
        <patternFill patternType="solid">
          <bgColor rgb="FFFF0000"/>
        </patternFill>
      </fill>
    </dxf>
    <dxf>
      <font>
        <b/>
        <i val="0"/>
        <color theme="0"/>
      </font>
      <fill>
        <patternFill patternType="solid">
          <bgColor rgb="FF00B050"/>
        </patternFill>
      </fill>
    </dxf>
    <dxf>
      <font>
        <b/>
        <i val="0"/>
        <color theme="0"/>
      </font>
      <fill>
        <patternFill patternType="solid">
          <bgColor rgb="FFFF0000"/>
        </patternFill>
      </fill>
    </dxf>
    <dxf>
      <font>
        <b/>
        <i val="0"/>
        <color theme="0"/>
      </font>
      <fill>
        <patternFill patternType="solid">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Losses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Sheet1!$A$2</c:f>
              <c:strCache>
                <c:ptCount val="1"/>
                <c:pt idx="0">
                  <c:v>Jan-26</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(Sheet1!$I$1,Sheet1!$M$1,Sheet1!$Q$1,Sheet1!$U$1,Sheet1!$Y$1)</c:f>
              <c:strCache>
                <c:ptCount val="5"/>
                <c:pt idx="0">
                  <c:v>DC Loss %age</c:v>
                </c:pt>
                <c:pt idx="1">
                  <c:v>Inv. Loss %age</c:v>
                </c:pt>
                <c:pt idx="2">
                  <c:v>Plant AC Loss %age</c:v>
                </c:pt>
                <c:pt idx="3">
                  <c:v>TL Line Loss %age</c:v>
                </c:pt>
                <c:pt idx="4">
                  <c:v>Overall Loss %age (Module-Main meter), Actual</c:v>
                </c:pt>
              </c:strCache>
            </c:strRef>
          </c:cat>
          <c:val>
            <c:numRef>
              <c:f>(Sheet1!$I$2,Sheet1!$M$2,Sheet1!$Q$2,Sheet1!$U$2,Sheet1!$Y$2)</c:f>
              <c:numCache>
                <c:formatCode>0.00%</c:formatCode>
                <c:ptCount val="5"/>
                <c:pt idx="0">
                  <c:v>-0.11944066159428172</c:v>
                </c:pt>
                <c:pt idx="1">
                  <c:v>-1.2303877338859162E-2</c:v>
                </c:pt>
                <c:pt idx="2">
                  <c:v>-1.7479906631568898E-2</c:v>
                </c:pt>
                <c:pt idx="3">
                  <c:v>-2.7709703169322484E-3</c:v>
                </c:pt>
                <c:pt idx="4">
                  <c:v>-0.14784552426982578</c:v>
                </c:pt>
              </c:numCache>
            </c:numRef>
          </c:val>
          <c:smooth val="0"/>
          <c:extLst>
            <c:ext xmlns:c16="http://schemas.microsoft.com/office/drawing/2014/chart" uri="{C3380CC4-5D6E-409C-BE32-E72D297353CC}">
              <c16:uniqueId val="{00000000-F4B1-49CD-9E69-8140DEA129C6}"/>
            </c:ext>
          </c:extLst>
        </c:ser>
        <c:ser>
          <c:idx val="1"/>
          <c:order val="1"/>
          <c:tx>
            <c:strRef>
              <c:f>Sheet1!$A$3</c:f>
              <c:strCache>
                <c:ptCount val="1"/>
                <c:pt idx="0">
                  <c:v>Feb-26</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(Sheet1!$I$1,Sheet1!$M$1,Sheet1!$Q$1,Sheet1!$U$1,Sheet1!$Y$1)</c:f>
              <c:strCache>
                <c:ptCount val="5"/>
                <c:pt idx="0">
                  <c:v>DC Loss %age</c:v>
                </c:pt>
                <c:pt idx="1">
                  <c:v>Inv. Loss %age</c:v>
                </c:pt>
                <c:pt idx="2">
                  <c:v>Plant AC Loss %age</c:v>
                </c:pt>
                <c:pt idx="3">
                  <c:v>TL Line Loss %age</c:v>
                </c:pt>
                <c:pt idx="4">
                  <c:v>Overall Loss %age (Module-Main meter), Actual</c:v>
                </c:pt>
              </c:strCache>
            </c:strRef>
          </c:cat>
          <c:val>
            <c:numRef>
              <c:f>(Sheet1!$I$3,Sheet1!$M$3,Sheet1!$Q$3,Sheet1!$U$3,Sheet1!$Y$3)</c:f>
              <c:numCache>
                <c:formatCode>0.00%</c:formatCode>
                <c:ptCount val="5"/>
                <c:pt idx="0">
                  <c:v>-0.14939501771409749</c:v>
                </c:pt>
                <c:pt idx="1">
                  <c:v>-8.541891926322577E-3</c:v>
                </c:pt>
                <c:pt idx="2">
                  <c:v>-5.2636006799804576E-3</c:v>
                </c:pt>
                <c:pt idx="3">
                  <c:v>-9.7090460556150116E-3</c:v>
                </c:pt>
                <c:pt idx="4">
                  <c:v>-0.16924471509789904</c:v>
                </c:pt>
              </c:numCache>
            </c:numRef>
          </c:val>
          <c:smooth val="0"/>
          <c:extLst>
            <c:ext xmlns:c16="http://schemas.microsoft.com/office/drawing/2014/chart" uri="{C3380CC4-5D6E-409C-BE32-E72D297353CC}">
              <c16:uniqueId val="{00000002-F4B1-49CD-9E69-8140DEA129C6}"/>
            </c:ext>
          </c:extLst>
        </c:ser>
        <c:ser>
          <c:idx val="2"/>
          <c:order val="2"/>
          <c:tx>
            <c:strRef>
              <c:f>Sheet1!$A$4</c:f>
              <c:strCache>
                <c:ptCount val="1"/>
                <c:pt idx="0">
                  <c:v>Mar-26</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(Sheet1!$I$1,Sheet1!$M$1,Sheet1!$Q$1,Sheet1!$U$1,Sheet1!$Y$1)</c:f>
              <c:strCache>
                <c:ptCount val="5"/>
                <c:pt idx="0">
                  <c:v>DC Loss %age</c:v>
                </c:pt>
                <c:pt idx="1">
                  <c:v>Inv. Loss %age</c:v>
                </c:pt>
                <c:pt idx="2">
                  <c:v>Plant AC Loss %age</c:v>
                </c:pt>
                <c:pt idx="3">
                  <c:v>TL Line Loss %age</c:v>
                </c:pt>
                <c:pt idx="4">
                  <c:v>Overall Loss %age (Module-Main meter), Actual</c:v>
                </c:pt>
              </c:strCache>
            </c:strRef>
          </c:cat>
          <c:val>
            <c:numRef>
              <c:f>(Sheet1!$I$4,Sheet1!$M$4,Sheet1!$Q$4,Sheet1!$U$4,Sheet1!$Y$4)</c:f>
              <c:numCache>
                <c:formatCode>0.00%</c:formatCode>
                <c:ptCount val="5"/>
                <c:pt idx="0">
                  <c:v>-5.0111646348569308E-2</c:v>
                </c:pt>
                <c:pt idx="1">
                  <c:v>-6.3434877137852506E-3</c:v>
                </c:pt>
                <c:pt idx="2">
                  <c:v>-4.5650914743944589E-3</c:v>
                </c:pt>
                <c:pt idx="3">
                  <c:v>-1.0585736924320504E-2</c:v>
                </c:pt>
                <c:pt idx="4">
                  <c:v>-7.0391941951940859E-2</c:v>
                </c:pt>
              </c:numCache>
            </c:numRef>
          </c:val>
          <c:smooth val="0"/>
          <c:extLst>
            <c:ext xmlns:c16="http://schemas.microsoft.com/office/drawing/2014/chart" uri="{C3380CC4-5D6E-409C-BE32-E72D297353CC}">
              <c16:uniqueId val="{00000004-F4B1-49CD-9E69-8140DEA129C6}"/>
            </c:ext>
          </c:extLst>
        </c:ser>
        <c:dLbls>
          <c:dLblPos val="r"/>
          <c:showLegendKey val="0"/>
          <c:showVal val="1"/>
          <c:showCatName val="0"/>
          <c:showSerName val="0"/>
          <c:showPercent val="0"/>
          <c:showBubbleSize val="0"/>
        </c:dLbls>
        <c:marker val="1"/>
        <c:smooth val="0"/>
        <c:axId val="1739560968"/>
        <c:axId val="1739577864"/>
      </c:lineChart>
      <c:catAx>
        <c:axId val="17395609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577864"/>
        <c:crosses val="autoZero"/>
        <c:auto val="1"/>
        <c:lblAlgn val="ctr"/>
        <c:lblOffset val="100"/>
        <c:noMultiLvlLbl val="0"/>
      </c:catAx>
      <c:valAx>
        <c:axId val="17395778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560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38</xdr:col>
      <xdr:colOff>600075</xdr:colOff>
      <xdr:row>0</xdr:row>
      <xdr:rowOff>0</xdr:rowOff>
    </xdr:from>
    <xdr:to>
      <xdr:col>59</xdr:col>
      <xdr:colOff>581025</xdr:colOff>
      <xdr:row>5</xdr:row>
      <xdr:rowOff>295275</xdr:rowOff>
    </xdr:to>
    <xdr:graphicFrame macro="">
      <xdr:nvGraphicFramePr>
        <xdr:cNvPr id="2" name="Chart 1">
          <a:extLst>
            <a:ext uri="{FF2B5EF4-FFF2-40B4-BE49-F238E27FC236}">
              <a16:creationId xmlns:a16="http://schemas.microsoft.com/office/drawing/2014/main" id="{8908ED52-33D1-41DF-E002-F19463A6E7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0CEDB-D9EE-454B-B173-62E505AA2E77}">
  <dimension ref="A1:AL26"/>
  <sheetViews>
    <sheetView tabSelected="1" workbookViewId="0">
      <pane xSplit="1" topLeftCell="AE2" activePane="topRight" state="frozen"/>
      <selection pane="topRight" activeCell="AL4" sqref="AL4"/>
    </sheetView>
  </sheetViews>
  <sheetFormatPr defaultRowHeight="14.45"/>
  <cols>
    <col min="2" max="2" width="11.85546875" customWidth="1"/>
    <col min="5" max="5" width="12.85546875" customWidth="1"/>
    <col min="6" max="6" width="10.5703125" customWidth="1"/>
    <col min="11" max="11" width="14.42578125" customWidth="1"/>
    <col min="14" max="14" width="15" bestFit="1" customWidth="1"/>
    <col min="18" max="18" width="13" bestFit="1" customWidth="1"/>
    <col min="22" max="22" width="9.140625" bestFit="1" customWidth="1"/>
    <col min="23" max="23" width="11.42578125" bestFit="1" customWidth="1"/>
    <col min="24" max="24" width="14.140625" customWidth="1"/>
    <col min="25" max="25" width="16.42578125" customWidth="1"/>
    <col min="26" max="26" width="13.5703125" customWidth="1"/>
    <col min="27" max="27" width="11.85546875" customWidth="1"/>
    <col min="29" max="29" width="11.5703125" bestFit="1" customWidth="1"/>
    <col min="30" max="32" width="11.42578125" bestFit="1" customWidth="1"/>
    <col min="33" max="33" width="9" bestFit="1" customWidth="1"/>
    <col min="34" max="34" width="10.42578125" bestFit="1" customWidth="1"/>
    <col min="38" max="38" width="106.7109375" customWidth="1"/>
  </cols>
  <sheetData>
    <row r="1" spans="1:38" s="8" customFormat="1" ht="88.5">
      <c r="A1" s="1" t="s">
        <v>0</v>
      </c>
      <c r="B1" s="2" t="s">
        <v>1</v>
      </c>
      <c r="C1" s="2" t="s">
        <v>2</v>
      </c>
      <c r="D1" s="2" t="s">
        <v>3</v>
      </c>
      <c r="E1" s="3" t="s">
        <v>4</v>
      </c>
      <c r="F1" s="4" t="s">
        <v>5</v>
      </c>
      <c r="G1" s="5" t="s">
        <v>6</v>
      </c>
      <c r="H1" s="5" t="s">
        <v>7</v>
      </c>
      <c r="I1" s="5" t="s">
        <v>8</v>
      </c>
      <c r="J1" s="4" t="s">
        <v>9</v>
      </c>
      <c r="K1" s="4" t="s">
        <v>10</v>
      </c>
      <c r="L1" s="4" t="s">
        <v>11</v>
      </c>
      <c r="M1" s="4" t="s">
        <v>12</v>
      </c>
      <c r="N1" s="2" t="s">
        <v>13</v>
      </c>
      <c r="O1" s="2" t="s">
        <v>14</v>
      </c>
      <c r="P1" s="2" t="s">
        <v>15</v>
      </c>
      <c r="Q1" s="2" t="s">
        <v>16</v>
      </c>
      <c r="R1" s="2" t="s">
        <v>17</v>
      </c>
      <c r="S1" s="2" t="s">
        <v>18</v>
      </c>
      <c r="T1" s="2" t="s">
        <v>19</v>
      </c>
      <c r="U1" s="2" t="s">
        <v>20</v>
      </c>
      <c r="V1" s="2" t="s">
        <v>21</v>
      </c>
      <c r="W1" s="2" t="s">
        <v>22</v>
      </c>
      <c r="X1" s="3" t="s">
        <v>23</v>
      </c>
      <c r="Y1" s="3" t="s">
        <v>24</v>
      </c>
      <c r="Z1" s="2" t="s">
        <v>25</v>
      </c>
      <c r="AA1" s="6" t="s">
        <v>26</v>
      </c>
      <c r="AB1" s="6" t="s">
        <v>27</v>
      </c>
      <c r="AC1" s="2" t="s">
        <v>28</v>
      </c>
      <c r="AD1" s="2" t="s">
        <v>29</v>
      </c>
      <c r="AE1" s="2" t="s">
        <v>30</v>
      </c>
      <c r="AF1" s="2" t="s">
        <v>31</v>
      </c>
      <c r="AG1" s="2" t="s">
        <v>32</v>
      </c>
      <c r="AH1" s="2" t="s">
        <v>33</v>
      </c>
      <c r="AI1" s="7" t="s">
        <v>34</v>
      </c>
      <c r="AJ1" s="7" t="s">
        <v>35</v>
      </c>
      <c r="AK1" s="7" t="s">
        <v>36</v>
      </c>
      <c r="AL1" s="7" t="s">
        <v>37</v>
      </c>
    </row>
    <row r="2" spans="1:38" s="16" customFormat="1" ht="117">
      <c r="A2" s="1">
        <v>46023</v>
      </c>
      <c r="B2" s="9">
        <v>169.98750000000001</v>
      </c>
      <c r="C2" s="9">
        <v>2.976683333</v>
      </c>
      <c r="D2" s="9">
        <v>160.50002000000001</v>
      </c>
      <c r="E2" s="9">
        <v>527603.87089999998</v>
      </c>
      <c r="F2" s="10">
        <v>474907.58789999998</v>
      </c>
      <c r="G2" s="9">
        <v>464586.51549999998</v>
      </c>
      <c r="H2" s="11">
        <f>(G2-F2)/F2</f>
        <v>-2.1732801629131444E-2</v>
      </c>
      <c r="I2" s="11">
        <f>-(E2-G2)/E2</f>
        <v>-0.11944066159428172</v>
      </c>
      <c r="J2" s="10">
        <v>468116.41440000001</v>
      </c>
      <c r="K2" s="10">
        <v>458870.3</v>
      </c>
      <c r="L2" s="11">
        <f>(K2-J2)/J2</f>
        <v>-1.9751741480484218E-2</v>
      </c>
      <c r="M2" s="11">
        <f>-(G2-K2)/G2</f>
        <v>-1.2303877338859162E-2</v>
      </c>
      <c r="N2" s="9">
        <v>454337.29879999999</v>
      </c>
      <c r="O2" s="9">
        <v>450849.29</v>
      </c>
      <c r="P2" s="11">
        <f>(O2-N2)/N2</f>
        <v>-7.6771350474913076E-3</v>
      </c>
      <c r="Q2" s="11">
        <f>-(K2-O2)/K2</f>
        <v>-1.7479906631568898E-2</v>
      </c>
      <c r="R2" s="9">
        <v>449385.02220000001</v>
      </c>
      <c r="S2" s="9">
        <v>449600</v>
      </c>
      <c r="T2" s="11">
        <f>(S2-R2)/R2</f>
        <v>4.7838220986438852E-4</v>
      </c>
      <c r="U2" s="11">
        <f>-(O2-S2)/O2</f>
        <v>-2.7709703169322484E-3</v>
      </c>
      <c r="V2" s="22">
        <v>0.86099999999999999</v>
      </c>
      <c r="W2" s="22">
        <f>(S2/(3159.1*B2*(1-0.0035*(AK2-25))))</f>
        <v>0.86676700745002944</v>
      </c>
      <c r="X2" s="11">
        <f>(R2-E2)/E2</f>
        <v>-0.14825298488915992</v>
      </c>
      <c r="Y2" s="11">
        <f>(S2-E2)/E2</f>
        <v>-0.14784552426982578</v>
      </c>
      <c r="Z2" s="24">
        <f>S2-R2</f>
        <v>214.97779999999329</v>
      </c>
      <c r="AA2" s="25">
        <v>231</v>
      </c>
      <c r="AB2" s="26">
        <v>340</v>
      </c>
      <c r="AC2" s="27">
        <f t="shared" ref="AC2" si="0">((12*31-AA2/60)/(12*31))</f>
        <v>0.98965053763440858</v>
      </c>
      <c r="AD2" s="27">
        <f t="shared" ref="AD2:AD3" si="1">((12*31-AB2/60)/(12*31))</f>
        <v>0.98476702508960567</v>
      </c>
      <c r="AE2" s="29">
        <v>11571.72307</v>
      </c>
      <c r="AF2" s="12">
        <f t="shared" ref="AF2" si="2">AG2/(0.9732)</f>
        <v>26776.172866101635</v>
      </c>
      <c r="AG2" s="12">
        <f t="shared" ref="AG2" si="3">((AA2+AB2)/60)*(3159.1)*(W2)</f>
        <v>26058.571433290112</v>
      </c>
      <c r="AH2" s="15">
        <v>10979.563899999999</v>
      </c>
      <c r="AI2" s="13">
        <v>18.036109700000001</v>
      </c>
      <c r="AJ2" s="13">
        <v>1.4123380720000001</v>
      </c>
      <c r="AK2" s="14">
        <v>34.735610299999998</v>
      </c>
      <c r="AL2" s="38" t="s">
        <v>38</v>
      </c>
    </row>
    <row r="3" spans="1:38" ht="72.75">
      <c r="A3" s="1">
        <v>46054</v>
      </c>
      <c r="B3" s="9">
        <v>177.17516670000001</v>
      </c>
      <c r="C3" s="9">
        <v>10.758649999999999</v>
      </c>
      <c r="D3" s="9">
        <v>164.2</v>
      </c>
      <c r="E3" s="9">
        <v>525726.41780000005</v>
      </c>
      <c r="F3" s="10">
        <v>489122.47840000002</v>
      </c>
      <c r="G3" s="9">
        <v>447185.51030000002</v>
      </c>
      <c r="H3" s="11">
        <f>(G3-F3)/F3</f>
        <v>-8.5739196115424327E-2</v>
      </c>
      <c r="I3" s="11">
        <f>-(E3-G3)/E3</f>
        <v>-0.14939501771409749</v>
      </c>
      <c r="J3" s="17">
        <v>482128.44219999999</v>
      </c>
      <c r="K3" s="17">
        <v>443365.7</v>
      </c>
      <c r="L3" s="11">
        <f>(K3-J3)/J3</f>
        <v>-8.0399202384994622E-2</v>
      </c>
      <c r="M3" s="11">
        <f>-(G3-K3)/G3</f>
        <v>-8.541891926322577E-3</v>
      </c>
      <c r="N3" s="18">
        <v>473412.23340000003</v>
      </c>
      <c r="O3" s="18">
        <v>441032</v>
      </c>
      <c r="P3" s="11">
        <f>(O3-N3)/N3</f>
        <v>-6.8397542597174524E-2</v>
      </c>
      <c r="Q3" s="11">
        <f>-(K3-O3)/K3</f>
        <v>-5.2636006799804576E-3</v>
      </c>
      <c r="R3" s="18">
        <v>468252.04</v>
      </c>
      <c r="S3" s="18">
        <v>436750</v>
      </c>
      <c r="T3" s="11">
        <f>(S3-R3)/R3</f>
        <v>-6.7275820090394012E-2</v>
      </c>
      <c r="U3" s="11">
        <f>-(O3-S3)/O3</f>
        <v>-9.7090460556150116E-3</v>
      </c>
      <c r="V3" s="23">
        <v>0.76200000000000001</v>
      </c>
      <c r="W3" s="22">
        <f>(S3/(3159.1*B3*(1-0.0035*(AK3-25))))</f>
        <v>0.82660750184779752</v>
      </c>
      <c r="X3" s="11">
        <f>(R3-E3)/E3</f>
        <v>-0.10932373921879805</v>
      </c>
      <c r="Y3" s="11">
        <f>(S3-E3)/E3</f>
        <v>-0.16924471509789904</v>
      </c>
      <c r="Z3" s="24">
        <f>S3-R3</f>
        <v>-31502.039999999979</v>
      </c>
      <c r="AA3" s="31">
        <v>530</v>
      </c>
      <c r="AB3" s="32">
        <v>433</v>
      </c>
      <c r="AC3" s="33">
        <f>((12*28-AA3/60)/(12*28))</f>
        <v>0.97371031746031755</v>
      </c>
      <c r="AD3" s="33">
        <f>((12*28-AB3/60)/(12*28))</f>
        <v>0.97852182539682553</v>
      </c>
      <c r="AE3" s="30">
        <v>30830.284350000002</v>
      </c>
      <c r="AF3" s="19">
        <v>30389.41128</v>
      </c>
      <c r="AG3" s="19">
        <v>29733</v>
      </c>
      <c r="AH3" s="19">
        <v>29408.9103</v>
      </c>
      <c r="AI3" s="37">
        <v>24.967343190000001</v>
      </c>
      <c r="AJ3" s="37">
        <v>1.5594968039999999</v>
      </c>
      <c r="AK3" s="37">
        <v>41.002885720000002</v>
      </c>
      <c r="AL3" s="39" t="s">
        <v>39</v>
      </c>
    </row>
    <row r="4" spans="1:38" ht="100.5" customHeight="1">
      <c r="A4" s="1">
        <v>46082</v>
      </c>
      <c r="B4" s="20">
        <v>184.99449999999999</v>
      </c>
      <c r="C4" s="20">
        <v>6.1962833330000002</v>
      </c>
      <c r="D4" s="20">
        <v>199.8</v>
      </c>
      <c r="E4" s="21">
        <v>564841.44629999995</v>
      </c>
      <c r="F4" s="10">
        <v>505055.47629999998</v>
      </c>
      <c r="G4" s="9">
        <v>536536.31149999995</v>
      </c>
      <c r="H4" s="11">
        <f>(G4-F4)/F4</f>
        <v>6.2331440163021896E-2</v>
      </c>
      <c r="I4" s="11">
        <f>-(E4-G4)/E4</f>
        <v>-5.0111646348569308E-2</v>
      </c>
      <c r="J4" s="10">
        <v>497831.0613</v>
      </c>
      <c r="K4" s="10">
        <v>533132.80000000005</v>
      </c>
      <c r="L4" s="11">
        <f>(K4-J4)/J4</f>
        <v>7.0911080975573595E-2</v>
      </c>
      <c r="M4" s="11">
        <f>-(G4-K4)/G4</f>
        <v>-6.3434877137852506E-3</v>
      </c>
      <c r="N4" s="9">
        <v>488435.17</v>
      </c>
      <c r="O4" s="9">
        <v>530699</v>
      </c>
      <c r="P4" s="11">
        <f>(O4-N4)/N4</f>
        <v>8.6529047447586577E-2</v>
      </c>
      <c r="Q4" s="11">
        <f>-(K4-O4)/K4</f>
        <v>-4.5650914743944589E-3</v>
      </c>
      <c r="R4" s="9">
        <v>483111.23</v>
      </c>
      <c r="S4" s="9">
        <v>525081.16</v>
      </c>
      <c r="T4" s="11">
        <f>(S4-R4)/R4</f>
        <v>8.6874258749895031E-2</v>
      </c>
      <c r="U4" s="11">
        <f>-(O4-S4)/O4</f>
        <v>-1.0585736924320504E-2</v>
      </c>
      <c r="V4" s="22">
        <v>0.73899999999999999</v>
      </c>
      <c r="W4" s="22">
        <f>(S4/(3159.1*B4*(1-0.0035*(AK4-25))))</f>
        <v>0.9679719398428186</v>
      </c>
      <c r="X4" s="11">
        <f>(R4-E4)/E4</f>
        <v>-0.14469585551020492</v>
      </c>
      <c r="Y4" s="11">
        <f>(S4-E4)/E4</f>
        <v>-7.0391941951940859E-2</v>
      </c>
      <c r="Z4" s="24">
        <f>S4-R4</f>
        <v>41969.930000000051</v>
      </c>
      <c r="AA4" s="34">
        <v>115</v>
      </c>
      <c r="AB4" s="34">
        <v>594</v>
      </c>
      <c r="AC4" s="35">
        <f>((12*31-AA4/60)/(12*31))</f>
        <v>0.99484767025089604</v>
      </c>
      <c r="AD4" s="35">
        <f>((12*31-AB4/60)/(12*31))</f>
        <v>0.97338709677419366</v>
      </c>
      <c r="AE4" s="36">
        <v>17856.376</v>
      </c>
      <c r="AF4" s="36">
        <v>17601.03</v>
      </c>
      <c r="AG4" s="36">
        <v>17220.847760000001</v>
      </c>
      <c r="AH4" s="36">
        <v>17033.141</v>
      </c>
      <c r="AI4" s="28">
        <v>29.784958140000001</v>
      </c>
      <c r="AJ4" s="28">
        <v>2.1458459630000002</v>
      </c>
      <c r="AK4" s="28">
        <v>45.514338389999999</v>
      </c>
      <c r="AL4" s="40" t="s">
        <v>40</v>
      </c>
    </row>
    <row r="5" spans="1:38" ht="54" customHeight="1">
      <c r="A5" s="1">
        <v>46113</v>
      </c>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row>
    <row r="6" spans="1:38" ht="54" customHeight="1">
      <c r="A6" s="1">
        <v>46143</v>
      </c>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row>
    <row r="7" spans="1:38" ht="45.95" customHeight="1">
      <c r="A7" s="1">
        <v>46174</v>
      </c>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row>
    <row r="8" spans="1:38" ht="45.95" customHeight="1">
      <c r="A8" s="1">
        <v>46204</v>
      </c>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row>
    <row r="9" spans="1:38" ht="45.95" customHeight="1">
      <c r="A9" s="1">
        <v>46235</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row>
    <row r="10" spans="1:38" ht="47.45" customHeight="1">
      <c r="A10" s="1">
        <v>46266</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row>
    <row r="11" spans="1:38" ht="43.5" customHeight="1">
      <c r="A11" s="1">
        <v>46296</v>
      </c>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row>
    <row r="12" spans="1:38" ht="51.95" customHeight="1">
      <c r="A12" s="1">
        <v>46327</v>
      </c>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row>
    <row r="13" spans="1:38" ht="50.1" customHeight="1">
      <c r="A13" s="1">
        <v>46357</v>
      </c>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row>
    <row r="14" spans="1:38" ht="18" customHeight="1"/>
    <row r="15" spans="1:38" ht="41.45" customHeight="1">
      <c r="A15" s="1">
        <v>46388</v>
      </c>
    </row>
    <row r="16" spans="1:38" ht="38.450000000000003" customHeight="1">
      <c r="A16" s="1">
        <v>46419</v>
      </c>
    </row>
    <row r="17" spans="1:1" ht="49.5" customHeight="1">
      <c r="A17" s="1">
        <v>46447</v>
      </c>
    </row>
    <row r="18" spans="1:1" ht="38.1" customHeight="1">
      <c r="A18" s="1">
        <v>46478</v>
      </c>
    </row>
    <row r="19" spans="1:1" ht="42" customHeight="1">
      <c r="A19" s="1">
        <v>46508</v>
      </c>
    </row>
    <row r="20" spans="1:1" ht="41.45" customHeight="1">
      <c r="A20" s="1">
        <v>46539</v>
      </c>
    </row>
    <row r="21" spans="1:1" ht="40.5" customHeight="1">
      <c r="A21" s="1">
        <v>46569</v>
      </c>
    </row>
    <row r="22" spans="1:1" ht="42.95" customHeight="1">
      <c r="A22" s="1">
        <v>46235</v>
      </c>
    </row>
    <row r="23" spans="1:1" ht="41.1" customHeight="1">
      <c r="A23" s="1">
        <v>46631</v>
      </c>
    </row>
    <row r="24" spans="1:1" ht="41.45" customHeight="1">
      <c r="A24" s="1">
        <v>46296</v>
      </c>
    </row>
    <row r="25" spans="1:1" ht="49.5" customHeight="1">
      <c r="A25" s="1">
        <v>46692</v>
      </c>
    </row>
    <row r="26" spans="1:1" ht="49.5" customHeight="1">
      <c r="A26" s="1">
        <v>46722</v>
      </c>
    </row>
  </sheetData>
  <conditionalFormatting sqref="H3:I4">
    <cfRule type="cellIs" dxfId="19" priority="20" operator="greaterThan">
      <formula>0</formula>
    </cfRule>
  </conditionalFormatting>
  <conditionalFormatting sqref="H3:I4">
    <cfRule type="cellIs" dxfId="18" priority="19" operator="lessThan">
      <formula>0</formula>
    </cfRule>
  </conditionalFormatting>
  <conditionalFormatting sqref="L2:L4">
    <cfRule type="cellIs" dxfId="17" priority="18" operator="greaterThan">
      <formula>0</formula>
    </cfRule>
  </conditionalFormatting>
  <conditionalFormatting sqref="L2:L4">
    <cfRule type="cellIs" dxfId="16" priority="17" operator="lessThan">
      <formula>0</formula>
    </cfRule>
  </conditionalFormatting>
  <conditionalFormatting sqref="M2:M4">
    <cfRule type="cellIs" dxfId="15" priority="16" operator="greaterThan">
      <formula>0</formula>
    </cfRule>
  </conditionalFormatting>
  <conditionalFormatting sqref="M2:M4">
    <cfRule type="cellIs" dxfId="14" priority="15" operator="lessThan">
      <formula>0</formula>
    </cfRule>
  </conditionalFormatting>
  <conditionalFormatting sqref="P2:P4">
    <cfRule type="cellIs" dxfId="13" priority="14" operator="greaterThan">
      <formula>0</formula>
    </cfRule>
  </conditionalFormatting>
  <conditionalFormatting sqref="P2:P4">
    <cfRule type="cellIs" dxfId="12" priority="13" operator="lessThan">
      <formula>0</formula>
    </cfRule>
  </conditionalFormatting>
  <conditionalFormatting sqref="Q2:Q4">
    <cfRule type="cellIs" dxfId="11" priority="12" operator="greaterThan">
      <formula>0</formula>
    </cfRule>
  </conditionalFormatting>
  <conditionalFormatting sqref="Q2:Q4">
    <cfRule type="cellIs" dxfId="10" priority="11" operator="lessThan">
      <formula>0</formula>
    </cfRule>
  </conditionalFormatting>
  <conditionalFormatting sqref="T2:T4">
    <cfRule type="cellIs" dxfId="9" priority="10" operator="greaterThan">
      <formula>0</formula>
    </cfRule>
  </conditionalFormatting>
  <conditionalFormatting sqref="T2:T4">
    <cfRule type="cellIs" dxfId="8" priority="9" operator="lessThan">
      <formula>0</formula>
    </cfRule>
  </conditionalFormatting>
  <conditionalFormatting sqref="U2:U4">
    <cfRule type="cellIs" dxfId="7" priority="8" operator="greaterThan">
      <formula>0</formula>
    </cfRule>
  </conditionalFormatting>
  <conditionalFormatting sqref="U2:U4">
    <cfRule type="cellIs" dxfId="6" priority="7" operator="lessThan">
      <formula>0</formula>
    </cfRule>
  </conditionalFormatting>
  <conditionalFormatting sqref="X2:X4">
    <cfRule type="cellIs" dxfId="5" priority="6" operator="greaterThan">
      <formula>0</formula>
    </cfRule>
  </conditionalFormatting>
  <conditionalFormatting sqref="X2:X4">
    <cfRule type="cellIs" dxfId="4" priority="5" operator="lessThan">
      <formula>0</formula>
    </cfRule>
  </conditionalFormatting>
  <conditionalFormatting sqref="Y2:Y4">
    <cfRule type="cellIs" dxfId="3" priority="4" operator="greaterThan">
      <formula>0</formula>
    </cfRule>
  </conditionalFormatting>
  <conditionalFormatting sqref="Y2:Y4">
    <cfRule type="cellIs" dxfId="2" priority="3" operator="lessThan">
      <formula>0</formula>
    </cfRule>
  </conditionalFormatting>
  <conditionalFormatting sqref="Z2:Z4">
    <cfRule type="cellIs" dxfId="1" priority="2" operator="greaterThan">
      <formula>0</formula>
    </cfRule>
  </conditionalFormatting>
  <conditionalFormatting sqref="Z2:Z4">
    <cfRule type="cellIs" dxfId="0" priority="1" operator="lessThan">
      <formula>0</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Pratik Kumar</dc:creator>
  <cp:keywords/>
  <dc:description/>
  <cp:lastModifiedBy/>
  <cp:revision/>
  <dcterms:created xsi:type="dcterms:W3CDTF">2026-03-29T05:17:50Z</dcterms:created>
  <dcterms:modified xsi:type="dcterms:W3CDTF">2026-04-07T09:32:07Z</dcterms:modified>
  <cp:category/>
  <cp:contentStatus/>
</cp:coreProperties>
</file>