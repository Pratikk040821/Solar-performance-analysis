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vnishchoubey\OneDrive\Desktop\March_2026_Gen._Analysis\"/>
    </mc:Choice>
  </mc:AlternateContent>
  <xr:revisionPtr revIDLastSave="0" documentId="13_ncr:1_{DD380FD8-1F2C-4A03-B6ED-E1A42460074A}" xr6:coauthVersionLast="47" xr6:coauthVersionMax="47" xr10:uidLastSave="{00000000-0000-0000-0000-000000000000}"/>
  <bookViews>
    <workbookView xWindow="-110" yWindow="-110" windowWidth="19420" windowHeight="10300" activeTab="28" xr2:uid="{00000000-000D-0000-FFFF-FFFF00000000}"/>
  </bookViews>
  <sheets>
    <sheet name="1 MAR 2026" sheetId="3" r:id="rId1"/>
    <sheet name="2 MAR 2026" sheetId="4" r:id="rId2"/>
    <sheet name="3 MAR 2026" sheetId="5" r:id="rId3"/>
    <sheet name="4 MAR 2026" sheetId="6" r:id="rId4"/>
    <sheet name="5 MAR 2026" sheetId="7" r:id="rId5"/>
    <sheet name="6 MAR. 2026" sheetId="8" r:id="rId6"/>
    <sheet name="7 MAR 2026" sheetId="9" r:id="rId7"/>
    <sheet name="8 MAR. 2026" sheetId="10" r:id="rId8"/>
    <sheet name="9 MAR.2026" sheetId="11" r:id="rId9"/>
    <sheet name="10 MAR.2026" sheetId="12" r:id="rId10"/>
    <sheet name="11 MAR. 2026" sheetId="13" r:id="rId11"/>
    <sheet name="12 MAR.2026" sheetId="14" r:id="rId12"/>
    <sheet name="13 MAR.2026" sheetId="15" r:id="rId13"/>
    <sheet name="14 MAR. 2026" sheetId="16" r:id="rId14"/>
    <sheet name="15 MAR.2026" sheetId="17" r:id="rId15"/>
    <sheet name="16 MAR.2026" sheetId="18" r:id="rId16"/>
    <sheet name="17 MAR. 2026" sheetId="19" r:id="rId17"/>
    <sheet name="18 MAR. 2026" sheetId="20" r:id="rId18"/>
    <sheet name="19 MAR. 2026" sheetId="21" r:id="rId19"/>
    <sheet name="20 MAR. 2026" sheetId="22" r:id="rId20"/>
    <sheet name="21 MAR. 2026" sheetId="23" r:id="rId21"/>
    <sheet name="22 MAR. 2026" sheetId="24" r:id="rId22"/>
    <sheet name="23 MAR. 2026" sheetId="25" r:id="rId23"/>
    <sheet name="24 MAR. 2026" sheetId="26" r:id="rId24"/>
    <sheet name="25 MAR. 2026" sheetId="27" r:id="rId25"/>
    <sheet name="26 MAR. 2026" sheetId="28" r:id="rId26"/>
    <sheet name="27 MAR. 2026" sheetId="29" r:id="rId27"/>
    <sheet name="28 MAR. 2026" sheetId="30" r:id="rId28"/>
    <sheet name="29 MAR. 2026" sheetId="31" r:id="rId29"/>
    <sheet name="30 MAR. 2026" sheetId="32" r:id="rId30"/>
    <sheet name="31 MAR. 2026" sheetId="33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7" roundtripDataChecksum="q0adLCvi7fdKSS7lKBMr0fl5pSI5OZwXNw4zU2cb9CU="/>
    </ext>
  </extLst>
</workbook>
</file>

<file path=xl/calcChain.xml><?xml version="1.0" encoding="utf-8"?>
<calcChain xmlns="http://schemas.openxmlformats.org/spreadsheetml/2006/main">
  <c r="I76" i="33" l="1"/>
  <c r="H76" i="33"/>
  <c r="G76" i="33"/>
  <c r="B76" i="33"/>
  <c r="E74" i="33"/>
  <c r="D74" i="33"/>
  <c r="F74" i="33" s="1"/>
  <c r="F73" i="33"/>
  <c r="E73" i="33"/>
  <c r="D73" i="33"/>
  <c r="E72" i="33"/>
  <c r="D72" i="33"/>
  <c r="F72" i="33" s="1"/>
  <c r="F71" i="33"/>
  <c r="E71" i="33"/>
  <c r="D71" i="33"/>
  <c r="E70" i="33"/>
  <c r="D70" i="33"/>
  <c r="F70" i="33" s="1"/>
  <c r="F69" i="33"/>
  <c r="E69" i="33"/>
  <c r="D69" i="33"/>
  <c r="E68" i="33"/>
  <c r="D68" i="33"/>
  <c r="F68" i="33" s="1"/>
  <c r="E67" i="33"/>
  <c r="F67" i="33" s="1"/>
  <c r="D67" i="33"/>
  <c r="E66" i="33"/>
  <c r="D66" i="33"/>
  <c r="F66" i="33" s="1"/>
  <c r="F65" i="33"/>
  <c r="E65" i="33"/>
  <c r="D65" i="33"/>
  <c r="F64" i="33"/>
  <c r="E64" i="33"/>
  <c r="D64" i="33"/>
  <c r="E63" i="33"/>
  <c r="D63" i="33"/>
  <c r="E62" i="33"/>
  <c r="D62" i="33"/>
  <c r="F62" i="33" s="1"/>
  <c r="F61" i="33"/>
  <c r="E61" i="33"/>
  <c r="D61" i="33"/>
  <c r="F60" i="33"/>
  <c r="E60" i="33"/>
  <c r="D60" i="33"/>
  <c r="E59" i="33"/>
  <c r="D59" i="33"/>
  <c r="E58" i="33"/>
  <c r="D58" i="33"/>
  <c r="F58" i="33" s="1"/>
  <c r="F57" i="33"/>
  <c r="E57" i="33"/>
  <c r="D57" i="33"/>
  <c r="E56" i="33"/>
  <c r="D56" i="33"/>
  <c r="F56" i="33" s="1"/>
  <c r="E55" i="33"/>
  <c r="F55" i="33" s="1"/>
  <c r="D55" i="33"/>
  <c r="E54" i="33"/>
  <c r="D54" i="33"/>
  <c r="F54" i="33" s="1"/>
  <c r="F53" i="33"/>
  <c r="E53" i="33"/>
  <c r="D53" i="33"/>
  <c r="E52" i="33"/>
  <c r="D52" i="33"/>
  <c r="F52" i="33" s="1"/>
  <c r="E51" i="33"/>
  <c r="D51" i="33"/>
  <c r="F51" i="33" s="1"/>
  <c r="E50" i="33"/>
  <c r="D50" i="33"/>
  <c r="F50" i="33" s="1"/>
  <c r="F49" i="33"/>
  <c r="E49" i="33"/>
  <c r="D49" i="33"/>
  <c r="E48" i="33"/>
  <c r="D48" i="33"/>
  <c r="F48" i="33" s="1"/>
  <c r="E47" i="33"/>
  <c r="F47" i="33" s="1"/>
  <c r="D47" i="33"/>
  <c r="E46" i="33"/>
  <c r="D46" i="33"/>
  <c r="F46" i="33" s="1"/>
  <c r="F45" i="33"/>
  <c r="E45" i="33"/>
  <c r="D45" i="33"/>
  <c r="E44" i="33"/>
  <c r="D44" i="33"/>
  <c r="F44" i="33" s="1"/>
  <c r="E43" i="33"/>
  <c r="D43" i="33"/>
  <c r="E42" i="33"/>
  <c r="D42" i="33"/>
  <c r="F42" i="33" s="1"/>
  <c r="F41" i="33"/>
  <c r="E41" i="33"/>
  <c r="D41" i="33"/>
  <c r="E40" i="33"/>
  <c r="D40" i="33"/>
  <c r="F40" i="33" s="1"/>
  <c r="E39" i="33"/>
  <c r="F39" i="33" s="1"/>
  <c r="D39" i="33"/>
  <c r="E38" i="33"/>
  <c r="D38" i="33"/>
  <c r="F38" i="33" s="1"/>
  <c r="F37" i="33"/>
  <c r="E37" i="33"/>
  <c r="D37" i="33"/>
  <c r="F36" i="33"/>
  <c r="E36" i="33"/>
  <c r="D36" i="33"/>
  <c r="E35" i="33"/>
  <c r="D35" i="33"/>
  <c r="F35" i="33" s="1"/>
  <c r="E34" i="33"/>
  <c r="D34" i="33"/>
  <c r="F34" i="33" s="1"/>
  <c r="F33" i="33"/>
  <c r="E33" i="33"/>
  <c r="D33" i="33"/>
  <c r="F32" i="33"/>
  <c r="E32" i="33"/>
  <c r="D32" i="33"/>
  <c r="E31" i="33"/>
  <c r="F31" i="33" s="1"/>
  <c r="D31" i="33"/>
  <c r="E30" i="33"/>
  <c r="D30" i="33"/>
  <c r="F30" i="33" s="1"/>
  <c r="F29" i="33"/>
  <c r="E29" i="33"/>
  <c r="D29" i="33"/>
  <c r="E28" i="33"/>
  <c r="D28" i="33"/>
  <c r="F28" i="33" s="1"/>
  <c r="E27" i="33"/>
  <c r="D27" i="33"/>
  <c r="F27" i="33" s="1"/>
  <c r="E26" i="33"/>
  <c r="D26" i="33"/>
  <c r="F26" i="33" s="1"/>
  <c r="F25" i="33"/>
  <c r="E25" i="33"/>
  <c r="D25" i="33"/>
  <c r="E24" i="33"/>
  <c r="D24" i="33"/>
  <c r="F24" i="33" s="1"/>
  <c r="F23" i="33"/>
  <c r="E23" i="33"/>
  <c r="D23" i="33"/>
  <c r="E22" i="33"/>
  <c r="D22" i="33"/>
  <c r="F22" i="33" s="1"/>
  <c r="F21" i="33"/>
  <c r="E21" i="33"/>
  <c r="D21" i="33"/>
  <c r="E20" i="33"/>
  <c r="D20" i="33"/>
  <c r="F20" i="33" s="1"/>
  <c r="E19" i="33"/>
  <c r="F19" i="33" s="1"/>
  <c r="D19" i="33"/>
  <c r="E18" i="33"/>
  <c r="D18" i="33"/>
  <c r="F18" i="33" s="1"/>
  <c r="F17" i="33"/>
  <c r="E17" i="33"/>
  <c r="D17" i="33"/>
  <c r="E16" i="33"/>
  <c r="D16" i="33"/>
  <c r="F16" i="33" s="1"/>
  <c r="F15" i="33"/>
  <c r="E15" i="33"/>
  <c r="D15" i="33"/>
  <c r="E14" i="33"/>
  <c r="D14" i="33"/>
  <c r="F14" i="33" s="1"/>
  <c r="F13" i="33"/>
  <c r="E13" i="33"/>
  <c r="D13" i="33"/>
  <c r="F12" i="33"/>
  <c r="E12" i="33"/>
  <c r="D12" i="33"/>
  <c r="E11" i="33"/>
  <c r="F11" i="33" s="1"/>
  <c r="D11" i="33"/>
  <c r="E10" i="33"/>
  <c r="D10" i="33"/>
  <c r="F10" i="33" s="1"/>
  <c r="F9" i="33"/>
  <c r="E9" i="33"/>
  <c r="D9" i="33"/>
  <c r="F8" i="33"/>
  <c r="E8" i="33"/>
  <c r="D8" i="33"/>
  <c r="E7" i="33"/>
  <c r="D7" i="33"/>
  <c r="E6" i="33"/>
  <c r="D6" i="33"/>
  <c r="F6" i="33" s="1"/>
  <c r="F5" i="33"/>
  <c r="E5" i="33"/>
  <c r="D5" i="33"/>
  <c r="E4" i="33"/>
  <c r="D4" i="33"/>
  <c r="F4" i="33" s="1"/>
  <c r="F3" i="33"/>
  <c r="E3" i="33"/>
  <c r="D3" i="33"/>
  <c r="E2" i="33"/>
  <c r="D2" i="33"/>
  <c r="I76" i="32"/>
  <c r="H76" i="32"/>
  <c r="G76" i="32"/>
  <c r="E76" i="32"/>
  <c r="B76" i="32"/>
  <c r="E74" i="32"/>
  <c r="D74" i="32"/>
  <c r="F74" i="32" s="1"/>
  <c r="F73" i="32"/>
  <c r="E73" i="32"/>
  <c r="D73" i="32"/>
  <c r="F72" i="32"/>
  <c r="E72" i="32"/>
  <c r="D72" i="32"/>
  <c r="F71" i="32"/>
  <c r="E71" i="32"/>
  <c r="D71" i="32"/>
  <c r="E70" i="32"/>
  <c r="D70" i="32"/>
  <c r="F70" i="32" s="1"/>
  <c r="F69" i="32"/>
  <c r="E69" i="32"/>
  <c r="D69" i="32"/>
  <c r="F68" i="32"/>
  <c r="E68" i="32"/>
  <c r="D68" i="32"/>
  <c r="F67" i="32"/>
  <c r="E67" i="32"/>
  <c r="D67" i="32"/>
  <c r="E66" i="32"/>
  <c r="D66" i="32"/>
  <c r="F66" i="32" s="1"/>
  <c r="F65" i="32"/>
  <c r="E65" i="32"/>
  <c r="D65" i="32"/>
  <c r="F64" i="32"/>
  <c r="E64" i="32"/>
  <c r="D64" i="32"/>
  <c r="F63" i="32"/>
  <c r="E63" i="32"/>
  <c r="D63" i="32"/>
  <c r="E62" i="32"/>
  <c r="D62" i="32"/>
  <c r="F62" i="32" s="1"/>
  <c r="F61" i="32"/>
  <c r="E61" i="32"/>
  <c r="D61" i="32"/>
  <c r="F60" i="32"/>
  <c r="E60" i="32"/>
  <c r="D60" i="32"/>
  <c r="F59" i="32"/>
  <c r="E59" i="32"/>
  <c r="D59" i="32"/>
  <c r="E58" i="32"/>
  <c r="D58" i="32"/>
  <c r="F58" i="32" s="1"/>
  <c r="F57" i="32"/>
  <c r="E57" i="32"/>
  <c r="D57" i="32"/>
  <c r="F56" i="32"/>
  <c r="E56" i="32"/>
  <c r="D56" i="32"/>
  <c r="F55" i="32"/>
  <c r="E55" i="32"/>
  <c r="D55" i="32"/>
  <c r="E54" i="32"/>
  <c r="D54" i="32"/>
  <c r="F54" i="32" s="1"/>
  <c r="F53" i="32"/>
  <c r="E53" i="32"/>
  <c r="D53" i="32"/>
  <c r="F52" i="32"/>
  <c r="E52" i="32"/>
  <c r="D52" i="32"/>
  <c r="F51" i="32"/>
  <c r="E51" i="32"/>
  <c r="D51" i="32"/>
  <c r="E50" i="32"/>
  <c r="D50" i="32"/>
  <c r="F50" i="32" s="1"/>
  <c r="F49" i="32"/>
  <c r="E49" i="32"/>
  <c r="D49" i="32"/>
  <c r="F48" i="32"/>
  <c r="E48" i="32"/>
  <c r="D48" i="32"/>
  <c r="F47" i="32"/>
  <c r="E47" i="32"/>
  <c r="D47" i="32"/>
  <c r="E46" i="32"/>
  <c r="D46" i="32"/>
  <c r="F46" i="32" s="1"/>
  <c r="F45" i="32"/>
  <c r="E45" i="32"/>
  <c r="D45" i="32"/>
  <c r="F44" i="32"/>
  <c r="E44" i="32"/>
  <c r="D44" i="32"/>
  <c r="F43" i="32"/>
  <c r="E43" i="32"/>
  <c r="D43" i="32"/>
  <c r="E42" i="32"/>
  <c r="D42" i="32"/>
  <c r="F42" i="32" s="1"/>
  <c r="F41" i="32"/>
  <c r="E41" i="32"/>
  <c r="D41" i="32"/>
  <c r="F40" i="32"/>
  <c r="E40" i="32"/>
  <c r="D40" i="32"/>
  <c r="F39" i="32"/>
  <c r="E39" i="32"/>
  <c r="D39" i="32"/>
  <c r="E38" i="32"/>
  <c r="D38" i="32"/>
  <c r="F38" i="32" s="1"/>
  <c r="F37" i="32"/>
  <c r="E37" i="32"/>
  <c r="D37" i="32"/>
  <c r="F36" i="32"/>
  <c r="E36" i="32"/>
  <c r="D36" i="32"/>
  <c r="F35" i="32"/>
  <c r="E35" i="32"/>
  <c r="D35" i="32"/>
  <c r="E34" i="32"/>
  <c r="D34" i="32"/>
  <c r="F34" i="32" s="1"/>
  <c r="F33" i="32"/>
  <c r="E33" i="32"/>
  <c r="D33" i="32"/>
  <c r="F32" i="32"/>
  <c r="E32" i="32"/>
  <c r="D32" i="32"/>
  <c r="F31" i="32"/>
  <c r="E31" i="32"/>
  <c r="D31" i="32"/>
  <c r="E30" i="32"/>
  <c r="D30" i="32"/>
  <c r="F30" i="32" s="1"/>
  <c r="F29" i="32"/>
  <c r="E29" i="32"/>
  <c r="D29" i="32"/>
  <c r="F28" i="32"/>
  <c r="E28" i="32"/>
  <c r="D28" i="32"/>
  <c r="F27" i="32"/>
  <c r="E27" i="32"/>
  <c r="D27" i="32"/>
  <c r="E26" i="32"/>
  <c r="D26" i="32"/>
  <c r="F26" i="32" s="1"/>
  <c r="F25" i="32"/>
  <c r="E25" i="32"/>
  <c r="D25" i="32"/>
  <c r="F24" i="32"/>
  <c r="E24" i="32"/>
  <c r="D24" i="32"/>
  <c r="F23" i="32"/>
  <c r="E23" i="32"/>
  <c r="D23" i="32"/>
  <c r="E22" i="32"/>
  <c r="D22" i="32"/>
  <c r="F22" i="32" s="1"/>
  <c r="F21" i="32"/>
  <c r="E21" i="32"/>
  <c r="D21" i="32"/>
  <c r="F20" i="32"/>
  <c r="E20" i="32"/>
  <c r="D20" i="32"/>
  <c r="F19" i="32"/>
  <c r="E19" i="32"/>
  <c r="D19" i="32"/>
  <c r="E18" i="32"/>
  <c r="D18" i="32"/>
  <c r="F18" i="32" s="1"/>
  <c r="F17" i="32"/>
  <c r="E17" i="32"/>
  <c r="D17" i="32"/>
  <c r="F16" i="32"/>
  <c r="E16" i="32"/>
  <c r="D16" i="32"/>
  <c r="F15" i="32"/>
  <c r="E15" i="32"/>
  <c r="D15" i="32"/>
  <c r="E14" i="32"/>
  <c r="D14" i="32"/>
  <c r="F14" i="32" s="1"/>
  <c r="F13" i="32"/>
  <c r="E13" i="32"/>
  <c r="D13" i="32"/>
  <c r="F12" i="32"/>
  <c r="E12" i="32"/>
  <c r="D12" i="32"/>
  <c r="F11" i="32"/>
  <c r="E11" i="32"/>
  <c r="D11" i="32"/>
  <c r="E10" i="32"/>
  <c r="D10" i="32"/>
  <c r="F10" i="32" s="1"/>
  <c r="F9" i="32"/>
  <c r="E9" i="32"/>
  <c r="D9" i="32"/>
  <c r="F8" i="32"/>
  <c r="E8" i="32"/>
  <c r="D8" i="32"/>
  <c r="F7" i="32"/>
  <c r="E7" i="32"/>
  <c r="D7" i="32"/>
  <c r="E6" i="32"/>
  <c r="D6" i="32"/>
  <c r="F6" i="32" s="1"/>
  <c r="F5" i="32"/>
  <c r="E5" i="32"/>
  <c r="D5" i="32"/>
  <c r="F4" i="32"/>
  <c r="E4" i="32"/>
  <c r="D4" i="32"/>
  <c r="F3" i="32"/>
  <c r="E3" i="32"/>
  <c r="D3" i="32"/>
  <c r="E2" i="32"/>
  <c r="D2" i="32"/>
  <c r="I76" i="31"/>
  <c r="H76" i="31"/>
  <c r="G76" i="31"/>
  <c r="B76" i="31"/>
  <c r="E74" i="31"/>
  <c r="F74" i="31" s="1"/>
  <c r="D74" i="31"/>
  <c r="F73" i="31"/>
  <c r="E73" i="31"/>
  <c r="D73" i="31"/>
  <c r="F72" i="31"/>
  <c r="E72" i="31"/>
  <c r="D72" i="31"/>
  <c r="F71" i="31"/>
  <c r="E71" i="31"/>
  <c r="D71" i="31"/>
  <c r="E70" i="31"/>
  <c r="F70" i="31" s="1"/>
  <c r="D70" i="31"/>
  <c r="E69" i="31"/>
  <c r="F69" i="31" s="1"/>
  <c r="D69" i="31"/>
  <c r="F68" i="31"/>
  <c r="E68" i="31"/>
  <c r="D68" i="31"/>
  <c r="F67" i="31"/>
  <c r="E67" i="31"/>
  <c r="D67" i="31"/>
  <c r="E66" i="31"/>
  <c r="F66" i="31" s="1"/>
  <c r="D66" i="31"/>
  <c r="E65" i="31"/>
  <c r="D65" i="31"/>
  <c r="F65" i="31" s="1"/>
  <c r="E64" i="31"/>
  <c r="D64" i="31"/>
  <c r="F64" i="31" s="1"/>
  <c r="F63" i="31"/>
  <c r="E63" i="31"/>
  <c r="D63" i="31"/>
  <c r="E62" i="31"/>
  <c r="F62" i="31" s="1"/>
  <c r="D62" i="31"/>
  <c r="E61" i="31"/>
  <c r="D61" i="31"/>
  <c r="E60" i="31"/>
  <c r="D60" i="31"/>
  <c r="F60" i="31" s="1"/>
  <c r="F59" i="31"/>
  <c r="E59" i="31"/>
  <c r="D59" i="31"/>
  <c r="E58" i="31"/>
  <c r="F58" i="31" s="1"/>
  <c r="D58" i="31"/>
  <c r="E57" i="31"/>
  <c r="D57" i="31"/>
  <c r="F57" i="31" s="1"/>
  <c r="F56" i="31"/>
  <c r="E56" i="31"/>
  <c r="D56" i="31"/>
  <c r="F55" i="31"/>
  <c r="E55" i="31"/>
  <c r="D55" i="31"/>
  <c r="E54" i="31"/>
  <c r="F54" i="31" s="1"/>
  <c r="D54" i="31"/>
  <c r="E53" i="31"/>
  <c r="F53" i="31" s="1"/>
  <c r="D53" i="31"/>
  <c r="F52" i="31"/>
  <c r="E52" i="31"/>
  <c r="D52" i="31"/>
  <c r="F51" i="31"/>
  <c r="E51" i="31"/>
  <c r="D51" i="31"/>
  <c r="E50" i="31"/>
  <c r="F50" i="31" s="1"/>
  <c r="D50" i="31"/>
  <c r="F49" i="31"/>
  <c r="E49" i="31"/>
  <c r="D49" i="31"/>
  <c r="E48" i="31"/>
  <c r="D48" i="31"/>
  <c r="F48" i="31" s="1"/>
  <c r="F47" i="31"/>
  <c r="E47" i="31"/>
  <c r="D47" i="31"/>
  <c r="E46" i="31"/>
  <c r="F46" i="31" s="1"/>
  <c r="D46" i="31"/>
  <c r="E45" i="31"/>
  <c r="F45" i="31" s="1"/>
  <c r="D45" i="31"/>
  <c r="F44" i="31"/>
  <c r="E44" i="31"/>
  <c r="D44" i="31"/>
  <c r="F43" i="31"/>
  <c r="E43" i="31"/>
  <c r="D43" i="31"/>
  <c r="E42" i="31"/>
  <c r="F42" i="31" s="1"/>
  <c r="D42" i="31"/>
  <c r="F41" i="31"/>
  <c r="E41" i="31"/>
  <c r="D41" i="31"/>
  <c r="E40" i="31"/>
  <c r="D40" i="31"/>
  <c r="F40" i="31" s="1"/>
  <c r="F39" i="31"/>
  <c r="E39" i="31"/>
  <c r="D39" i="31"/>
  <c r="E38" i="31"/>
  <c r="F38" i="31" s="1"/>
  <c r="D38" i="31"/>
  <c r="E37" i="31"/>
  <c r="D37" i="31"/>
  <c r="F37" i="31" s="1"/>
  <c r="E36" i="31"/>
  <c r="D36" i="31"/>
  <c r="F36" i="31" s="1"/>
  <c r="F35" i="31"/>
  <c r="E35" i="31"/>
  <c r="D35" i="31"/>
  <c r="E34" i="31"/>
  <c r="F34" i="31" s="1"/>
  <c r="D34" i="31"/>
  <c r="F33" i="31"/>
  <c r="E33" i="31"/>
  <c r="D33" i="31"/>
  <c r="F32" i="31"/>
  <c r="E32" i="31"/>
  <c r="D32" i="31"/>
  <c r="F31" i="31"/>
  <c r="E31" i="31"/>
  <c r="D31" i="31"/>
  <c r="E30" i="31"/>
  <c r="F30" i="31" s="1"/>
  <c r="D30" i="31"/>
  <c r="E29" i="31"/>
  <c r="F29" i="31" s="1"/>
  <c r="D29" i="31"/>
  <c r="E28" i="31"/>
  <c r="D28" i="31"/>
  <c r="F28" i="31" s="1"/>
  <c r="F27" i="31"/>
  <c r="E27" i="31"/>
  <c r="D27" i="31"/>
  <c r="E26" i="31"/>
  <c r="F26" i="31" s="1"/>
  <c r="D26" i="31"/>
  <c r="E25" i="31"/>
  <c r="D25" i="31"/>
  <c r="F25" i="31" s="1"/>
  <c r="F24" i="31"/>
  <c r="E24" i="31"/>
  <c r="D24" i="31"/>
  <c r="F23" i="31"/>
  <c r="E23" i="31"/>
  <c r="D23" i="31"/>
  <c r="E22" i="31"/>
  <c r="F22" i="31" s="1"/>
  <c r="D22" i="31"/>
  <c r="E21" i="31"/>
  <c r="F21" i="31" s="1"/>
  <c r="D21" i="31"/>
  <c r="F20" i="31"/>
  <c r="E20" i="31"/>
  <c r="D20" i="31"/>
  <c r="F19" i="31"/>
  <c r="E19" i="31"/>
  <c r="D19" i="31"/>
  <c r="E18" i="31"/>
  <c r="F18" i="31" s="1"/>
  <c r="D18" i="31"/>
  <c r="E17" i="31"/>
  <c r="D17" i="31"/>
  <c r="F17" i="31" s="1"/>
  <c r="E16" i="31"/>
  <c r="D16" i="31"/>
  <c r="F16" i="31" s="1"/>
  <c r="F15" i="31"/>
  <c r="E15" i="31"/>
  <c r="D15" i="31"/>
  <c r="E14" i="31"/>
  <c r="F14" i="31" s="1"/>
  <c r="D14" i="31"/>
  <c r="E13" i="31"/>
  <c r="D13" i="31"/>
  <c r="E12" i="31"/>
  <c r="D12" i="31"/>
  <c r="F12" i="31" s="1"/>
  <c r="F11" i="31"/>
  <c r="E11" i="31"/>
  <c r="D11" i="31"/>
  <c r="E10" i="31"/>
  <c r="F10" i="31" s="1"/>
  <c r="D10" i="31"/>
  <c r="F9" i="31"/>
  <c r="E9" i="31"/>
  <c r="D9" i="31"/>
  <c r="F8" i="31"/>
  <c r="E8" i="31"/>
  <c r="D8" i="31"/>
  <c r="F7" i="31"/>
  <c r="E7" i="31"/>
  <c r="D7" i="31"/>
  <c r="E6" i="31"/>
  <c r="F6" i="31" s="1"/>
  <c r="D6" i="31"/>
  <c r="E5" i="31"/>
  <c r="F5" i="31" s="1"/>
  <c r="D5" i="31"/>
  <c r="E4" i="31"/>
  <c r="D4" i="31"/>
  <c r="F4" i="31" s="1"/>
  <c r="F3" i="31"/>
  <c r="E3" i="31"/>
  <c r="D3" i="31"/>
  <c r="E2" i="31"/>
  <c r="F2" i="31" s="1"/>
  <c r="D2" i="31"/>
  <c r="I76" i="30"/>
  <c r="H76" i="30"/>
  <c r="G76" i="30"/>
  <c r="B76" i="30"/>
  <c r="F74" i="30"/>
  <c r="E74" i="30"/>
  <c r="D74" i="30"/>
  <c r="E73" i="30"/>
  <c r="D73" i="30"/>
  <c r="F73" i="30" s="1"/>
  <c r="F72" i="30"/>
  <c r="E72" i="30"/>
  <c r="D72" i="30"/>
  <c r="E71" i="30"/>
  <c r="D71" i="30"/>
  <c r="F71" i="30" s="1"/>
  <c r="F70" i="30"/>
  <c r="E70" i="30"/>
  <c r="D70" i="30"/>
  <c r="E69" i="30"/>
  <c r="D69" i="30"/>
  <c r="F69" i="30" s="1"/>
  <c r="E68" i="30"/>
  <c r="F68" i="30" s="1"/>
  <c r="D68" i="30"/>
  <c r="E67" i="30"/>
  <c r="D67" i="30"/>
  <c r="F67" i="30" s="1"/>
  <c r="F66" i="30"/>
  <c r="E66" i="30"/>
  <c r="D66" i="30"/>
  <c r="F65" i="30"/>
  <c r="E65" i="30"/>
  <c r="D65" i="30"/>
  <c r="E64" i="30"/>
  <c r="F64" i="30" s="1"/>
  <c r="D64" i="30"/>
  <c r="E63" i="30"/>
  <c r="D63" i="30"/>
  <c r="F63" i="30" s="1"/>
  <c r="F62" i="30"/>
  <c r="E62" i="30"/>
  <c r="D62" i="30"/>
  <c r="F61" i="30"/>
  <c r="E61" i="30"/>
  <c r="D61" i="30"/>
  <c r="E60" i="30"/>
  <c r="F60" i="30" s="1"/>
  <c r="D60" i="30"/>
  <c r="E59" i="30"/>
  <c r="D59" i="30"/>
  <c r="F59" i="30" s="1"/>
  <c r="F58" i="30"/>
  <c r="E58" i="30"/>
  <c r="D58" i="30"/>
  <c r="E57" i="30"/>
  <c r="D57" i="30"/>
  <c r="F57" i="30" s="1"/>
  <c r="E56" i="30"/>
  <c r="F56" i="30" s="1"/>
  <c r="D56" i="30"/>
  <c r="E55" i="30"/>
  <c r="D55" i="30"/>
  <c r="F55" i="30" s="1"/>
  <c r="F54" i="30"/>
  <c r="E54" i="30"/>
  <c r="D54" i="30"/>
  <c r="E53" i="30"/>
  <c r="D53" i="30"/>
  <c r="F53" i="30" s="1"/>
  <c r="F52" i="30"/>
  <c r="E52" i="30"/>
  <c r="D52" i="30"/>
  <c r="E51" i="30"/>
  <c r="D51" i="30"/>
  <c r="F51" i="30" s="1"/>
  <c r="F50" i="30"/>
  <c r="E50" i="30"/>
  <c r="D50" i="30"/>
  <c r="F49" i="30"/>
  <c r="E49" i="30"/>
  <c r="D49" i="30"/>
  <c r="F48" i="30"/>
  <c r="E48" i="30"/>
  <c r="D48" i="30"/>
  <c r="E47" i="30"/>
  <c r="D47" i="30"/>
  <c r="F47" i="30" s="1"/>
  <c r="F46" i="30"/>
  <c r="E46" i="30"/>
  <c r="D46" i="30"/>
  <c r="F45" i="30"/>
  <c r="E45" i="30"/>
  <c r="D45" i="30"/>
  <c r="E44" i="30"/>
  <c r="F44" i="30" s="1"/>
  <c r="D44" i="30"/>
  <c r="E43" i="30"/>
  <c r="D43" i="30"/>
  <c r="F43" i="30" s="1"/>
  <c r="F42" i="30"/>
  <c r="E42" i="30"/>
  <c r="D42" i="30"/>
  <c r="E41" i="30"/>
  <c r="D41" i="30"/>
  <c r="F41" i="30" s="1"/>
  <c r="F40" i="30"/>
  <c r="E40" i="30"/>
  <c r="D40" i="30"/>
  <c r="E39" i="30"/>
  <c r="D39" i="30"/>
  <c r="F39" i="30" s="1"/>
  <c r="F38" i="30"/>
  <c r="E38" i="30"/>
  <c r="D38" i="30"/>
  <c r="E37" i="30"/>
  <c r="D37" i="30"/>
  <c r="F37" i="30" s="1"/>
  <c r="F36" i="30"/>
  <c r="E36" i="30"/>
  <c r="D36" i="30"/>
  <c r="E35" i="30"/>
  <c r="D35" i="30"/>
  <c r="F35" i="30" s="1"/>
  <c r="F34" i="30"/>
  <c r="E34" i="30"/>
  <c r="D34" i="30"/>
  <c r="F33" i="30"/>
  <c r="E33" i="30"/>
  <c r="D33" i="30"/>
  <c r="E32" i="30"/>
  <c r="F32" i="30" s="1"/>
  <c r="D32" i="30"/>
  <c r="E31" i="30"/>
  <c r="D31" i="30"/>
  <c r="F31" i="30" s="1"/>
  <c r="F30" i="30"/>
  <c r="E30" i="30"/>
  <c r="D30" i="30"/>
  <c r="F29" i="30"/>
  <c r="E29" i="30"/>
  <c r="D29" i="30"/>
  <c r="E28" i="30"/>
  <c r="F28" i="30" s="1"/>
  <c r="D28" i="30"/>
  <c r="E27" i="30"/>
  <c r="D27" i="30"/>
  <c r="F27" i="30" s="1"/>
  <c r="F26" i="30"/>
  <c r="E26" i="30"/>
  <c r="D26" i="30"/>
  <c r="E25" i="30"/>
  <c r="D25" i="30"/>
  <c r="F25" i="30" s="1"/>
  <c r="E24" i="30"/>
  <c r="F24" i="30" s="1"/>
  <c r="D24" i="30"/>
  <c r="E23" i="30"/>
  <c r="D23" i="30"/>
  <c r="F23" i="30" s="1"/>
  <c r="F22" i="30"/>
  <c r="E22" i="30"/>
  <c r="D22" i="30"/>
  <c r="E21" i="30"/>
  <c r="D21" i="30"/>
  <c r="F21" i="30" s="1"/>
  <c r="E20" i="30"/>
  <c r="F20" i="30" s="1"/>
  <c r="D20" i="30"/>
  <c r="E19" i="30"/>
  <c r="D19" i="30"/>
  <c r="F19" i="30" s="1"/>
  <c r="F18" i="30"/>
  <c r="E18" i="30"/>
  <c r="D18" i="30"/>
  <c r="F17" i="30"/>
  <c r="E17" i="30"/>
  <c r="D17" i="30"/>
  <c r="E16" i="30"/>
  <c r="F16" i="30" s="1"/>
  <c r="D16" i="30"/>
  <c r="E15" i="30"/>
  <c r="D15" i="30"/>
  <c r="F15" i="30" s="1"/>
  <c r="F14" i="30"/>
  <c r="E14" i="30"/>
  <c r="D14" i="30"/>
  <c r="F13" i="30"/>
  <c r="E13" i="30"/>
  <c r="D13" i="30"/>
  <c r="F12" i="30"/>
  <c r="E12" i="30"/>
  <c r="D12" i="30"/>
  <c r="E11" i="30"/>
  <c r="D11" i="30"/>
  <c r="F11" i="30" s="1"/>
  <c r="F10" i="30"/>
  <c r="E10" i="30"/>
  <c r="D10" i="30"/>
  <c r="E9" i="30"/>
  <c r="D9" i="30"/>
  <c r="F9" i="30" s="1"/>
  <c r="E8" i="30"/>
  <c r="F8" i="30" s="1"/>
  <c r="D8" i="30"/>
  <c r="E7" i="30"/>
  <c r="D7" i="30"/>
  <c r="F7" i="30" s="1"/>
  <c r="F6" i="30"/>
  <c r="E6" i="30"/>
  <c r="D6" i="30"/>
  <c r="E5" i="30"/>
  <c r="D5" i="30"/>
  <c r="F5" i="30" s="1"/>
  <c r="F4" i="30"/>
  <c r="E4" i="30"/>
  <c r="D4" i="30"/>
  <c r="E3" i="30"/>
  <c r="D3" i="30"/>
  <c r="F3" i="30" s="1"/>
  <c r="F2" i="30"/>
  <c r="E2" i="30"/>
  <c r="D2" i="30"/>
  <c r="I76" i="29"/>
  <c r="H76" i="29"/>
  <c r="G76" i="29"/>
  <c r="B76" i="29"/>
  <c r="E74" i="29"/>
  <c r="D74" i="29"/>
  <c r="F74" i="29" s="1"/>
  <c r="F73" i="29"/>
  <c r="E73" i="29"/>
  <c r="D73" i="29"/>
  <c r="F72" i="29"/>
  <c r="E72" i="29"/>
  <c r="D72" i="29"/>
  <c r="E71" i="29"/>
  <c r="F71" i="29" s="1"/>
  <c r="D71" i="29"/>
  <c r="E70" i="29"/>
  <c r="D70" i="29"/>
  <c r="F70" i="29" s="1"/>
  <c r="F69" i="29"/>
  <c r="E69" i="29"/>
  <c r="D69" i="29"/>
  <c r="E68" i="29"/>
  <c r="D68" i="29"/>
  <c r="F68" i="29" s="1"/>
  <c r="F67" i="29"/>
  <c r="E67" i="29"/>
  <c r="D67" i="29"/>
  <c r="E66" i="29"/>
  <c r="D66" i="29"/>
  <c r="F66" i="29" s="1"/>
  <c r="F65" i="29"/>
  <c r="E65" i="29"/>
  <c r="D65" i="29"/>
  <c r="E64" i="29"/>
  <c r="D64" i="29"/>
  <c r="F64" i="29" s="1"/>
  <c r="F63" i="29"/>
  <c r="E63" i="29"/>
  <c r="D63" i="29"/>
  <c r="E62" i="29"/>
  <c r="D62" i="29"/>
  <c r="F62" i="29" s="1"/>
  <c r="F61" i="29"/>
  <c r="E61" i="29"/>
  <c r="D61" i="29"/>
  <c r="F60" i="29"/>
  <c r="E60" i="29"/>
  <c r="D60" i="29"/>
  <c r="E59" i="29"/>
  <c r="F59" i="29" s="1"/>
  <c r="D59" i="29"/>
  <c r="E58" i="29"/>
  <c r="D58" i="29"/>
  <c r="F58" i="29" s="1"/>
  <c r="F57" i="29"/>
  <c r="E57" i="29"/>
  <c r="D57" i="29"/>
  <c r="F56" i="29"/>
  <c r="E56" i="29"/>
  <c r="D56" i="29"/>
  <c r="E55" i="29"/>
  <c r="F55" i="29" s="1"/>
  <c r="D55" i="29"/>
  <c r="E54" i="29"/>
  <c r="D54" i="29"/>
  <c r="F54" i="29" s="1"/>
  <c r="F53" i="29"/>
  <c r="E53" i="29"/>
  <c r="D53" i="29"/>
  <c r="E52" i="29"/>
  <c r="D52" i="29"/>
  <c r="F52" i="29" s="1"/>
  <c r="F51" i="29"/>
  <c r="E51" i="29"/>
  <c r="D51" i="29"/>
  <c r="E50" i="29"/>
  <c r="D50" i="29"/>
  <c r="F50" i="29" s="1"/>
  <c r="F49" i="29"/>
  <c r="E49" i="29"/>
  <c r="D49" i="29"/>
  <c r="E48" i="29"/>
  <c r="D48" i="29"/>
  <c r="F48" i="29" s="1"/>
  <c r="E47" i="29"/>
  <c r="F47" i="29" s="1"/>
  <c r="D47" i="29"/>
  <c r="E46" i="29"/>
  <c r="D46" i="29"/>
  <c r="F46" i="29" s="1"/>
  <c r="F45" i="29"/>
  <c r="E45" i="29"/>
  <c r="D45" i="29"/>
  <c r="F44" i="29"/>
  <c r="E44" i="29"/>
  <c r="D44" i="29"/>
  <c r="E43" i="29"/>
  <c r="F43" i="29" s="1"/>
  <c r="D43" i="29"/>
  <c r="E42" i="29"/>
  <c r="D42" i="29"/>
  <c r="F42" i="29" s="1"/>
  <c r="F41" i="29"/>
  <c r="E41" i="29"/>
  <c r="D41" i="29"/>
  <c r="F40" i="29"/>
  <c r="E40" i="29"/>
  <c r="D40" i="29"/>
  <c r="F39" i="29"/>
  <c r="E39" i="29"/>
  <c r="D39" i="29"/>
  <c r="E38" i="29"/>
  <c r="D38" i="29"/>
  <c r="F38" i="29" s="1"/>
  <c r="F37" i="29"/>
  <c r="E37" i="29"/>
  <c r="D37" i="29"/>
  <c r="E36" i="29"/>
  <c r="D36" i="29"/>
  <c r="F36" i="29" s="1"/>
  <c r="E35" i="29"/>
  <c r="F35" i="29" s="1"/>
  <c r="D35" i="29"/>
  <c r="E34" i="29"/>
  <c r="D34" i="29"/>
  <c r="F34" i="29" s="1"/>
  <c r="F33" i="29"/>
  <c r="E33" i="29"/>
  <c r="D33" i="29"/>
  <c r="E32" i="29"/>
  <c r="D32" i="29"/>
  <c r="F32" i="29" s="1"/>
  <c r="F31" i="29"/>
  <c r="E31" i="29"/>
  <c r="D31" i="29"/>
  <c r="E30" i="29"/>
  <c r="D30" i="29"/>
  <c r="F30" i="29" s="1"/>
  <c r="F29" i="29"/>
  <c r="E29" i="29"/>
  <c r="D29" i="29"/>
  <c r="F28" i="29"/>
  <c r="E28" i="29"/>
  <c r="D28" i="29"/>
  <c r="F27" i="29"/>
  <c r="E27" i="29"/>
  <c r="D27" i="29"/>
  <c r="E26" i="29"/>
  <c r="D26" i="29"/>
  <c r="F26" i="29" s="1"/>
  <c r="F25" i="29"/>
  <c r="E25" i="29"/>
  <c r="D25" i="29"/>
  <c r="F24" i="29"/>
  <c r="E24" i="29"/>
  <c r="D24" i="29"/>
  <c r="E23" i="29"/>
  <c r="F23" i="29" s="1"/>
  <c r="D23" i="29"/>
  <c r="E22" i="29"/>
  <c r="D22" i="29"/>
  <c r="F22" i="29" s="1"/>
  <c r="F21" i="29"/>
  <c r="E21" i="29"/>
  <c r="D21" i="29"/>
  <c r="E20" i="29"/>
  <c r="D20" i="29"/>
  <c r="F20" i="29" s="1"/>
  <c r="F19" i="29"/>
  <c r="E19" i="29"/>
  <c r="D19" i="29"/>
  <c r="E18" i="29"/>
  <c r="D18" i="29"/>
  <c r="F18" i="29" s="1"/>
  <c r="F17" i="29"/>
  <c r="E17" i="29"/>
  <c r="D17" i="29"/>
  <c r="F16" i="29"/>
  <c r="E16" i="29"/>
  <c r="D16" i="29"/>
  <c r="F15" i="29"/>
  <c r="E15" i="29"/>
  <c r="D15" i="29"/>
  <c r="E14" i="29"/>
  <c r="D14" i="29"/>
  <c r="F14" i="29" s="1"/>
  <c r="F13" i="29"/>
  <c r="E13" i="29"/>
  <c r="D13" i="29"/>
  <c r="F12" i="29"/>
  <c r="E12" i="29"/>
  <c r="D12" i="29"/>
  <c r="E11" i="29"/>
  <c r="F11" i="29" s="1"/>
  <c r="D11" i="29"/>
  <c r="E10" i="29"/>
  <c r="D10" i="29"/>
  <c r="F10" i="29" s="1"/>
  <c r="F9" i="29"/>
  <c r="E9" i="29"/>
  <c r="D9" i="29"/>
  <c r="E8" i="29"/>
  <c r="D8" i="29"/>
  <c r="F8" i="29" s="1"/>
  <c r="E7" i="29"/>
  <c r="F7" i="29" s="1"/>
  <c r="D7" i="29"/>
  <c r="E6" i="29"/>
  <c r="D6" i="29"/>
  <c r="F6" i="29" s="1"/>
  <c r="F5" i="29"/>
  <c r="E5" i="29"/>
  <c r="D5" i="29"/>
  <c r="E4" i="29"/>
  <c r="D4" i="29"/>
  <c r="F4" i="29" s="1"/>
  <c r="F3" i="29"/>
  <c r="E3" i="29"/>
  <c r="D3" i="29"/>
  <c r="E2" i="29"/>
  <c r="D2" i="29"/>
  <c r="F2" i="29" s="1"/>
  <c r="I76" i="28"/>
  <c r="H76" i="28"/>
  <c r="G76" i="28"/>
  <c r="B76" i="28"/>
  <c r="E74" i="28"/>
  <c r="D74" i="28"/>
  <c r="F73" i="28"/>
  <c r="E73" i="28"/>
  <c r="D73" i="28"/>
  <c r="F72" i="28"/>
  <c r="E72" i="28"/>
  <c r="D72" i="28"/>
  <c r="E71" i="28"/>
  <c r="D71" i="28"/>
  <c r="F71" i="28" s="1"/>
  <c r="E70" i="28"/>
  <c r="D70" i="28"/>
  <c r="F69" i="28"/>
  <c r="E69" i="28"/>
  <c r="D69" i="28"/>
  <c r="F68" i="28"/>
  <c r="E68" i="28"/>
  <c r="D68" i="28"/>
  <c r="E67" i="28"/>
  <c r="D67" i="28"/>
  <c r="F67" i="28" s="1"/>
  <c r="F66" i="28"/>
  <c r="E66" i="28"/>
  <c r="D66" i="28"/>
  <c r="F65" i="28"/>
  <c r="E65" i="28"/>
  <c r="D65" i="28"/>
  <c r="F64" i="28"/>
  <c r="E64" i="28"/>
  <c r="D64" i="28"/>
  <c r="E63" i="28"/>
  <c r="D63" i="28"/>
  <c r="F63" i="28" s="1"/>
  <c r="E62" i="28"/>
  <c r="F62" i="28" s="1"/>
  <c r="D62" i="28"/>
  <c r="F61" i="28"/>
  <c r="E61" i="28"/>
  <c r="D61" i="28"/>
  <c r="F60" i="28"/>
  <c r="E60" i="28"/>
  <c r="D60" i="28"/>
  <c r="E59" i="28"/>
  <c r="D59" i="28"/>
  <c r="F59" i="28" s="1"/>
  <c r="E58" i="28"/>
  <c r="F58" i="28" s="1"/>
  <c r="D58" i="28"/>
  <c r="F57" i="28"/>
  <c r="E57" i="28"/>
  <c r="D57" i="28"/>
  <c r="F56" i="28"/>
  <c r="E56" i="28"/>
  <c r="D56" i="28"/>
  <c r="E55" i="28"/>
  <c r="D55" i="28"/>
  <c r="F55" i="28" s="1"/>
  <c r="E54" i="28"/>
  <c r="F54" i="28" s="1"/>
  <c r="D54" i="28"/>
  <c r="F53" i="28"/>
  <c r="E53" i="28"/>
  <c r="D53" i="28"/>
  <c r="F52" i="28"/>
  <c r="E52" i="28"/>
  <c r="D52" i="28"/>
  <c r="E51" i="28"/>
  <c r="D51" i="28"/>
  <c r="F51" i="28" s="1"/>
  <c r="F50" i="28"/>
  <c r="E50" i="28"/>
  <c r="D50" i="28"/>
  <c r="F49" i="28"/>
  <c r="E49" i="28"/>
  <c r="D49" i="28"/>
  <c r="F48" i="28"/>
  <c r="E48" i="28"/>
  <c r="D48" i="28"/>
  <c r="E47" i="28"/>
  <c r="D47" i="28"/>
  <c r="F47" i="28" s="1"/>
  <c r="E46" i="28"/>
  <c r="F46" i="28" s="1"/>
  <c r="D46" i="28"/>
  <c r="F45" i="28"/>
  <c r="E45" i="28"/>
  <c r="D45" i="28"/>
  <c r="F44" i="28"/>
  <c r="E44" i="28"/>
  <c r="D44" i="28"/>
  <c r="E43" i="28"/>
  <c r="D43" i="28"/>
  <c r="F43" i="28" s="1"/>
  <c r="E42" i="28"/>
  <c r="D42" i="28"/>
  <c r="F42" i="28" s="1"/>
  <c r="F41" i="28"/>
  <c r="E41" i="28"/>
  <c r="D41" i="28"/>
  <c r="F40" i="28"/>
  <c r="E40" i="28"/>
  <c r="D40" i="28"/>
  <c r="E39" i="28"/>
  <c r="D39" i="28"/>
  <c r="F39" i="28" s="1"/>
  <c r="F38" i="28"/>
  <c r="E38" i="28"/>
  <c r="D38" i="28"/>
  <c r="F37" i="28"/>
  <c r="E37" i="28"/>
  <c r="D37" i="28"/>
  <c r="F36" i="28"/>
  <c r="E36" i="28"/>
  <c r="D36" i="28"/>
  <c r="E35" i="28"/>
  <c r="D35" i="28"/>
  <c r="F35" i="28" s="1"/>
  <c r="E34" i="28"/>
  <c r="F34" i="28" s="1"/>
  <c r="D34" i="28"/>
  <c r="F33" i="28"/>
  <c r="E33" i="28"/>
  <c r="D33" i="28"/>
  <c r="F32" i="28"/>
  <c r="E32" i="28"/>
  <c r="D32" i="28"/>
  <c r="E31" i="28"/>
  <c r="D31" i="28"/>
  <c r="F31" i="28" s="1"/>
  <c r="E30" i="28"/>
  <c r="D30" i="28"/>
  <c r="F30" i="28" s="1"/>
  <c r="F29" i="28"/>
  <c r="E29" i="28"/>
  <c r="D29" i="28"/>
  <c r="F28" i="28"/>
  <c r="E28" i="28"/>
  <c r="D28" i="28"/>
  <c r="E27" i="28"/>
  <c r="D27" i="28"/>
  <c r="F27" i="28" s="1"/>
  <c r="F26" i="28"/>
  <c r="E26" i="28"/>
  <c r="D26" i="28"/>
  <c r="F25" i="28"/>
  <c r="E25" i="28"/>
  <c r="D25" i="28"/>
  <c r="F24" i="28"/>
  <c r="E24" i="28"/>
  <c r="D24" i="28"/>
  <c r="E23" i="28"/>
  <c r="D23" i="28"/>
  <c r="F23" i="28" s="1"/>
  <c r="E22" i="28"/>
  <c r="D22" i="28"/>
  <c r="F21" i="28"/>
  <c r="E21" i="28"/>
  <c r="D21" i="28"/>
  <c r="F20" i="28"/>
  <c r="E20" i="28"/>
  <c r="D20" i="28"/>
  <c r="E19" i="28"/>
  <c r="D19" i="28"/>
  <c r="F19" i="28" s="1"/>
  <c r="F18" i="28"/>
  <c r="E18" i="28"/>
  <c r="D18" i="28"/>
  <c r="F17" i="28"/>
  <c r="E17" i="28"/>
  <c r="D17" i="28"/>
  <c r="F16" i="28"/>
  <c r="E16" i="28"/>
  <c r="D16" i="28"/>
  <c r="E15" i="28"/>
  <c r="D15" i="28"/>
  <c r="F15" i="28" s="1"/>
  <c r="E14" i="28"/>
  <c r="F14" i="28" s="1"/>
  <c r="D14" i="28"/>
  <c r="F13" i="28"/>
  <c r="E13" i="28"/>
  <c r="D13" i="28"/>
  <c r="F12" i="28"/>
  <c r="E12" i="28"/>
  <c r="D12" i="28"/>
  <c r="E11" i="28"/>
  <c r="D11" i="28"/>
  <c r="F11" i="28" s="1"/>
  <c r="E10" i="28"/>
  <c r="D10" i="28"/>
  <c r="F10" i="28" s="1"/>
  <c r="E9" i="28"/>
  <c r="D9" i="28"/>
  <c r="F9" i="28" s="1"/>
  <c r="F8" i="28"/>
  <c r="E8" i="28"/>
  <c r="D8" i="28"/>
  <c r="E7" i="28"/>
  <c r="D7" i="28"/>
  <c r="F7" i="28" s="1"/>
  <c r="E6" i="28"/>
  <c r="D6" i="28"/>
  <c r="F6" i="28" s="1"/>
  <c r="E5" i="28"/>
  <c r="D5" i="28"/>
  <c r="F5" i="28" s="1"/>
  <c r="F4" i="28"/>
  <c r="E4" i="28"/>
  <c r="D4" i="28"/>
  <c r="E3" i="28"/>
  <c r="D3" i="28"/>
  <c r="F3" i="28" s="1"/>
  <c r="E2" i="28"/>
  <c r="D2" i="28"/>
  <c r="I76" i="27"/>
  <c r="H76" i="27"/>
  <c r="G76" i="27"/>
  <c r="E76" i="27"/>
  <c r="B76" i="27"/>
  <c r="F74" i="27"/>
  <c r="E74" i="27"/>
  <c r="D74" i="27"/>
  <c r="F73" i="27"/>
  <c r="E73" i="27"/>
  <c r="D73" i="27"/>
  <c r="F72" i="27"/>
  <c r="E72" i="27"/>
  <c r="D72" i="27"/>
  <c r="F71" i="27"/>
  <c r="E71" i="27"/>
  <c r="D71" i="27"/>
  <c r="F70" i="27"/>
  <c r="E70" i="27"/>
  <c r="D70" i="27"/>
  <c r="F69" i="27"/>
  <c r="E69" i="27"/>
  <c r="D69" i="27"/>
  <c r="F68" i="27"/>
  <c r="E68" i="27"/>
  <c r="D68" i="27"/>
  <c r="F67" i="27"/>
  <c r="E67" i="27"/>
  <c r="D67" i="27"/>
  <c r="F66" i="27"/>
  <c r="E66" i="27"/>
  <c r="D66" i="27"/>
  <c r="F65" i="27"/>
  <c r="E65" i="27"/>
  <c r="D65" i="27"/>
  <c r="F64" i="27"/>
  <c r="E64" i="27"/>
  <c r="D64" i="27"/>
  <c r="F63" i="27"/>
  <c r="E63" i="27"/>
  <c r="D63" i="27"/>
  <c r="F62" i="27"/>
  <c r="E62" i="27"/>
  <c r="D62" i="27"/>
  <c r="F61" i="27"/>
  <c r="E61" i="27"/>
  <c r="D61" i="27"/>
  <c r="F60" i="27"/>
  <c r="E60" i="27"/>
  <c r="D60" i="27"/>
  <c r="F59" i="27"/>
  <c r="E59" i="27"/>
  <c r="D59" i="27"/>
  <c r="F58" i="27"/>
  <c r="E58" i="27"/>
  <c r="D58" i="27"/>
  <c r="F57" i="27"/>
  <c r="E57" i="27"/>
  <c r="D57" i="27"/>
  <c r="F56" i="27"/>
  <c r="E56" i="27"/>
  <c r="D56" i="27"/>
  <c r="F55" i="27"/>
  <c r="E55" i="27"/>
  <c r="D55" i="27"/>
  <c r="F54" i="27"/>
  <c r="E54" i="27"/>
  <c r="D54" i="27"/>
  <c r="F53" i="27"/>
  <c r="E53" i="27"/>
  <c r="D53" i="27"/>
  <c r="F52" i="27"/>
  <c r="E52" i="27"/>
  <c r="D52" i="27"/>
  <c r="F51" i="27"/>
  <c r="E51" i="27"/>
  <c r="D51" i="27"/>
  <c r="F50" i="27"/>
  <c r="E50" i="27"/>
  <c r="D50" i="27"/>
  <c r="F49" i="27"/>
  <c r="E49" i="27"/>
  <c r="D49" i="27"/>
  <c r="F48" i="27"/>
  <c r="E48" i="27"/>
  <c r="D48" i="27"/>
  <c r="F47" i="27"/>
  <c r="E47" i="27"/>
  <c r="D47" i="27"/>
  <c r="F46" i="27"/>
  <c r="E46" i="27"/>
  <c r="D46" i="27"/>
  <c r="F45" i="27"/>
  <c r="E45" i="27"/>
  <c r="D45" i="27"/>
  <c r="F44" i="27"/>
  <c r="E44" i="27"/>
  <c r="D44" i="27"/>
  <c r="F43" i="27"/>
  <c r="E43" i="27"/>
  <c r="D43" i="27"/>
  <c r="F42" i="27"/>
  <c r="E42" i="27"/>
  <c r="D42" i="27"/>
  <c r="F41" i="27"/>
  <c r="E41" i="27"/>
  <c r="D41" i="27"/>
  <c r="F40" i="27"/>
  <c r="E40" i="27"/>
  <c r="D40" i="27"/>
  <c r="F39" i="27"/>
  <c r="E39" i="27"/>
  <c r="D39" i="27"/>
  <c r="F38" i="27"/>
  <c r="E38" i="27"/>
  <c r="D38" i="27"/>
  <c r="F37" i="27"/>
  <c r="E37" i="27"/>
  <c r="D37" i="27"/>
  <c r="F36" i="27"/>
  <c r="E36" i="27"/>
  <c r="D36" i="27"/>
  <c r="F35" i="27"/>
  <c r="E35" i="27"/>
  <c r="D35" i="27"/>
  <c r="F34" i="27"/>
  <c r="E34" i="27"/>
  <c r="D34" i="27"/>
  <c r="F33" i="27"/>
  <c r="E33" i="27"/>
  <c r="D33" i="27"/>
  <c r="F32" i="27"/>
  <c r="E32" i="27"/>
  <c r="D32" i="27"/>
  <c r="F31" i="27"/>
  <c r="E31" i="27"/>
  <c r="D31" i="27"/>
  <c r="F30" i="27"/>
  <c r="E30" i="27"/>
  <c r="D30" i="27"/>
  <c r="F29" i="27"/>
  <c r="E29" i="27"/>
  <c r="D29" i="27"/>
  <c r="F28" i="27"/>
  <c r="E28" i="27"/>
  <c r="D28" i="27"/>
  <c r="F27" i="27"/>
  <c r="E27" i="27"/>
  <c r="D27" i="27"/>
  <c r="F26" i="27"/>
  <c r="E26" i="27"/>
  <c r="D26" i="27"/>
  <c r="F25" i="27"/>
  <c r="E25" i="27"/>
  <c r="D25" i="27"/>
  <c r="F24" i="27"/>
  <c r="E24" i="27"/>
  <c r="D24" i="27"/>
  <c r="F23" i="27"/>
  <c r="E23" i="27"/>
  <c r="D23" i="27"/>
  <c r="F22" i="27"/>
  <c r="E22" i="27"/>
  <c r="D22" i="27"/>
  <c r="F21" i="27"/>
  <c r="E21" i="27"/>
  <c r="D21" i="27"/>
  <c r="F20" i="27"/>
  <c r="E20" i="27"/>
  <c r="D20" i="27"/>
  <c r="F19" i="27"/>
  <c r="E19" i="27"/>
  <c r="D19" i="27"/>
  <c r="F18" i="27"/>
  <c r="E18" i="27"/>
  <c r="D18" i="27"/>
  <c r="F17" i="27"/>
  <c r="E17" i="27"/>
  <c r="D17" i="27"/>
  <c r="F16" i="27"/>
  <c r="E16" i="27"/>
  <c r="D16" i="27"/>
  <c r="F15" i="27"/>
  <c r="E15" i="27"/>
  <c r="D15" i="27"/>
  <c r="F14" i="27"/>
  <c r="E14" i="27"/>
  <c r="D14" i="27"/>
  <c r="F13" i="27"/>
  <c r="E13" i="27"/>
  <c r="D13" i="27"/>
  <c r="F12" i="27"/>
  <c r="E12" i="27"/>
  <c r="D12" i="27"/>
  <c r="F11" i="27"/>
  <c r="E11" i="27"/>
  <c r="D11" i="27"/>
  <c r="F10" i="27"/>
  <c r="E10" i="27"/>
  <c r="D10" i="27"/>
  <c r="F9" i="27"/>
  <c r="E9" i="27"/>
  <c r="D9" i="27"/>
  <c r="F8" i="27"/>
  <c r="E8" i="27"/>
  <c r="D8" i="27"/>
  <c r="F7" i="27"/>
  <c r="E7" i="27"/>
  <c r="D7" i="27"/>
  <c r="F6" i="27"/>
  <c r="E6" i="27"/>
  <c r="D6" i="27"/>
  <c r="F5" i="27"/>
  <c r="E5" i="27"/>
  <c r="D5" i="27"/>
  <c r="F4" i="27"/>
  <c r="E4" i="27"/>
  <c r="D4" i="27"/>
  <c r="F3" i="27"/>
  <c r="E3" i="27"/>
  <c r="D3" i="27"/>
  <c r="F2" i="27"/>
  <c r="E2" i="27"/>
  <c r="D2" i="27"/>
  <c r="I76" i="26"/>
  <c r="H76" i="26"/>
  <c r="G76" i="26"/>
  <c r="B76" i="26"/>
  <c r="F74" i="26"/>
  <c r="E74" i="26"/>
  <c r="D74" i="26"/>
  <c r="E73" i="26"/>
  <c r="F73" i="26" s="1"/>
  <c r="D73" i="26"/>
  <c r="E72" i="26"/>
  <c r="D72" i="26"/>
  <c r="E71" i="26"/>
  <c r="D71" i="26"/>
  <c r="F71" i="26" s="1"/>
  <c r="F70" i="26"/>
  <c r="E70" i="26"/>
  <c r="D70" i="26"/>
  <c r="E69" i="26"/>
  <c r="D69" i="26"/>
  <c r="F69" i="26" s="1"/>
  <c r="E68" i="26"/>
  <c r="F68" i="26" s="1"/>
  <c r="D68" i="26"/>
  <c r="F67" i="26"/>
  <c r="E67" i="26"/>
  <c r="D67" i="26"/>
  <c r="F66" i="26"/>
  <c r="E66" i="26"/>
  <c r="D66" i="26"/>
  <c r="E65" i="26"/>
  <c r="D65" i="26"/>
  <c r="E64" i="26"/>
  <c r="D64" i="26"/>
  <c r="F63" i="26"/>
  <c r="E63" i="26"/>
  <c r="D63" i="26"/>
  <c r="F62" i="26"/>
  <c r="E62" i="26"/>
  <c r="D62" i="26"/>
  <c r="E61" i="26"/>
  <c r="D61" i="26"/>
  <c r="F61" i="26" s="1"/>
  <c r="E60" i="26"/>
  <c r="F60" i="26" s="1"/>
  <c r="D60" i="26"/>
  <c r="E59" i="26"/>
  <c r="D59" i="26"/>
  <c r="F59" i="26" s="1"/>
  <c r="F58" i="26"/>
  <c r="E58" i="26"/>
  <c r="D58" i="26"/>
  <c r="E57" i="26"/>
  <c r="F57" i="26" s="1"/>
  <c r="D57" i="26"/>
  <c r="E56" i="26"/>
  <c r="D56" i="26"/>
  <c r="E55" i="26"/>
  <c r="D55" i="26"/>
  <c r="F55" i="26" s="1"/>
  <c r="F54" i="26"/>
  <c r="E54" i="26"/>
  <c r="D54" i="26"/>
  <c r="E53" i="26"/>
  <c r="D53" i="26"/>
  <c r="F53" i="26" s="1"/>
  <c r="E52" i="26"/>
  <c r="D52" i="26"/>
  <c r="F51" i="26"/>
  <c r="E51" i="26"/>
  <c r="D51" i="26"/>
  <c r="F50" i="26"/>
  <c r="E50" i="26"/>
  <c r="D50" i="26"/>
  <c r="F49" i="26"/>
  <c r="E49" i="26"/>
  <c r="D49" i="26"/>
  <c r="E48" i="26"/>
  <c r="F48" i="26" s="1"/>
  <c r="D48" i="26"/>
  <c r="E47" i="26"/>
  <c r="D47" i="26"/>
  <c r="F47" i="26" s="1"/>
  <c r="F46" i="26"/>
  <c r="E46" i="26"/>
  <c r="D46" i="26"/>
  <c r="F45" i="26"/>
  <c r="E45" i="26"/>
  <c r="D45" i="26"/>
  <c r="E44" i="26"/>
  <c r="D44" i="26"/>
  <c r="E43" i="26"/>
  <c r="D43" i="26"/>
  <c r="F43" i="26" s="1"/>
  <c r="F42" i="26"/>
  <c r="E42" i="26"/>
  <c r="D42" i="26"/>
  <c r="E41" i="26"/>
  <c r="D41" i="26"/>
  <c r="E40" i="26"/>
  <c r="D40" i="26"/>
  <c r="E39" i="26"/>
  <c r="D39" i="26"/>
  <c r="F39" i="26" s="1"/>
  <c r="F38" i="26"/>
  <c r="E38" i="26"/>
  <c r="D38" i="26"/>
  <c r="E37" i="26"/>
  <c r="F37" i="26" s="1"/>
  <c r="D37" i="26"/>
  <c r="E36" i="26"/>
  <c r="D36" i="26"/>
  <c r="E35" i="26"/>
  <c r="D35" i="26"/>
  <c r="F35" i="26" s="1"/>
  <c r="F34" i="26"/>
  <c r="E34" i="26"/>
  <c r="D34" i="26"/>
  <c r="F33" i="26"/>
  <c r="E33" i="26"/>
  <c r="D33" i="26"/>
  <c r="E32" i="26"/>
  <c r="F32" i="26" s="1"/>
  <c r="D32" i="26"/>
  <c r="F31" i="26"/>
  <c r="E31" i="26"/>
  <c r="D31" i="26"/>
  <c r="F30" i="26"/>
  <c r="E30" i="26"/>
  <c r="D30" i="26"/>
  <c r="E29" i="26"/>
  <c r="F29" i="26" s="1"/>
  <c r="D29" i="26"/>
  <c r="E28" i="26"/>
  <c r="D28" i="26"/>
  <c r="F27" i="26"/>
  <c r="E27" i="26"/>
  <c r="D27" i="26"/>
  <c r="F26" i="26"/>
  <c r="E26" i="26"/>
  <c r="D26" i="26"/>
  <c r="E25" i="26"/>
  <c r="D25" i="26"/>
  <c r="E24" i="26"/>
  <c r="F24" i="26" s="1"/>
  <c r="D24" i="26"/>
  <c r="E23" i="26"/>
  <c r="D23" i="26"/>
  <c r="F23" i="26" s="1"/>
  <c r="F22" i="26"/>
  <c r="E22" i="26"/>
  <c r="D22" i="26"/>
  <c r="F21" i="26"/>
  <c r="E21" i="26"/>
  <c r="D21" i="26"/>
  <c r="E20" i="26"/>
  <c r="D20" i="26"/>
  <c r="E19" i="26"/>
  <c r="D19" i="26"/>
  <c r="F19" i="26" s="1"/>
  <c r="F18" i="26"/>
  <c r="E18" i="26"/>
  <c r="D18" i="26"/>
  <c r="E17" i="26"/>
  <c r="D17" i="26"/>
  <c r="E16" i="26"/>
  <c r="D16" i="26"/>
  <c r="F15" i="26"/>
  <c r="E15" i="26"/>
  <c r="D15" i="26"/>
  <c r="F14" i="26"/>
  <c r="E14" i="26"/>
  <c r="D14" i="26"/>
  <c r="F13" i="26"/>
  <c r="E13" i="26"/>
  <c r="D13" i="26"/>
  <c r="E12" i="26"/>
  <c r="F12" i="26" s="1"/>
  <c r="D12" i="26"/>
  <c r="F11" i="26"/>
  <c r="E11" i="26"/>
  <c r="D11" i="26"/>
  <c r="F10" i="26"/>
  <c r="E10" i="26"/>
  <c r="D10" i="26"/>
  <c r="E9" i="26"/>
  <c r="F9" i="26" s="1"/>
  <c r="D9" i="26"/>
  <c r="E8" i="26"/>
  <c r="F8" i="26" s="1"/>
  <c r="D8" i="26"/>
  <c r="E7" i="26"/>
  <c r="D7" i="26"/>
  <c r="F7" i="26" s="1"/>
  <c r="F6" i="26"/>
  <c r="E6" i="26"/>
  <c r="D6" i="26"/>
  <c r="E5" i="26"/>
  <c r="D5" i="26"/>
  <c r="F5" i="26" s="1"/>
  <c r="E4" i="26"/>
  <c r="D4" i="26"/>
  <c r="E3" i="26"/>
  <c r="D3" i="26"/>
  <c r="F3" i="26" s="1"/>
  <c r="F2" i="26"/>
  <c r="E2" i="26"/>
  <c r="D2" i="26"/>
  <c r="I76" i="25"/>
  <c r="H76" i="25"/>
  <c r="G76" i="25"/>
  <c r="B76" i="25"/>
  <c r="E74" i="25"/>
  <c r="D74" i="25"/>
  <c r="F74" i="25" s="1"/>
  <c r="F73" i="25"/>
  <c r="E73" i="25"/>
  <c r="D73" i="25"/>
  <c r="F72" i="25"/>
  <c r="E72" i="25"/>
  <c r="D72" i="25"/>
  <c r="E71" i="25"/>
  <c r="D71" i="25"/>
  <c r="E70" i="25"/>
  <c r="D70" i="25"/>
  <c r="F70" i="25" s="1"/>
  <c r="F69" i="25"/>
  <c r="E69" i="25"/>
  <c r="D69" i="25"/>
  <c r="E68" i="25"/>
  <c r="F68" i="25" s="1"/>
  <c r="D68" i="25"/>
  <c r="E67" i="25"/>
  <c r="F67" i="25" s="1"/>
  <c r="D67" i="25"/>
  <c r="F66" i="25"/>
  <c r="E66" i="25"/>
  <c r="D66" i="25"/>
  <c r="F65" i="25"/>
  <c r="E65" i="25"/>
  <c r="D65" i="25"/>
  <c r="E64" i="25"/>
  <c r="D64" i="25"/>
  <c r="E63" i="25"/>
  <c r="F63" i="25" s="1"/>
  <c r="D63" i="25"/>
  <c r="E62" i="25"/>
  <c r="D62" i="25"/>
  <c r="F62" i="25" s="1"/>
  <c r="F61" i="25"/>
  <c r="E61" i="25"/>
  <c r="D61" i="25"/>
  <c r="E60" i="25"/>
  <c r="F60" i="25" s="1"/>
  <c r="D60" i="25"/>
  <c r="E59" i="25"/>
  <c r="F59" i="25" s="1"/>
  <c r="D59" i="25"/>
  <c r="F58" i="25"/>
  <c r="E58" i="25"/>
  <c r="D58" i="25"/>
  <c r="F57" i="25"/>
  <c r="E57" i="25"/>
  <c r="D57" i="25"/>
  <c r="E56" i="25"/>
  <c r="D56" i="25"/>
  <c r="F56" i="25" s="1"/>
  <c r="E55" i="25"/>
  <c r="D55" i="25"/>
  <c r="F54" i="25"/>
  <c r="E54" i="25"/>
  <c r="D54" i="25"/>
  <c r="F53" i="25"/>
  <c r="E53" i="25"/>
  <c r="D53" i="25"/>
  <c r="F52" i="25"/>
  <c r="E52" i="25"/>
  <c r="D52" i="25"/>
  <c r="E51" i="25"/>
  <c r="F51" i="25" s="1"/>
  <c r="D51" i="25"/>
  <c r="F50" i="25"/>
  <c r="E50" i="25"/>
  <c r="D50" i="25"/>
  <c r="F49" i="25"/>
  <c r="E49" i="25"/>
  <c r="D49" i="25"/>
  <c r="E48" i="25"/>
  <c r="F48" i="25" s="1"/>
  <c r="D48" i="25"/>
  <c r="E47" i="25"/>
  <c r="D47" i="25"/>
  <c r="E46" i="25"/>
  <c r="D46" i="25"/>
  <c r="F46" i="25" s="1"/>
  <c r="F45" i="25"/>
  <c r="E45" i="25"/>
  <c r="D45" i="25"/>
  <c r="E44" i="25"/>
  <c r="D44" i="25"/>
  <c r="E43" i="25"/>
  <c r="F43" i="25" s="1"/>
  <c r="D43" i="25"/>
  <c r="E42" i="25"/>
  <c r="D42" i="25"/>
  <c r="F42" i="25" s="1"/>
  <c r="F41" i="25"/>
  <c r="E41" i="25"/>
  <c r="D41" i="25"/>
  <c r="E40" i="25"/>
  <c r="D40" i="25"/>
  <c r="F40" i="25" s="1"/>
  <c r="E39" i="25"/>
  <c r="D39" i="25"/>
  <c r="E38" i="25"/>
  <c r="D38" i="25"/>
  <c r="F38" i="25" s="1"/>
  <c r="F37" i="25"/>
  <c r="E37" i="25"/>
  <c r="D37" i="25"/>
  <c r="E36" i="25"/>
  <c r="F36" i="25" s="1"/>
  <c r="D36" i="25"/>
  <c r="E35" i="25"/>
  <c r="D35" i="25"/>
  <c r="F34" i="25"/>
  <c r="E34" i="25"/>
  <c r="D34" i="25"/>
  <c r="F33" i="25"/>
  <c r="E33" i="25"/>
  <c r="D33" i="25"/>
  <c r="E32" i="25"/>
  <c r="D32" i="25"/>
  <c r="F32" i="25" s="1"/>
  <c r="E31" i="25"/>
  <c r="D31" i="25"/>
  <c r="F30" i="25"/>
  <c r="E30" i="25"/>
  <c r="D30" i="25"/>
  <c r="F29" i="25"/>
  <c r="E29" i="25"/>
  <c r="D29" i="25"/>
  <c r="E28" i="25"/>
  <c r="F28" i="25" s="1"/>
  <c r="D28" i="25"/>
  <c r="E27" i="25"/>
  <c r="F27" i="25" s="1"/>
  <c r="D27" i="25"/>
  <c r="E26" i="25"/>
  <c r="D26" i="25"/>
  <c r="F26" i="25" s="1"/>
  <c r="F25" i="25"/>
  <c r="E25" i="25"/>
  <c r="D25" i="25"/>
  <c r="E24" i="25"/>
  <c r="D24" i="25"/>
  <c r="F24" i="25" s="1"/>
  <c r="E23" i="25"/>
  <c r="D23" i="25"/>
  <c r="E22" i="25"/>
  <c r="D22" i="25"/>
  <c r="F22" i="25" s="1"/>
  <c r="F21" i="25"/>
  <c r="E21" i="25"/>
  <c r="D21" i="25"/>
  <c r="E20" i="25"/>
  <c r="D20" i="25"/>
  <c r="F20" i="25" s="1"/>
  <c r="E19" i="25"/>
  <c r="F19" i="25" s="1"/>
  <c r="D19" i="25"/>
  <c r="F18" i="25"/>
  <c r="E18" i="25"/>
  <c r="D18" i="25"/>
  <c r="F17" i="25"/>
  <c r="E17" i="25"/>
  <c r="D17" i="25"/>
  <c r="F16" i="25"/>
  <c r="E16" i="25"/>
  <c r="D16" i="25"/>
  <c r="E15" i="25"/>
  <c r="F15" i="25" s="1"/>
  <c r="D15" i="25"/>
  <c r="E14" i="25"/>
  <c r="D14" i="25"/>
  <c r="F14" i="25" s="1"/>
  <c r="F13" i="25"/>
  <c r="E13" i="25"/>
  <c r="D13" i="25"/>
  <c r="E12" i="25"/>
  <c r="D12" i="25"/>
  <c r="F12" i="25" s="1"/>
  <c r="E11" i="25"/>
  <c r="F11" i="25" s="1"/>
  <c r="D11" i="25"/>
  <c r="F10" i="25"/>
  <c r="E10" i="25"/>
  <c r="D10" i="25"/>
  <c r="F9" i="25"/>
  <c r="E9" i="25"/>
  <c r="D9" i="25"/>
  <c r="F8" i="25"/>
  <c r="E8" i="25"/>
  <c r="D8" i="25"/>
  <c r="E7" i="25"/>
  <c r="F7" i="25" s="1"/>
  <c r="D7" i="25"/>
  <c r="F6" i="25"/>
  <c r="E6" i="25"/>
  <c r="D6" i="25"/>
  <c r="F5" i="25"/>
  <c r="E5" i="25"/>
  <c r="D5" i="25"/>
  <c r="E4" i="25"/>
  <c r="D4" i="25"/>
  <c r="E3" i="25"/>
  <c r="D3" i="25"/>
  <c r="E2" i="25"/>
  <c r="D2" i="25"/>
  <c r="I76" i="24"/>
  <c r="H76" i="24"/>
  <c r="G76" i="24"/>
  <c r="B76" i="24"/>
  <c r="F74" i="24"/>
  <c r="E74" i="24"/>
  <c r="D74" i="24"/>
  <c r="E73" i="24"/>
  <c r="D73" i="24"/>
  <c r="F73" i="24" s="1"/>
  <c r="F72" i="24"/>
  <c r="E72" i="24"/>
  <c r="D72" i="24"/>
  <c r="F71" i="24"/>
  <c r="E71" i="24"/>
  <c r="D71" i="24"/>
  <c r="E70" i="24"/>
  <c r="F70" i="24" s="1"/>
  <c r="D70" i="24"/>
  <c r="E69" i="24"/>
  <c r="D69" i="24"/>
  <c r="F69" i="24" s="1"/>
  <c r="F68" i="24"/>
  <c r="E68" i="24"/>
  <c r="D68" i="24"/>
  <c r="E67" i="24"/>
  <c r="D67" i="24"/>
  <c r="F67" i="24" s="1"/>
  <c r="E66" i="24"/>
  <c r="D66" i="24"/>
  <c r="E65" i="24"/>
  <c r="D65" i="24"/>
  <c r="F65" i="24" s="1"/>
  <c r="F64" i="24"/>
  <c r="E64" i="24"/>
  <c r="D64" i="24"/>
  <c r="E63" i="24"/>
  <c r="D63" i="24"/>
  <c r="F63" i="24" s="1"/>
  <c r="E62" i="24"/>
  <c r="D62" i="24"/>
  <c r="F62" i="24" s="1"/>
  <c r="E61" i="24"/>
  <c r="D61" i="24"/>
  <c r="F61" i="24" s="1"/>
  <c r="F60" i="24"/>
  <c r="E60" i="24"/>
  <c r="D60" i="24"/>
  <c r="E59" i="24"/>
  <c r="D59" i="24"/>
  <c r="F59" i="24" s="1"/>
  <c r="F58" i="24"/>
  <c r="E58" i="24"/>
  <c r="D58" i="24"/>
  <c r="E57" i="24"/>
  <c r="D57" i="24"/>
  <c r="F57" i="24" s="1"/>
  <c r="F56" i="24"/>
  <c r="E56" i="24"/>
  <c r="D56" i="24"/>
  <c r="F55" i="24"/>
  <c r="E55" i="24"/>
  <c r="D55" i="24"/>
  <c r="E54" i="24"/>
  <c r="F54" i="24" s="1"/>
  <c r="D54" i="24"/>
  <c r="E53" i="24"/>
  <c r="D53" i="24"/>
  <c r="F53" i="24" s="1"/>
  <c r="F52" i="24"/>
  <c r="E52" i="24"/>
  <c r="D52" i="24"/>
  <c r="F51" i="24"/>
  <c r="E51" i="24"/>
  <c r="D51" i="24"/>
  <c r="E50" i="24"/>
  <c r="D50" i="24"/>
  <c r="E49" i="24"/>
  <c r="D49" i="24"/>
  <c r="F49" i="24" s="1"/>
  <c r="F48" i="24"/>
  <c r="E48" i="24"/>
  <c r="D48" i="24"/>
  <c r="E47" i="24"/>
  <c r="D47" i="24"/>
  <c r="F47" i="24" s="1"/>
  <c r="E46" i="24"/>
  <c r="D46" i="24"/>
  <c r="F46" i="24" s="1"/>
  <c r="E45" i="24"/>
  <c r="D45" i="24"/>
  <c r="F45" i="24" s="1"/>
  <c r="F44" i="24"/>
  <c r="E44" i="24"/>
  <c r="D44" i="24"/>
  <c r="E43" i="24"/>
  <c r="D43" i="24"/>
  <c r="F43" i="24" s="1"/>
  <c r="E42" i="24"/>
  <c r="F42" i="24" s="1"/>
  <c r="D42" i="24"/>
  <c r="E41" i="24"/>
  <c r="D41" i="24"/>
  <c r="F41" i="24" s="1"/>
  <c r="F40" i="24"/>
  <c r="E40" i="24"/>
  <c r="D40" i="24"/>
  <c r="E39" i="24"/>
  <c r="D39" i="24"/>
  <c r="F39" i="24" s="1"/>
  <c r="E38" i="24"/>
  <c r="F38" i="24" s="1"/>
  <c r="D38" i="24"/>
  <c r="E37" i="24"/>
  <c r="D37" i="24"/>
  <c r="F37" i="24" s="1"/>
  <c r="F36" i="24"/>
  <c r="E36" i="24"/>
  <c r="D36" i="24"/>
  <c r="F35" i="24"/>
  <c r="E35" i="24"/>
  <c r="D35" i="24"/>
  <c r="F34" i="24"/>
  <c r="E34" i="24"/>
  <c r="D34" i="24"/>
  <c r="E33" i="24"/>
  <c r="D33" i="24"/>
  <c r="F33" i="24" s="1"/>
  <c r="F32" i="24"/>
  <c r="E32" i="24"/>
  <c r="D32" i="24"/>
  <c r="E31" i="24"/>
  <c r="D31" i="24"/>
  <c r="E30" i="24"/>
  <c r="D30" i="24"/>
  <c r="E29" i="24"/>
  <c r="D29" i="24"/>
  <c r="F29" i="24" s="1"/>
  <c r="E28" i="24"/>
  <c r="D28" i="24"/>
  <c r="F28" i="24" s="1"/>
  <c r="F27" i="24"/>
  <c r="E27" i="24"/>
  <c r="D27" i="24"/>
  <c r="F26" i="24"/>
  <c r="E26" i="24"/>
  <c r="D26" i="24"/>
  <c r="F25" i="24"/>
  <c r="E25" i="24"/>
  <c r="D25" i="24"/>
  <c r="E24" i="24"/>
  <c r="D24" i="24"/>
  <c r="F24" i="24" s="1"/>
  <c r="F23" i="24"/>
  <c r="E23" i="24"/>
  <c r="D23" i="24"/>
  <c r="E22" i="24"/>
  <c r="D22" i="24"/>
  <c r="F21" i="24"/>
  <c r="E21" i="24"/>
  <c r="D21" i="24"/>
  <c r="E20" i="24"/>
  <c r="D20" i="24"/>
  <c r="F20" i="24" s="1"/>
  <c r="E19" i="24"/>
  <c r="D19" i="24"/>
  <c r="F18" i="24"/>
  <c r="E18" i="24"/>
  <c r="D18" i="24"/>
  <c r="F17" i="24"/>
  <c r="E17" i="24"/>
  <c r="D17" i="24"/>
  <c r="E16" i="24"/>
  <c r="D16" i="24"/>
  <c r="F16" i="24" s="1"/>
  <c r="F15" i="24"/>
  <c r="E15" i="24"/>
  <c r="D15" i="24"/>
  <c r="E14" i="24"/>
  <c r="F14" i="24" s="1"/>
  <c r="D14" i="24"/>
  <c r="E13" i="24"/>
  <c r="D13" i="24"/>
  <c r="F13" i="24" s="1"/>
  <c r="E12" i="24"/>
  <c r="D12" i="24"/>
  <c r="F12" i="24" s="1"/>
  <c r="E11" i="24"/>
  <c r="F11" i="24" s="1"/>
  <c r="D11" i="24"/>
  <c r="E10" i="24"/>
  <c r="F10" i="24" s="1"/>
  <c r="D10" i="24"/>
  <c r="F9" i="24"/>
  <c r="E9" i="24"/>
  <c r="D9" i="24"/>
  <c r="E8" i="24"/>
  <c r="D8" i="24"/>
  <c r="F8" i="24" s="1"/>
  <c r="E7" i="24"/>
  <c r="D7" i="24"/>
  <c r="F7" i="24" s="1"/>
  <c r="E6" i="24"/>
  <c r="D6" i="24"/>
  <c r="F5" i="24"/>
  <c r="E5" i="24"/>
  <c r="D5" i="24"/>
  <c r="E4" i="24"/>
  <c r="D4" i="24"/>
  <c r="F4" i="24" s="1"/>
  <c r="F3" i="24"/>
  <c r="E3" i="24"/>
  <c r="D3" i="24"/>
  <c r="E2" i="24"/>
  <c r="D2" i="24"/>
  <c r="I76" i="23"/>
  <c r="H76" i="23"/>
  <c r="G76" i="23"/>
  <c r="B76" i="23"/>
  <c r="E74" i="23"/>
  <c r="D74" i="23"/>
  <c r="F73" i="23"/>
  <c r="E73" i="23"/>
  <c r="D73" i="23"/>
  <c r="E72" i="23"/>
  <c r="D72" i="23"/>
  <c r="F72" i="23" s="1"/>
  <c r="E71" i="23"/>
  <c r="D71" i="23"/>
  <c r="F71" i="23" s="1"/>
  <c r="E70" i="23"/>
  <c r="F70" i="23" s="1"/>
  <c r="D70" i="23"/>
  <c r="F69" i="23"/>
  <c r="E69" i="23"/>
  <c r="D69" i="23"/>
  <c r="E68" i="23"/>
  <c r="D68" i="23"/>
  <c r="F68" i="23" s="1"/>
  <c r="F67" i="23"/>
  <c r="E67" i="23"/>
  <c r="D67" i="23"/>
  <c r="E66" i="23"/>
  <c r="D66" i="23"/>
  <c r="F65" i="23"/>
  <c r="E65" i="23"/>
  <c r="D65" i="23"/>
  <c r="E64" i="23"/>
  <c r="D64" i="23"/>
  <c r="F64" i="23" s="1"/>
  <c r="E63" i="23"/>
  <c r="D63" i="23"/>
  <c r="F63" i="23" s="1"/>
  <c r="E62" i="23"/>
  <c r="D62" i="23"/>
  <c r="E61" i="23"/>
  <c r="D61" i="23"/>
  <c r="F60" i="23"/>
  <c r="E60" i="23"/>
  <c r="D60" i="23"/>
  <c r="E59" i="23"/>
  <c r="D59" i="23"/>
  <c r="F59" i="23" s="1"/>
  <c r="E58" i="23"/>
  <c r="D58" i="23"/>
  <c r="F57" i="23"/>
  <c r="E57" i="23"/>
  <c r="D57" i="23"/>
  <c r="F56" i="23"/>
  <c r="E56" i="23"/>
  <c r="D56" i="23"/>
  <c r="E55" i="23"/>
  <c r="D55" i="23"/>
  <c r="F55" i="23" s="1"/>
  <c r="E54" i="23"/>
  <c r="D54" i="23"/>
  <c r="E53" i="23"/>
  <c r="F53" i="23" s="1"/>
  <c r="D53" i="23"/>
  <c r="F52" i="23"/>
  <c r="E52" i="23"/>
  <c r="D52" i="23"/>
  <c r="E51" i="23"/>
  <c r="D51" i="23"/>
  <c r="F51" i="23" s="1"/>
  <c r="E50" i="23"/>
  <c r="D50" i="23"/>
  <c r="E49" i="23"/>
  <c r="F49" i="23" s="1"/>
  <c r="D49" i="23"/>
  <c r="E48" i="23"/>
  <c r="D48" i="23"/>
  <c r="F48" i="23" s="1"/>
  <c r="F47" i="23"/>
  <c r="E47" i="23"/>
  <c r="D47" i="23"/>
  <c r="E46" i="23"/>
  <c r="F46" i="23" s="1"/>
  <c r="D46" i="23"/>
  <c r="E45" i="23"/>
  <c r="F45" i="23" s="1"/>
  <c r="D45" i="23"/>
  <c r="E44" i="23"/>
  <c r="D44" i="23"/>
  <c r="F44" i="23" s="1"/>
  <c r="F43" i="23"/>
  <c r="E43" i="23"/>
  <c r="D43" i="23"/>
  <c r="E42" i="23"/>
  <c r="D42" i="23"/>
  <c r="E41" i="23"/>
  <c r="F41" i="23" s="1"/>
  <c r="D41" i="23"/>
  <c r="F40" i="23"/>
  <c r="E40" i="23"/>
  <c r="D40" i="23"/>
  <c r="F39" i="23"/>
  <c r="E39" i="23"/>
  <c r="D39" i="23"/>
  <c r="E38" i="23"/>
  <c r="F38" i="23" s="1"/>
  <c r="D38" i="23"/>
  <c r="F37" i="23"/>
  <c r="E37" i="23"/>
  <c r="D37" i="23"/>
  <c r="E36" i="23"/>
  <c r="D36" i="23"/>
  <c r="F36" i="23" s="1"/>
  <c r="E35" i="23"/>
  <c r="D35" i="23"/>
  <c r="F35" i="23" s="1"/>
  <c r="E34" i="23"/>
  <c r="F34" i="23" s="1"/>
  <c r="D34" i="23"/>
  <c r="E33" i="23"/>
  <c r="F33" i="23" s="1"/>
  <c r="D33" i="23"/>
  <c r="F32" i="23"/>
  <c r="E32" i="23"/>
  <c r="D32" i="23"/>
  <c r="F31" i="23"/>
  <c r="E31" i="23"/>
  <c r="D31" i="23"/>
  <c r="E30" i="23"/>
  <c r="F30" i="23" s="1"/>
  <c r="D30" i="23"/>
  <c r="E29" i="23"/>
  <c r="D29" i="23"/>
  <c r="F29" i="23" s="1"/>
  <c r="E28" i="23"/>
  <c r="D28" i="23"/>
  <c r="F28" i="23" s="1"/>
  <c r="F27" i="23"/>
  <c r="E27" i="23"/>
  <c r="D27" i="23"/>
  <c r="E26" i="23"/>
  <c r="D26" i="23"/>
  <c r="E25" i="23"/>
  <c r="F25" i="23" s="1"/>
  <c r="D25" i="23"/>
  <c r="E24" i="23"/>
  <c r="D24" i="23"/>
  <c r="F24" i="23" s="1"/>
  <c r="E23" i="23"/>
  <c r="D23" i="23"/>
  <c r="F23" i="23" s="1"/>
  <c r="E22" i="23"/>
  <c r="D22" i="23"/>
  <c r="F21" i="23"/>
  <c r="E21" i="23"/>
  <c r="D21" i="23"/>
  <c r="E20" i="23"/>
  <c r="D20" i="23"/>
  <c r="F20" i="23" s="1"/>
  <c r="F19" i="23"/>
  <c r="E19" i="23"/>
  <c r="D19" i="23"/>
  <c r="E18" i="23"/>
  <c r="D18" i="23"/>
  <c r="E17" i="23"/>
  <c r="F17" i="23" s="1"/>
  <c r="D17" i="23"/>
  <c r="E16" i="23"/>
  <c r="D16" i="23"/>
  <c r="F16" i="23" s="1"/>
  <c r="E15" i="23"/>
  <c r="D15" i="23"/>
  <c r="F15" i="23" s="1"/>
  <c r="E14" i="23"/>
  <c r="D14" i="23"/>
  <c r="F13" i="23"/>
  <c r="E13" i="23"/>
  <c r="D13" i="23"/>
  <c r="F12" i="23"/>
  <c r="E12" i="23"/>
  <c r="D12" i="23"/>
  <c r="F11" i="23"/>
  <c r="E11" i="23"/>
  <c r="D11" i="23"/>
  <c r="E10" i="23"/>
  <c r="F10" i="23" s="1"/>
  <c r="D10" i="23"/>
  <c r="E9" i="23"/>
  <c r="F9" i="23" s="1"/>
  <c r="D9" i="23"/>
  <c r="E8" i="23"/>
  <c r="D8" i="23"/>
  <c r="F8" i="23" s="1"/>
  <c r="E7" i="23"/>
  <c r="D7" i="23"/>
  <c r="F7" i="23" s="1"/>
  <c r="E6" i="23"/>
  <c r="D6" i="23"/>
  <c r="F5" i="23"/>
  <c r="E5" i="23"/>
  <c r="D5" i="23"/>
  <c r="F4" i="23"/>
  <c r="E4" i="23"/>
  <c r="D4" i="23"/>
  <c r="F3" i="23"/>
  <c r="E3" i="23"/>
  <c r="D3" i="23"/>
  <c r="E2" i="23"/>
  <c r="D2" i="23"/>
  <c r="I76" i="22"/>
  <c r="H76" i="22"/>
  <c r="G76" i="22"/>
  <c r="B76" i="22"/>
  <c r="F74" i="22"/>
  <c r="E74" i="22"/>
  <c r="D74" i="22"/>
  <c r="E73" i="22"/>
  <c r="D73" i="22"/>
  <c r="F73" i="22" s="1"/>
  <c r="E72" i="22"/>
  <c r="D72" i="22"/>
  <c r="F71" i="22"/>
  <c r="E71" i="22"/>
  <c r="D71" i="22"/>
  <c r="F70" i="22"/>
  <c r="E70" i="22"/>
  <c r="D70" i="22"/>
  <c r="E69" i="22"/>
  <c r="D69" i="22"/>
  <c r="F69" i="22" s="1"/>
  <c r="E68" i="22"/>
  <c r="F68" i="22" s="1"/>
  <c r="D68" i="22"/>
  <c r="E67" i="22"/>
  <c r="D67" i="22"/>
  <c r="F67" i="22" s="1"/>
  <c r="F66" i="22"/>
  <c r="E66" i="22"/>
  <c r="D66" i="22"/>
  <c r="E65" i="22"/>
  <c r="D65" i="22"/>
  <c r="F65" i="22" s="1"/>
  <c r="E64" i="22"/>
  <c r="D64" i="22"/>
  <c r="F64" i="22" s="1"/>
  <c r="E63" i="22"/>
  <c r="D63" i="22"/>
  <c r="F63" i="22" s="1"/>
  <c r="F62" i="22"/>
  <c r="E62" i="22"/>
  <c r="D62" i="22"/>
  <c r="E61" i="22"/>
  <c r="D61" i="22"/>
  <c r="F61" i="22" s="1"/>
  <c r="F60" i="22"/>
  <c r="E60" i="22"/>
  <c r="D60" i="22"/>
  <c r="E59" i="22"/>
  <c r="D59" i="22"/>
  <c r="F59" i="22" s="1"/>
  <c r="F58" i="22"/>
  <c r="E58" i="22"/>
  <c r="D58" i="22"/>
  <c r="E57" i="22"/>
  <c r="D57" i="22"/>
  <c r="F57" i="22" s="1"/>
  <c r="E56" i="22"/>
  <c r="F56" i="22" s="1"/>
  <c r="D56" i="22"/>
  <c r="E55" i="22"/>
  <c r="D55" i="22"/>
  <c r="F55" i="22" s="1"/>
  <c r="F54" i="22"/>
  <c r="E54" i="22"/>
  <c r="D54" i="22"/>
  <c r="E53" i="22"/>
  <c r="D53" i="22"/>
  <c r="F53" i="22" s="1"/>
  <c r="F52" i="22"/>
  <c r="E52" i="22"/>
  <c r="D52" i="22"/>
  <c r="F51" i="22"/>
  <c r="E51" i="22"/>
  <c r="D51" i="22"/>
  <c r="F50" i="22"/>
  <c r="E50" i="22"/>
  <c r="D50" i="22"/>
  <c r="E49" i="22"/>
  <c r="D49" i="22"/>
  <c r="F49" i="22" s="1"/>
  <c r="E48" i="22"/>
  <c r="F48" i="22" s="1"/>
  <c r="D48" i="22"/>
  <c r="F47" i="22"/>
  <c r="E47" i="22"/>
  <c r="D47" i="22"/>
  <c r="F46" i="22"/>
  <c r="E46" i="22"/>
  <c r="D46" i="22"/>
  <c r="E45" i="22"/>
  <c r="D45" i="22"/>
  <c r="F45" i="22" s="1"/>
  <c r="E44" i="22"/>
  <c r="F44" i="22" s="1"/>
  <c r="D44" i="22"/>
  <c r="E43" i="22"/>
  <c r="D43" i="22"/>
  <c r="F43" i="22" s="1"/>
  <c r="F42" i="22"/>
  <c r="E42" i="22"/>
  <c r="D42" i="22"/>
  <c r="E41" i="22"/>
  <c r="D41" i="22"/>
  <c r="F41" i="22" s="1"/>
  <c r="E40" i="22"/>
  <c r="D40" i="22"/>
  <c r="F39" i="22"/>
  <c r="E39" i="22"/>
  <c r="D39" i="22"/>
  <c r="F38" i="22"/>
  <c r="E38" i="22"/>
  <c r="D38" i="22"/>
  <c r="E37" i="22"/>
  <c r="D37" i="22"/>
  <c r="F37" i="22" s="1"/>
  <c r="E36" i="22"/>
  <c r="D36" i="22"/>
  <c r="F36" i="22" s="1"/>
  <c r="F35" i="22"/>
  <c r="E35" i="22"/>
  <c r="D35" i="22"/>
  <c r="F34" i="22"/>
  <c r="E34" i="22"/>
  <c r="D34" i="22"/>
  <c r="E33" i="22"/>
  <c r="D33" i="22"/>
  <c r="F33" i="22" s="1"/>
  <c r="F32" i="22"/>
  <c r="E32" i="22"/>
  <c r="D32" i="22"/>
  <c r="F31" i="22"/>
  <c r="E31" i="22"/>
  <c r="D31" i="22"/>
  <c r="F30" i="22"/>
  <c r="E30" i="22"/>
  <c r="D30" i="22"/>
  <c r="E29" i="22"/>
  <c r="D29" i="22"/>
  <c r="F29" i="22" s="1"/>
  <c r="E28" i="22"/>
  <c r="D28" i="22"/>
  <c r="E27" i="22"/>
  <c r="D27" i="22"/>
  <c r="F27" i="22" s="1"/>
  <c r="F26" i="22"/>
  <c r="E26" i="22"/>
  <c r="D26" i="22"/>
  <c r="E25" i="22"/>
  <c r="D25" i="22"/>
  <c r="F25" i="22" s="1"/>
  <c r="E24" i="22"/>
  <c r="D24" i="22"/>
  <c r="F24" i="22" s="1"/>
  <c r="E23" i="22"/>
  <c r="D23" i="22"/>
  <c r="F23" i="22" s="1"/>
  <c r="F22" i="22"/>
  <c r="E22" i="22"/>
  <c r="D22" i="22"/>
  <c r="E21" i="22"/>
  <c r="D21" i="22"/>
  <c r="F21" i="22" s="1"/>
  <c r="E20" i="22"/>
  <c r="F20" i="22" s="1"/>
  <c r="D20" i="22"/>
  <c r="E19" i="22"/>
  <c r="D19" i="22"/>
  <c r="F19" i="22" s="1"/>
  <c r="F18" i="22"/>
  <c r="E18" i="22"/>
  <c r="D18" i="22"/>
  <c r="E17" i="22"/>
  <c r="D17" i="22"/>
  <c r="F17" i="22" s="1"/>
  <c r="E16" i="22"/>
  <c r="D16" i="22"/>
  <c r="F16" i="22" s="1"/>
  <c r="E15" i="22"/>
  <c r="D15" i="22"/>
  <c r="F15" i="22" s="1"/>
  <c r="F14" i="22"/>
  <c r="E14" i="22"/>
  <c r="D14" i="22"/>
  <c r="E13" i="22"/>
  <c r="D13" i="22"/>
  <c r="F13" i="22" s="1"/>
  <c r="F12" i="22"/>
  <c r="E12" i="22"/>
  <c r="D12" i="22"/>
  <c r="F11" i="22"/>
  <c r="E11" i="22"/>
  <c r="D11" i="22"/>
  <c r="F10" i="22"/>
  <c r="E10" i="22"/>
  <c r="D10" i="22"/>
  <c r="E9" i="22"/>
  <c r="D9" i="22"/>
  <c r="F9" i="22" s="1"/>
  <c r="E8" i="22"/>
  <c r="D8" i="22"/>
  <c r="E7" i="22"/>
  <c r="D7" i="22"/>
  <c r="F7" i="22" s="1"/>
  <c r="F6" i="22"/>
  <c r="E6" i="22"/>
  <c r="D6" i="22"/>
  <c r="E5" i="22"/>
  <c r="D5" i="22"/>
  <c r="F5" i="22" s="1"/>
  <c r="E4" i="22"/>
  <c r="D4" i="22"/>
  <c r="F4" i="22" s="1"/>
  <c r="F3" i="22"/>
  <c r="E3" i="22"/>
  <c r="D3" i="22"/>
  <c r="F2" i="22"/>
  <c r="E2" i="22"/>
  <c r="D2" i="22"/>
  <c r="I76" i="21"/>
  <c r="H76" i="21"/>
  <c r="G76" i="21"/>
  <c r="B76" i="21"/>
  <c r="F74" i="21"/>
  <c r="E74" i="21"/>
  <c r="D74" i="21"/>
  <c r="F73" i="21"/>
  <c r="E73" i="21"/>
  <c r="D73" i="21"/>
  <c r="E72" i="21"/>
  <c r="D72" i="21"/>
  <c r="F72" i="21" s="1"/>
  <c r="F71" i="21"/>
  <c r="E71" i="21"/>
  <c r="D71" i="21"/>
  <c r="F70" i="21"/>
  <c r="E70" i="21"/>
  <c r="D70" i="21"/>
  <c r="F69" i="21"/>
  <c r="E69" i="21"/>
  <c r="D69" i="21"/>
  <c r="E68" i="21"/>
  <c r="D68" i="21"/>
  <c r="F68" i="21" s="1"/>
  <c r="E67" i="21"/>
  <c r="D67" i="21"/>
  <c r="E66" i="21"/>
  <c r="D66" i="21"/>
  <c r="F66" i="21" s="1"/>
  <c r="F65" i="21"/>
  <c r="E65" i="21"/>
  <c r="D65" i="21"/>
  <c r="E64" i="21"/>
  <c r="D64" i="21"/>
  <c r="F64" i="21" s="1"/>
  <c r="F63" i="21"/>
  <c r="E63" i="21"/>
  <c r="D63" i="21"/>
  <c r="F62" i="21"/>
  <c r="E62" i="21"/>
  <c r="D62" i="21"/>
  <c r="F61" i="21"/>
  <c r="E61" i="21"/>
  <c r="D61" i="21"/>
  <c r="E60" i="21"/>
  <c r="D60" i="21"/>
  <c r="F60" i="21" s="1"/>
  <c r="E59" i="21"/>
  <c r="F59" i="21" s="1"/>
  <c r="D59" i="21"/>
  <c r="F58" i="21"/>
  <c r="E58" i="21"/>
  <c r="D58" i="21"/>
  <c r="F57" i="21"/>
  <c r="E57" i="21"/>
  <c r="D57" i="21"/>
  <c r="E56" i="21"/>
  <c r="D56" i="21"/>
  <c r="F56" i="21" s="1"/>
  <c r="E55" i="21"/>
  <c r="F55" i="21" s="1"/>
  <c r="D55" i="21"/>
  <c r="E54" i="21"/>
  <c r="D54" i="21"/>
  <c r="F54" i="21" s="1"/>
  <c r="F53" i="21"/>
  <c r="E53" i="21"/>
  <c r="D53" i="21"/>
  <c r="E52" i="21"/>
  <c r="D52" i="21"/>
  <c r="F52" i="21" s="1"/>
  <c r="F51" i="21"/>
  <c r="E51" i="21"/>
  <c r="D51" i="21"/>
  <c r="F50" i="21"/>
  <c r="E50" i="21"/>
  <c r="D50" i="21"/>
  <c r="F49" i="21"/>
  <c r="E49" i="21"/>
  <c r="D49" i="21"/>
  <c r="E48" i="21"/>
  <c r="D48" i="21"/>
  <c r="F48" i="21" s="1"/>
  <c r="E47" i="21"/>
  <c r="F47" i="21" s="1"/>
  <c r="D47" i="21"/>
  <c r="F46" i="21"/>
  <c r="E46" i="21"/>
  <c r="D46" i="21"/>
  <c r="F45" i="21"/>
  <c r="E45" i="21"/>
  <c r="D45" i="21"/>
  <c r="E44" i="21"/>
  <c r="D44" i="21"/>
  <c r="F44" i="21" s="1"/>
  <c r="E43" i="21"/>
  <c r="F43" i="21" s="1"/>
  <c r="D43" i="21"/>
  <c r="F42" i="21"/>
  <c r="E42" i="21"/>
  <c r="D42" i="21"/>
  <c r="F41" i="21"/>
  <c r="E41" i="21"/>
  <c r="D41" i="21"/>
  <c r="E40" i="21"/>
  <c r="D40" i="21"/>
  <c r="F40" i="21" s="1"/>
  <c r="E39" i="21"/>
  <c r="D39" i="21"/>
  <c r="F39" i="21" s="1"/>
  <c r="F38" i="21"/>
  <c r="E38" i="21"/>
  <c r="D38" i="21"/>
  <c r="E37" i="21"/>
  <c r="F37" i="21" s="1"/>
  <c r="D37" i="21"/>
  <c r="E36" i="21"/>
  <c r="D36" i="21"/>
  <c r="F36" i="21" s="1"/>
  <c r="F35" i="21"/>
  <c r="E35" i="21"/>
  <c r="D35" i="21"/>
  <c r="E34" i="21"/>
  <c r="D34" i="21"/>
  <c r="F34" i="21" s="1"/>
  <c r="E33" i="21"/>
  <c r="F33" i="21" s="1"/>
  <c r="D33" i="21"/>
  <c r="E32" i="21"/>
  <c r="D32" i="21"/>
  <c r="F32" i="21" s="1"/>
  <c r="E31" i="21"/>
  <c r="F31" i="21" s="1"/>
  <c r="D31" i="21"/>
  <c r="E30" i="21"/>
  <c r="D30" i="21"/>
  <c r="F30" i="21" s="1"/>
  <c r="E29" i="21"/>
  <c r="F29" i="21" s="1"/>
  <c r="D29" i="21"/>
  <c r="E28" i="21"/>
  <c r="D28" i="21"/>
  <c r="F28" i="21" s="1"/>
  <c r="F27" i="21"/>
  <c r="E27" i="21"/>
  <c r="D27" i="21"/>
  <c r="F26" i="21"/>
  <c r="E26" i="21"/>
  <c r="D26" i="21"/>
  <c r="F25" i="21"/>
  <c r="E25" i="21"/>
  <c r="D25" i="21"/>
  <c r="E24" i="21"/>
  <c r="D24" i="21"/>
  <c r="F24" i="21" s="1"/>
  <c r="E23" i="21"/>
  <c r="F23" i="21" s="1"/>
  <c r="D23" i="21"/>
  <c r="F22" i="21"/>
  <c r="E22" i="21"/>
  <c r="D22" i="21"/>
  <c r="E21" i="21"/>
  <c r="F21" i="21" s="1"/>
  <c r="D21" i="21"/>
  <c r="E20" i="21"/>
  <c r="D20" i="21"/>
  <c r="F20" i="21" s="1"/>
  <c r="E19" i="21"/>
  <c r="F19" i="21" s="1"/>
  <c r="D19" i="21"/>
  <c r="E18" i="21"/>
  <c r="D18" i="21"/>
  <c r="F18" i="21" s="1"/>
  <c r="E17" i="21"/>
  <c r="F17" i="21" s="1"/>
  <c r="D17" i="21"/>
  <c r="E16" i="21"/>
  <c r="D16" i="21"/>
  <c r="F16" i="21" s="1"/>
  <c r="E15" i="21"/>
  <c r="D15" i="21"/>
  <c r="F15" i="21" s="1"/>
  <c r="E14" i="21"/>
  <c r="D14" i="21"/>
  <c r="F14" i="21" s="1"/>
  <c r="F13" i="21"/>
  <c r="E13" i="21"/>
  <c r="D13" i="21"/>
  <c r="E12" i="21"/>
  <c r="D12" i="21"/>
  <c r="F12" i="21" s="1"/>
  <c r="E11" i="21"/>
  <c r="F11" i="21" s="1"/>
  <c r="D11" i="21"/>
  <c r="F10" i="21"/>
  <c r="E10" i="21"/>
  <c r="D10" i="21"/>
  <c r="F9" i="21"/>
  <c r="E9" i="21"/>
  <c r="D9" i="21"/>
  <c r="E8" i="21"/>
  <c r="D8" i="21"/>
  <c r="F8" i="21" s="1"/>
  <c r="E7" i="21"/>
  <c r="D7" i="21"/>
  <c r="F6" i="21"/>
  <c r="E6" i="21"/>
  <c r="D6" i="21"/>
  <c r="E5" i="21"/>
  <c r="F5" i="21" s="1"/>
  <c r="D5" i="21"/>
  <c r="E4" i="21"/>
  <c r="D4" i="21"/>
  <c r="F4" i="21" s="1"/>
  <c r="F3" i="21"/>
  <c r="E3" i="21"/>
  <c r="D3" i="21"/>
  <c r="E2" i="21"/>
  <c r="D2" i="21"/>
  <c r="I76" i="20"/>
  <c r="H76" i="20"/>
  <c r="G76" i="20"/>
  <c r="B76" i="20"/>
  <c r="E74" i="20"/>
  <c r="D74" i="20"/>
  <c r="F73" i="20"/>
  <c r="E73" i="20"/>
  <c r="D73" i="20"/>
  <c r="E72" i="20"/>
  <c r="F72" i="20" s="1"/>
  <c r="D72" i="20"/>
  <c r="F71" i="20"/>
  <c r="E71" i="20"/>
  <c r="D71" i="20"/>
  <c r="E70" i="20"/>
  <c r="F70" i="20" s="1"/>
  <c r="D70" i="20"/>
  <c r="E69" i="20"/>
  <c r="D69" i="20"/>
  <c r="F69" i="20" s="1"/>
  <c r="E68" i="20"/>
  <c r="F68" i="20" s="1"/>
  <c r="D68" i="20"/>
  <c r="F67" i="20"/>
  <c r="E67" i="20"/>
  <c r="D67" i="20"/>
  <c r="E66" i="20"/>
  <c r="D66" i="20"/>
  <c r="E65" i="20"/>
  <c r="D65" i="20"/>
  <c r="F65" i="20" s="1"/>
  <c r="E64" i="20"/>
  <c r="F64" i="20" s="1"/>
  <c r="D64" i="20"/>
  <c r="E63" i="20"/>
  <c r="D63" i="20"/>
  <c r="F63" i="20" s="1"/>
  <c r="E62" i="20"/>
  <c r="D62" i="20"/>
  <c r="F61" i="20"/>
  <c r="E61" i="20"/>
  <c r="D61" i="20"/>
  <c r="E60" i="20"/>
  <c r="F60" i="20" s="1"/>
  <c r="D60" i="20"/>
  <c r="E59" i="20"/>
  <c r="D59" i="20"/>
  <c r="F59" i="20" s="1"/>
  <c r="E58" i="20"/>
  <c r="F58" i="20" s="1"/>
  <c r="D58" i="20"/>
  <c r="F57" i="20"/>
  <c r="E57" i="20"/>
  <c r="D57" i="20"/>
  <c r="F56" i="20"/>
  <c r="E56" i="20"/>
  <c r="D56" i="20"/>
  <c r="E55" i="20"/>
  <c r="D55" i="20"/>
  <c r="F55" i="20" s="1"/>
  <c r="E54" i="20"/>
  <c r="F54" i="20" s="1"/>
  <c r="D54" i="20"/>
  <c r="E53" i="20"/>
  <c r="D53" i="20"/>
  <c r="F53" i="20" s="1"/>
  <c r="E52" i="20"/>
  <c r="F52" i="20" s="1"/>
  <c r="D52" i="20"/>
  <c r="E51" i="20"/>
  <c r="D51" i="20"/>
  <c r="F51" i="20" s="1"/>
  <c r="E50" i="20"/>
  <c r="F50" i="20" s="1"/>
  <c r="D50" i="20"/>
  <c r="E49" i="20"/>
  <c r="D49" i="20"/>
  <c r="F49" i="20" s="1"/>
  <c r="F48" i="20"/>
  <c r="E48" i="20"/>
  <c r="D48" i="20"/>
  <c r="F47" i="20"/>
  <c r="E47" i="20"/>
  <c r="D47" i="20"/>
  <c r="E46" i="20"/>
  <c r="D46" i="20"/>
  <c r="F45" i="20"/>
  <c r="E45" i="20"/>
  <c r="D45" i="20"/>
  <c r="F44" i="20"/>
  <c r="E44" i="20"/>
  <c r="D44" i="20"/>
  <c r="F43" i="20"/>
  <c r="E43" i="20"/>
  <c r="D43" i="20"/>
  <c r="E42" i="20"/>
  <c r="D42" i="20"/>
  <c r="E41" i="20"/>
  <c r="D41" i="20"/>
  <c r="F41" i="20" s="1"/>
  <c r="E40" i="20"/>
  <c r="F40" i="20" s="1"/>
  <c r="D40" i="20"/>
  <c r="E39" i="20"/>
  <c r="D39" i="20"/>
  <c r="F39" i="20" s="1"/>
  <c r="E38" i="20"/>
  <c r="D38" i="20"/>
  <c r="E37" i="20"/>
  <c r="D37" i="20"/>
  <c r="F37" i="20" s="1"/>
  <c r="F36" i="20"/>
  <c r="E36" i="20"/>
  <c r="D36" i="20"/>
  <c r="E35" i="20"/>
  <c r="D35" i="20"/>
  <c r="F35" i="20" s="1"/>
  <c r="E34" i="20"/>
  <c r="D34" i="20"/>
  <c r="F33" i="20"/>
  <c r="E33" i="20"/>
  <c r="D33" i="20"/>
  <c r="F32" i="20"/>
  <c r="E32" i="20"/>
  <c r="D32" i="20"/>
  <c r="F31" i="20"/>
  <c r="E31" i="20"/>
  <c r="D31" i="20"/>
  <c r="E30" i="20"/>
  <c r="F30" i="20" s="1"/>
  <c r="D30" i="20"/>
  <c r="F29" i="20"/>
  <c r="E29" i="20"/>
  <c r="D29" i="20"/>
  <c r="E28" i="20"/>
  <c r="F28" i="20" s="1"/>
  <c r="D28" i="20"/>
  <c r="E27" i="20"/>
  <c r="D27" i="20"/>
  <c r="F27" i="20" s="1"/>
  <c r="E26" i="20"/>
  <c r="D26" i="20"/>
  <c r="F25" i="20"/>
  <c r="E25" i="20"/>
  <c r="D25" i="20"/>
  <c r="F24" i="20"/>
  <c r="E24" i="20"/>
  <c r="D24" i="20"/>
  <c r="F23" i="20"/>
  <c r="E23" i="20"/>
  <c r="D23" i="20"/>
  <c r="E22" i="20"/>
  <c r="F22" i="20" s="1"/>
  <c r="D22" i="20"/>
  <c r="E21" i="20"/>
  <c r="F21" i="20" s="1"/>
  <c r="D21" i="20"/>
  <c r="E20" i="20"/>
  <c r="F20" i="20" s="1"/>
  <c r="D20" i="20"/>
  <c r="F19" i="20"/>
  <c r="E19" i="20"/>
  <c r="D19" i="20"/>
  <c r="E18" i="20"/>
  <c r="D18" i="20"/>
  <c r="E17" i="20"/>
  <c r="F17" i="20" s="1"/>
  <c r="D17" i="20"/>
  <c r="F16" i="20"/>
  <c r="E16" i="20"/>
  <c r="D16" i="20"/>
  <c r="F15" i="20"/>
  <c r="E15" i="20"/>
  <c r="D15" i="20"/>
  <c r="E14" i="20"/>
  <c r="D14" i="20"/>
  <c r="E13" i="20"/>
  <c r="D13" i="20"/>
  <c r="F13" i="20" s="1"/>
  <c r="F12" i="20"/>
  <c r="E12" i="20"/>
  <c r="D12" i="20"/>
  <c r="F11" i="20"/>
  <c r="E11" i="20"/>
  <c r="D11" i="20"/>
  <c r="E10" i="20"/>
  <c r="F10" i="20" s="1"/>
  <c r="D10" i="20"/>
  <c r="F9" i="20"/>
  <c r="E9" i="20"/>
  <c r="D9" i="20"/>
  <c r="E8" i="20"/>
  <c r="F8" i="20" s="1"/>
  <c r="D8" i="20"/>
  <c r="E7" i="20"/>
  <c r="D7" i="20"/>
  <c r="F7" i="20" s="1"/>
  <c r="E6" i="20"/>
  <c r="F6" i="20" s="1"/>
  <c r="D6" i="20"/>
  <c r="E5" i="20"/>
  <c r="D5" i="20"/>
  <c r="E4" i="20"/>
  <c r="F4" i="20" s="1"/>
  <c r="D4" i="20"/>
  <c r="E3" i="20"/>
  <c r="D3" i="20"/>
  <c r="F3" i="20" s="1"/>
  <c r="E2" i="20"/>
  <c r="D2" i="20"/>
  <c r="I76" i="19"/>
  <c r="H76" i="19"/>
  <c r="G76" i="19"/>
  <c r="B76" i="19"/>
  <c r="E74" i="19"/>
  <c r="D74" i="19"/>
  <c r="F74" i="19" s="1"/>
  <c r="E73" i="19"/>
  <c r="F73" i="19" s="1"/>
  <c r="D73" i="19"/>
  <c r="E72" i="19"/>
  <c r="F72" i="19" s="1"/>
  <c r="D72" i="19"/>
  <c r="F71" i="19"/>
  <c r="E71" i="19"/>
  <c r="D71" i="19"/>
  <c r="E70" i="19"/>
  <c r="D70" i="19"/>
  <c r="F70" i="19" s="1"/>
  <c r="E69" i="19"/>
  <c r="D69" i="19"/>
  <c r="F68" i="19"/>
  <c r="E68" i="19"/>
  <c r="D68" i="19"/>
  <c r="E67" i="19"/>
  <c r="F67" i="19" s="1"/>
  <c r="D67" i="19"/>
  <c r="E66" i="19"/>
  <c r="D66" i="19"/>
  <c r="F66" i="19" s="1"/>
  <c r="E65" i="19"/>
  <c r="F65" i="19" s="1"/>
  <c r="D65" i="19"/>
  <c r="E64" i="19"/>
  <c r="D64" i="19"/>
  <c r="F63" i="19"/>
  <c r="E63" i="19"/>
  <c r="D63" i="19"/>
  <c r="F62" i="19"/>
  <c r="E62" i="19"/>
  <c r="D62" i="19"/>
  <c r="D61" i="19"/>
  <c r="F61" i="19" s="1"/>
  <c r="E60" i="19"/>
  <c r="D60" i="19"/>
  <c r="F60" i="19" s="1"/>
  <c r="E59" i="19"/>
  <c r="F59" i="19" s="1"/>
  <c r="D59" i="19"/>
  <c r="E58" i="19"/>
  <c r="F58" i="19" s="1"/>
  <c r="D58" i="19"/>
  <c r="D57" i="19"/>
  <c r="F57" i="19" s="1"/>
  <c r="E56" i="19"/>
  <c r="D56" i="19"/>
  <c r="F55" i="19"/>
  <c r="E55" i="19"/>
  <c r="D55" i="19"/>
  <c r="E54" i="19"/>
  <c r="D54" i="19"/>
  <c r="F54" i="19" s="1"/>
  <c r="E53" i="19"/>
  <c r="F53" i="19" s="1"/>
  <c r="D53" i="19"/>
  <c r="F52" i="19"/>
  <c r="E52" i="19"/>
  <c r="D52" i="19"/>
  <c r="D51" i="19"/>
  <c r="F51" i="19" s="1"/>
  <c r="F50" i="19"/>
  <c r="E50" i="19"/>
  <c r="D50" i="19"/>
  <c r="E49" i="19"/>
  <c r="D49" i="19"/>
  <c r="F49" i="19" s="1"/>
  <c r="E48" i="19"/>
  <c r="F48" i="19" s="1"/>
  <c r="D48" i="19"/>
  <c r="F47" i="19"/>
  <c r="E47" i="19"/>
  <c r="D47" i="19"/>
  <c r="E46" i="19"/>
  <c r="F46" i="19" s="1"/>
  <c r="D46" i="19"/>
  <c r="E45" i="19"/>
  <c r="D45" i="19"/>
  <c r="F45" i="19" s="1"/>
  <c r="D44" i="19"/>
  <c r="F44" i="19" s="1"/>
  <c r="E43" i="19"/>
  <c r="D43" i="19"/>
  <c r="F42" i="19"/>
  <c r="E42" i="19"/>
  <c r="D42" i="19"/>
  <c r="E41" i="19"/>
  <c r="F41" i="19" s="1"/>
  <c r="D41" i="19"/>
  <c r="E40" i="19"/>
  <c r="F40" i="19" s="1"/>
  <c r="D40" i="19"/>
  <c r="F39" i="19"/>
  <c r="D39" i="19"/>
  <c r="E38" i="19"/>
  <c r="D38" i="19"/>
  <c r="E37" i="19"/>
  <c r="D37" i="19"/>
  <c r="F37" i="19" s="1"/>
  <c r="E36" i="19"/>
  <c r="D36" i="19"/>
  <c r="F35" i="19"/>
  <c r="E35" i="19"/>
  <c r="D35" i="19"/>
  <c r="E34" i="19"/>
  <c r="F34" i="19" s="1"/>
  <c r="D34" i="19"/>
  <c r="F33" i="19"/>
  <c r="D33" i="19"/>
  <c r="E32" i="19"/>
  <c r="D32" i="19"/>
  <c r="F32" i="19" s="1"/>
  <c r="F31" i="19"/>
  <c r="E31" i="19"/>
  <c r="D31" i="19"/>
  <c r="F30" i="19"/>
  <c r="E30" i="19"/>
  <c r="D30" i="19"/>
  <c r="E29" i="19"/>
  <c r="F29" i="19" s="1"/>
  <c r="D29" i="19"/>
  <c r="E28" i="19"/>
  <c r="D28" i="19"/>
  <c r="F28" i="19" s="1"/>
  <c r="D27" i="19"/>
  <c r="F27" i="19" s="1"/>
  <c r="E26" i="19"/>
  <c r="F26" i="19" s="1"/>
  <c r="D26" i="19"/>
  <c r="E25" i="19"/>
  <c r="F25" i="19" s="1"/>
  <c r="D25" i="19"/>
  <c r="E24" i="19"/>
  <c r="F24" i="19" s="1"/>
  <c r="D24" i="19"/>
  <c r="E23" i="19"/>
  <c r="D23" i="19"/>
  <c r="E22" i="19"/>
  <c r="D22" i="19"/>
  <c r="F22" i="19" s="1"/>
  <c r="E21" i="19"/>
  <c r="F21" i="19" s="1"/>
  <c r="D21" i="19"/>
  <c r="E20" i="19"/>
  <c r="F20" i="19" s="1"/>
  <c r="D20" i="19"/>
  <c r="E19" i="19"/>
  <c r="F19" i="19" s="1"/>
  <c r="D19" i="19"/>
  <c r="F18" i="19"/>
  <c r="E18" i="19"/>
  <c r="D18" i="19"/>
  <c r="F17" i="19"/>
  <c r="E17" i="19"/>
  <c r="D17" i="19"/>
  <c r="E16" i="19"/>
  <c r="F16" i="19" s="1"/>
  <c r="D16" i="19"/>
  <c r="E15" i="19"/>
  <c r="F15" i="19" s="1"/>
  <c r="D15" i="19"/>
  <c r="E14" i="19"/>
  <c r="D14" i="19"/>
  <c r="E13" i="19"/>
  <c r="F13" i="19" s="1"/>
  <c r="D13" i="19"/>
  <c r="E12" i="19"/>
  <c r="F12" i="19" s="1"/>
  <c r="D12" i="19"/>
  <c r="F11" i="19"/>
  <c r="E11" i="19"/>
  <c r="D11" i="19"/>
  <c r="E10" i="19"/>
  <c r="F10" i="19" s="1"/>
  <c r="D10" i="19"/>
  <c r="E9" i="19"/>
  <c r="D9" i="19"/>
  <c r="F9" i="19" s="1"/>
  <c r="E8" i="19"/>
  <c r="F8" i="19" s="1"/>
  <c r="D8" i="19"/>
  <c r="E7" i="19"/>
  <c r="F7" i="19" s="1"/>
  <c r="D7" i="19"/>
  <c r="E6" i="19"/>
  <c r="D6" i="19"/>
  <c r="E5" i="19"/>
  <c r="F5" i="19" s="1"/>
  <c r="D5" i="19"/>
  <c r="E4" i="19"/>
  <c r="F4" i="19" s="1"/>
  <c r="D4" i="19"/>
  <c r="E3" i="19"/>
  <c r="F3" i="19" s="1"/>
  <c r="D3" i="19"/>
  <c r="F2" i="19"/>
  <c r="E2" i="19"/>
  <c r="D2" i="19"/>
  <c r="I76" i="18"/>
  <c r="H76" i="18"/>
  <c r="G76" i="18"/>
  <c r="B76" i="18"/>
  <c r="E74" i="18"/>
  <c r="D74" i="18"/>
  <c r="E73" i="18"/>
  <c r="F73" i="18" s="1"/>
  <c r="D73" i="18"/>
  <c r="F72" i="18"/>
  <c r="E72" i="18"/>
  <c r="D72" i="18"/>
  <c r="E71" i="18"/>
  <c r="F71" i="18" s="1"/>
  <c r="D71" i="18"/>
  <c r="E70" i="18"/>
  <c r="D70" i="18"/>
  <c r="F70" i="18" s="1"/>
  <c r="E69" i="18"/>
  <c r="F69" i="18" s="1"/>
  <c r="D69" i="18"/>
  <c r="E68" i="18"/>
  <c r="F68" i="18" s="1"/>
  <c r="D68" i="18"/>
  <c r="E67" i="18"/>
  <c r="F67" i="18" s="1"/>
  <c r="D67" i="18"/>
  <c r="E66" i="18"/>
  <c r="F66" i="18" s="1"/>
  <c r="D66" i="18"/>
  <c r="E65" i="18"/>
  <c r="D65" i="18"/>
  <c r="E64" i="18"/>
  <c r="F64" i="18" s="1"/>
  <c r="D64" i="18"/>
  <c r="E63" i="18"/>
  <c r="F63" i="18" s="1"/>
  <c r="D63" i="18"/>
  <c r="F62" i="18"/>
  <c r="E62" i="18"/>
  <c r="D62" i="18"/>
  <c r="E61" i="18"/>
  <c r="F61" i="18" s="1"/>
  <c r="D61" i="18"/>
  <c r="E60" i="18"/>
  <c r="F60" i="18" s="1"/>
  <c r="D60" i="18"/>
  <c r="E59" i="18"/>
  <c r="F59" i="18" s="1"/>
  <c r="D59" i="18"/>
  <c r="F58" i="18"/>
  <c r="E58" i="18"/>
  <c r="D58" i="18"/>
  <c r="E57" i="18"/>
  <c r="D57" i="18"/>
  <c r="F57" i="18" s="1"/>
  <c r="E56" i="18"/>
  <c r="F56" i="18" s="1"/>
  <c r="D56" i="18"/>
  <c r="E55" i="18"/>
  <c r="F55" i="18" s="1"/>
  <c r="D55" i="18"/>
  <c r="E54" i="18"/>
  <c r="F54" i="18" s="1"/>
  <c r="D54" i="18"/>
  <c r="E53" i="18"/>
  <c r="F53" i="18" s="1"/>
  <c r="D53" i="18"/>
  <c r="E52" i="18"/>
  <c r="D52" i="18"/>
  <c r="E51" i="18"/>
  <c r="F51" i="18" s="1"/>
  <c r="D51" i="18"/>
  <c r="F50" i="18"/>
  <c r="E50" i="18"/>
  <c r="D50" i="18"/>
  <c r="E49" i="18"/>
  <c r="D49" i="18"/>
  <c r="F49" i="18" s="1"/>
  <c r="E48" i="18"/>
  <c r="F48" i="18" s="1"/>
  <c r="D48" i="18"/>
  <c r="E47" i="18"/>
  <c r="F47" i="18" s="1"/>
  <c r="D47" i="18"/>
  <c r="E46" i="18"/>
  <c r="D46" i="18"/>
  <c r="E45" i="18"/>
  <c r="F45" i="18" s="1"/>
  <c r="D45" i="18"/>
  <c r="E44" i="18"/>
  <c r="D44" i="18"/>
  <c r="F44" i="18" s="1"/>
  <c r="E43" i="18"/>
  <c r="F43" i="18" s="1"/>
  <c r="D43" i="18"/>
  <c r="E42" i="18"/>
  <c r="F42" i="18" s="1"/>
  <c r="D42" i="18"/>
  <c r="E41" i="18"/>
  <c r="F41" i="18" s="1"/>
  <c r="D41" i="18"/>
  <c r="E40" i="18"/>
  <c r="F40" i="18" s="1"/>
  <c r="D40" i="18"/>
  <c r="E39" i="18"/>
  <c r="F39" i="18" s="1"/>
  <c r="D39" i="18"/>
  <c r="E38" i="18"/>
  <c r="F38" i="18" s="1"/>
  <c r="D38" i="18"/>
  <c r="E37" i="18"/>
  <c r="F37" i="18" s="1"/>
  <c r="D37" i="18"/>
  <c r="E36" i="18"/>
  <c r="D36" i="18"/>
  <c r="F36" i="18" s="1"/>
  <c r="E35" i="18"/>
  <c r="F35" i="18" s="1"/>
  <c r="D35" i="18"/>
  <c r="F34" i="18"/>
  <c r="E34" i="18"/>
  <c r="D34" i="18"/>
  <c r="E33" i="18"/>
  <c r="D33" i="18"/>
  <c r="E32" i="18"/>
  <c r="F32" i="18" s="1"/>
  <c r="D32" i="18"/>
  <c r="E31" i="18"/>
  <c r="F31" i="18" s="1"/>
  <c r="D31" i="18"/>
  <c r="E30" i="18"/>
  <c r="F30" i="18" s="1"/>
  <c r="D30" i="18"/>
  <c r="E29" i="18"/>
  <c r="D29" i="18"/>
  <c r="F29" i="18" s="1"/>
  <c r="E28" i="18"/>
  <c r="D28" i="18"/>
  <c r="F28" i="18" s="1"/>
  <c r="E27" i="18"/>
  <c r="F27" i="18" s="1"/>
  <c r="D27" i="18"/>
  <c r="E26" i="18"/>
  <c r="D26" i="18"/>
  <c r="F25" i="18"/>
  <c r="E25" i="18"/>
  <c r="D25" i="18"/>
  <c r="E24" i="18"/>
  <c r="F24" i="18" s="1"/>
  <c r="D24" i="18"/>
  <c r="E23" i="18"/>
  <c r="F23" i="18" s="1"/>
  <c r="D23" i="18"/>
  <c r="F22" i="18"/>
  <c r="E22" i="18"/>
  <c r="D22" i="18"/>
  <c r="E21" i="18"/>
  <c r="F21" i="18" s="1"/>
  <c r="D21" i="18"/>
  <c r="E20" i="18"/>
  <c r="D20" i="18"/>
  <c r="F20" i="18" s="1"/>
  <c r="E19" i="18"/>
  <c r="F19" i="18" s="1"/>
  <c r="D19" i="18"/>
  <c r="E18" i="18"/>
  <c r="F18" i="18" s="1"/>
  <c r="D18" i="18"/>
  <c r="F17" i="18"/>
  <c r="E17" i="18"/>
  <c r="D17" i="18"/>
  <c r="F16" i="18"/>
  <c r="E16" i="18"/>
  <c r="D16" i="18"/>
  <c r="E15" i="18"/>
  <c r="F15" i="18" s="1"/>
  <c r="D15" i="18"/>
  <c r="F14" i="18"/>
  <c r="E14" i="18"/>
  <c r="D14" i="18"/>
  <c r="E13" i="18"/>
  <c r="F13" i="18" s="1"/>
  <c r="D13" i="18"/>
  <c r="E12" i="18"/>
  <c r="F12" i="18" s="1"/>
  <c r="D12" i="18"/>
  <c r="E11" i="18"/>
  <c r="F11" i="18" s="1"/>
  <c r="D11" i="18"/>
  <c r="F10" i="18"/>
  <c r="E10" i="18"/>
  <c r="D10" i="18"/>
  <c r="F9" i="18"/>
  <c r="E9" i="18"/>
  <c r="D9" i="18"/>
  <c r="E8" i="18"/>
  <c r="D8" i="18"/>
  <c r="F8" i="18" s="1"/>
  <c r="E7" i="18"/>
  <c r="F7" i="18" s="1"/>
  <c r="D7" i="18"/>
  <c r="F6" i="18"/>
  <c r="E6" i="18"/>
  <c r="D6" i="18"/>
  <c r="E5" i="18"/>
  <c r="F5" i="18" s="1"/>
  <c r="D5" i="18"/>
  <c r="E4" i="18"/>
  <c r="F4" i="18" s="1"/>
  <c r="D4" i="18"/>
  <c r="E3" i="18"/>
  <c r="F3" i="18" s="1"/>
  <c r="D3" i="18"/>
  <c r="E2" i="18"/>
  <c r="D2" i="18"/>
  <c r="I76" i="17"/>
  <c r="H76" i="17"/>
  <c r="G76" i="17"/>
  <c r="B76" i="17"/>
  <c r="E74" i="17"/>
  <c r="F74" i="17" s="1"/>
  <c r="D74" i="17"/>
  <c r="E73" i="17"/>
  <c r="D73" i="17"/>
  <c r="E72" i="17"/>
  <c r="F72" i="17" s="1"/>
  <c r="D72" i="17"/>
  <c r="F71" i="17"/>
  <c r="E71" i="17"/>
  <c r="D71" i="17"/>
  <c r="E70" i="17"/>
  <c r="F70" i="17" s="1"/>
  <c r="D70" i="17"/>
  <c r="E69" i="17"/>
  <c r="D69" i="17"/>
  <c r="F69" i="17" s="1"/>
  <c r="F68" i="17"/>
  <c r="E68" i="17"/>
  <c r="D68" i="17"/>
  <c r="E67" i="17"/>
  <c r="F67" i="17" s="1"/>
  <c r="D67" i="17"/>
  <c r="E66" i="17"/>
  <c r="F66" i="17" s="1"/>
  <c r="D66" i="17"/>
  <c r="E65" i="17"/>
  <c r="F65" i="17" s="1"/>
  <c r="D65" i="17"/>
  <c r="E64" i="17"/>
  <c r="D64" i="17"/>
  <c r="E63" i="17"/>
  <c r="D63" i="17"/>
  <c r="F63" i="17" s="1"/>
  <c r="E62" i="17"/>
  <c r="F62" i="17" s="1"/>
  <c r="D62" i="17"/>
  <c r="F61" i="17"/>
  <c r="E61" i="17"/>
  <c r="D61" i="17"/>
  <c r="F60" i="17"/>
  <c r="E60" i="17"/>
  <c r="D60" i="17"/>
  <c r="F59" i="17"/>
  <c r="E59" i="17"/>
  <c r="D59" i="17"/>
  <c r="E58" i="17"/>
  <c r="F58" i="17" s="1"/>
  <c r="D58" i="17"/>
  <c r="E57" i="17"/>
  <c r="F57" i="17" s="1"/>
  <c r="D57" i="17"/>
  <c r="E56" i="17"/>
  <c r="F56" i="17" s="1"/>
  <c r="D56" i="17"/>
  <c r="E55" i="17"/>
  <c r="F55" i="17" s="1"/>
  <c r="D55" i="17"/>
  <c r="E54" i="17"/>
  <c r="F54" i="17" s="1"/>
  <c r="D54" i="17"/>
  <c r="E53" i="17"/>
  <c r="D53" i="17"/>
  <c r="F52" i="17"/>
  <c r="E52" i="17"/>
  <c r="D52" i="17"/>
  <c r="F51" i="17"/>
  <c r="E51" i="17"/>
  <c r="D51" i="17"/>
  <c r="E50" i="17"/>
  <c r="F50" i="17" s="1"/>
  <c r="D50" i="17"/>
  <c r="F49" i="17"/>
  <c r="E49" i="17"/>
  <c r="D49" i="17"/>
  <c r="E48" i="17"/>
  <c r="F48" i="17" s="1"/>
  <c r="D48" i="17"/>
  <c r="E47" i="17"/>
  <c r="F47" i="17" s="1"/>
  <c r="D47" i="17"/>
  <c r="E46" i="17"/>
  <c r="F46" i="17" s="1"/>
  <c r="D46" i="17"/>
  <c r="E45" i="17"/>
  <c r="F45" i="17" s="1"/>
  <c r="D45" i="17"/>
  <c r="F44" i="17"/>
  <c r="E44" i="17"/>
  <c r="D44" i="17"/>
  <c r="F43" i="17"/>
  <c r="E43" i="17"/>
  <c r="D43" i="17"/>
  <c r="E42" i="17"/>
  <c r="F42" i="17" s="1"/>
  <c r="D42" i="17"/>
  <c r="F41" i="17"/>
  <c r="E41" i="17"/>
  <c r="D41" i="17"/>
  <c r="E40" i="17"/>
  <c r="D40" i="17"/>
  <c r="E39" i="17"/>
  <c r="D39" i="17"/>
  <c r="E38" i="17"/>
  <c r="F38" i="17" s="1"/>
  <c r="D38" i="17"/>
  <c r="F37" i="17"/>
  <c r="E37" i="17"/>
  <c r="D37" i="17"/>
  <c r="E36" i="17"/>
  <c r="D36" i="17"/>
  <c r="F36" i="17" s="1"/>
  <c r="F35" i="17"/>
  <c r="E35" i="17"/>
  <c r="D35" i="17"/>
  <c r="E34" i="17"/>
  <c r="F34" i="17" s="1"/>
  <c r="D34" i="17"/>
  <c r="E33" i="17"/>
  <c r="F33" i="17" s="1"/>
  <c r="D33" i="17"/>
  <c r="E32" i="17"/>
  <c r="F32" i="17" s="1"/>
  <c r="D32" i="17"/>
  <c r="E31" i="17"/>
  <c r="D31" i="17"/>
  <c r="E30" i="17"/>
  <c r="F30" i="17" s="1"/>
  <c r="D30" i="17"/>
  <c r="E29" i="17"/>
  <c r="F29" i="17" s="1"/>
  <c r="D29" i="17"/>
  <c r="E28" i="17"/>
  <c r="D28" i="17"/>
  <c r="F28" i="17" s="1"/>
  <c r="E27" i="17"/>
  <c r="F27" i="17" s="1"/>
  <c r="D27" i="17"/>
  <c r="E26" i="17"/>
  <c r="F26" i="17" s="1"/>
  <c r="D26" i="17"/>
  <c r="F25" i="17"/>
  <c r="E25" i="17"/>
  <c r="D25" i="17"/>
  <c r="F24" i="17"/>
  <c r="E24" i="17"/>
  <c r="D24" i="17"/>
  <c r="E23" i="17"/>
  <c r="D23" i="17"/>
  <c r="F23" i="17" s="1"/>
  <c r="E22" i="17"/>
  <c r="F22" i="17" s="1"/>
  <c r="D22" i="17"/>
  <c r="E21" i="17"/>
  <c r="F21" i="17" s="1"/>
  <c r="D21" i="17"/>
  <c r="E20" i="17"/>
  <c r="D20" i="17"/>
  <c r="E19" i="17"/>
  <c r="F19" i="17" s="1"/>
  <c r="D19" i="17"/>
  <c r="E18" i="17"/>
  <c r="F18" i="17" s="1"/>
  <c r="D18" i="17"/>
  <c r="E17" i="17"/>
  <c r="D17" i="17"/>
  <c r="E16" i="17"/>
  <c r="F16" i="17" s="1"/>
  <c r="D16" i="17"/>
  <c r="E15" i="17"/>
  <c r="D15" i="17"/>
  <c r="F15" i="17" s="1"/>
  <c r="E14" i="17"/>
  <c r="F14" i="17" s="1"/>
  <c r="D14" i="17"/>
  <c r="F13" i="17"/>
  <c r="E13" i="17"/>
  <c r="D13" i="17"/>
  <c r="F12" i="17"/>
  <c r="E12" i="17"/>
  <c r="D12" i="17"/>
  <c r="F11" i="17"/>
  <c r="E11" i="17"/>
  <c r="D11" i="17"/>
  <c r="E10" i="17"/>
  <c r="F10" i="17" s="1"/>
  <c r="D10" i="17"/>
  <c r="E9" i="17"/>
  <c r="F9" i="17" s="1"/>
  <c r="D9" i="17"/>
  <c r="E8" i="17"/>
  <c r="D8" i="17"/>
  <c r="F7" i="17"/>
  <c r="E7" i="17"/>
  <c r="D7" i="17"/>
  <c r="E6" i="17"/>
  <c r="F6" i="17" s="1"/>
  <c r="D6" i="17"/>
  <c r="E5" i="17"/>
  <c r="D5" i="17"/>
  <c r="F4" i="17"/>
  <c r="E4" i="17"/>
  <c r="D4" i="17"/>
  <c r="E3" i="17"/>
  <c r="F3" i="17" s="1"/>
  <c r="D3" i="17"/>
  <c r="E2" i="17"/>
  <c r="D2" i="17"/>
  <c r="I76" i="16"/>
  <c r="H76" i="16"/>
  <c r="G76" i="16"/>
  <c r="B76" i="16"/>
  <c r="E74" i="16"/>
  <c r="D74" i="16"/>
  <c r="E73" i="16"/>
  <c r="F73" i="16" s="1"/>
  <c r="D73" i="16"/>
  <c r="E72" i="16"/>
  <c r="F72" i="16" s="1"/>
  <c r="D72" i="16"/>
  <c r="F71" i="16"/>
  <c r="E71" i="16"/>
  <c r="D71" i="16"/>
  <c r="F70" i="16"/>
  <c r="E70" i="16"/>
  <c r="D70" i="16"/>
  <c r="E69" i="16"/>
  <c r="F69" i="16" s="1"/>
  <c r="D69" i="16"/>
  <c r="F68" i="16"/>
  <c r="E68" i="16"/>
  <c r="D68" i="16"/>
  <c r="E67" i="16"/>
  <c r="D67" i="16"/>
  <c r="E66" i="16"/>
  <c r="F66" i="16" s="1"/>
  <c r="D66" i="16"/>
  <c r="E65" i="16"/>
  <c r="F65" i="16" s="1"/>
  <c r="D65" i="16"/>
  <c r="E64" i="16"/>
  <c r="F64" i="16" s="1"/>
  <c r="D64" i="16"/>
  <c r="F63" i="16"/>
  <c r="E63" i="16"/>
  <c r="D63" i="16"/>
  <c r="F62" i="16"/>
  <c r="E62" i="16"/>
  <c r="D62" i="16"/>
  <c r="E61" i="16"/>
  <c r="F61" i="16" s="1"/>
  <c r="D61" i="16"/>
  <c r="E60" i="16"/>
  <c r="D60" i="16"/>
  <c r="F60" i="16" s="1"/>
  <c r="E59" i="16"/>
  <c r="F59" i="16" s="1"/>
  <c r="D59" i="16"/>
  <c r="F58" i="16"/>
  <c r="E58" i="16"/>
  <c r="D58" i="16"/>
  <c r="E57" i="16"/>
  <c r="F57" i="16" s="1"/>
  <c r="D57" i="16"/>
  <c r="E56" i="16"/>
  <c r="D56" i="16"/>
  <c r="F56" i="16" s="1"/>
  <c r="E55" i="16"/>
  <c r="D55" i="16"/>
  <c r="F55" i="16" s="1"/>
  <c r="E54" i="16"/>
  <c r="F54" i="16" s="1"/>
  <c r="D54" i="16"/>
  <c r="E53" i="16"/>
  <c r="F53" i="16" s="1"/>
  <c r="D53" i="16"/>
  <c r="E52" i="16"/>
  <c r="F52" i="16" s="1"/>
  <c r="D52" i="16"/>
  <c r="E51" i="16"/>
  <c r="F51" i="16" s="1"/>
  <c r="D51" i="16"/>
  <c r="E50" i="16"/>
  <c r="D50" i="16"/>
  <c r="F50" i="16" s="1"/>
  <c r="E49" i="16"/>
  <c r="F49" i="16" s="1"/>
  <c r="D49" i="16"/>
  <c r="F48" i="16"/>
  <c r="E48" i="16"/>
  <c r="D48" i="16"/>
  <c r="F47" i="16"/>
  <c r="E47" i="16"/>
  <c r="D47" i="16"/>
  <c r="E46" i="16"/>
  <c r="F46" i="16" s="1"/>
  <c r="D46" i="16"/>
  <c r="E45" i="16"/>
  <c r="F45" i="16" s="1"/>
  <c r="D45" i="16"/>
  <c r="E44" i="16"/>
  <c r="F44" i="16" s="1"/>
  <c r="D44" i="16"/>
  <c r="E43" i="16"/>
  <c r="D43" i="16"/>
  <c r="E42" i="16"/>
  <c r="D42" i="16"/>
  <c r="F42" i="16" s="1"/>
  <c r="E41" i="16"/>
  <c r="F41" i="16" s="1"/>
  <c r="D41" i="16"/>
  <c r="E40" i="16"/>
  <c r="D40" i="16"/>
  <c r="F40" i="16" s="1"/>
  <c r="F39" i="16"/>
  <c r="E39" i="16"/>
  <c r="D39" i="16"/>
  <c r="F38" i="16"/>
  <c r="E38" i="16"/>
  <c r="D38" i="16"/>
  <c r="E37" i="16"/>
  <c r="F37" i="16" s="1"/>
  <c r="D37" i="16"/>
  <c r="E36" i="16"/>
  <c r="F36" i="16" s="1"/>
  <c r="D36" i="16"/>
  <c r="E35" i="16"/>
  <c r="F35" i="16" s="1"/>
  <c r="D35" i="16"/>
  <c r="F34" i="16"/>
  <c r="E34" i="16"/>
  <c r="D34" i="16"/>
  <c r="E33" i="16"/>
  <c r="F33" i="16" s="1"/>
  <c r="D33" i="16"/>
  <c r="E32" i="16"/>
  <c r="D32" i="16"/>
  <c r="E31" i="16"/>
  <c r="D31" i="16"/>
  <c r="F31" i="16" s="1"/>
  <c r="F30" i="16"/>
  <c r="E30" i="16"/>
  <c r="D30" i="16"/>
  <c r="E29" i="16"/>
  <c r="F29" i="16" s="1"/>
  <c r="D29" i="16"/>
  <c r="F28" i="16"/>
  <c r="E28" i="16"/>
  <c r="D28" i="16"/>
  <c r="E27" i="16"/>
  <c r="F27" i="16" s="1"/>
  <c r="D27" i="16"/>
  <c r="E26" i="16"/>
  <c r="F26" i="16" s="1"/>
  <c r="D26" i="16"/>
  <c r="E25" i="16"/>
  <c r="F25" i="16" s="1"/>
  <c r="D25" i="16"/>
  <c r="E24" i="16"/>
  <c r="F24" i="16" s="1"/>
  <c r="D24" i="16"/>
  <c r="E23" i="16"/>
  <c r="D23" i="16"/>
  <c r="F23" i="16" s="1"/>
  <c r="E22" i="16"/>
  <c r="D22" i="16"/>
  <c r="F22" i="16" s="1"/>
  <c r="E21" i="16"/>
  <c r="F21" i="16" s="1"/>
  <c r="D21" i="16"/>
  <c r="F20" i="16"/>
  <c r="E20" i="16"/>
  <c r="D20" i="16"/>
  <c r="E19" i="16"/>
  <c r="F19" i="16" s="1"/>
  <c r="D19" i="16"/>
  <c r="E18" i="16"/>
  <c r="F18" i="16" s="1"/>
  <c r="D18" i="16"/>
  <c r="E17" i="16"/>
  <c r="F17" i="16" s="1"/>
  <c r="D17" i="16"/>
  <c r="F16" i="16"/>
  <c r="E16" i="16"/>
  <c r="D16" i="16"/>
  <c r="E15" i="16"/>
  <c r="D15" i="16"/>
  <c r="F15" i="16" s="1"/>
  <c r="E14" i="16"/>
  <c r="D14" i="16"/>
  <c r="F14" i="16" s="1"/>
  <c r="E13" i="16"/>
  <c r="F13" i="16" s="1"/>
  <c r="D13" i="16"/>
  <c r="F12" i="16"/>
  <c r="E12" i="16"/>
  <c r="D12" i="16"/>
  <c r="E11" i="16"/>
  <c r="F11" i="16" s="1"/>
  <c r="D11" i="16"/>
  <c r="E10" i="16"/>
  <c r="D10" i="16"/>
  <c r="D76" i="16" s="1"/>
  <c r="E9" i="16"/>
  <c r="F9" i="16" s="1"/>
  <c r="D9" i="16"/>
  <c r="E8" i="16"/>
  <c r="F8" i="16" s="1"/>
  <c r="D8" i="16"/>
  <c r="E7" i="16"/>
  <c r="D7" i="16"/>
  <c r="F7" i="16" s="1"/>
  <c r="E6" i="16"/>
  <c r="F6" i="16" s="1"/>
  <c r="D6" i="16"/>
  <c r="E5" i="16"/>
  <c r="F5" i="16" s="1"/>
  <c r="D5" i="16"/>
  <c r="E4" i="16"/>
  <c r="D4" i="16"/>
  <c r="F4" i="16" s="1"/>
  <c r="F3" i="16"/>
  <c r="E3" i="16"/>
  <c r="D3" i="16"/>
  <c r="E2" i="16"/>
  <c r="D2" i="16"/>
  <c r="F2" i="16" s="1"/>
  <c r="I76" i="15"/>
  <c r="H76" i="15"/>
  <c r="G76" i="15"/>
  <c r="B76" i="15"/>
  <c r="E74" i="15"/>
  <c r="F74" i="15" s="1"/>
  <c r="D74" i="15"/>
  <c r="E73" i="15"/>
  <c r="D73" i="15"/>
  <c r="F73" i="15" s="1"/>
  <c r="E72" i="15"/>
  <c r="F72" i="15" s="1"/>
  <c r="D72" i="15"/>
  <c r="E71" i="15"/>
  <c r="D71" i="15"/>
  <c r="E70" i="15"/>
  <c r="D70" i="15"/>
  <c r="F70" i="15" s="1"/>
  <c r="E69" i="15"/>
  <c r="F69" i="15" s="1"/>
  <c r="D69" i="15"/>
  <c r="E68" i="15"/>
  <c r="F68" i="15" s="1"/>
  <c r="D68" i="15"/>
  <c r="E67" i="15"/>
  <c r="F67" i="15" s="1"/>
  <c r="D67" i="15"/>
  <c r="E66" i="15"/>
  <c r="F66" i="15" s="1"/>
  <c r="D66" i="15"/>
  <c r="E65" i="15"/>
  <c r="D65" i="15"/>
  <c r="F65" i="15" s="1"/>
  <c r="E64" i="15"/>
  <c r="F64" i="15" s="1"/>
  <c r="D64" i="15"/>
  <c r="F63" i="15"/>
  <c r="E63" i="15"/>
  <c r="D63" i="15"/>
  <c r="F62" i="15"/>
  <c r="E62" i="15"/>
  <c r="D62" i="15"/>
  <c r="F61" i="15"/>
  <c r="E61" i="15"/>
  <c r="D61" i="15"/>
  <c r="E60" i="15"/>
  <c r="F60" i="15" s="1"/>
  <c r="D60" i="15"/>
  <c r="E59" i="15"/>
  <c r="F59" i="15" s="1"/>
  <c r="D59" i="15"/>
  <c r="E58" i="15"/>
  <c r="F58" i="15" s="1"/>
  <c r="D58" i="15"/>
  <c r="E57" i="15"/>
  <c r="F57" i="15" s="1"/>
  <c r="D57" i="15"/>
  <c r="E56" i="15"/>
  <c r="F56" i="15" s="1"/>
  <c r="D56" i="15"/>
  <c r="E55" i="15"/>
  <c r="D55" i="15"/>
  <c r="E54" i="15"/>
  <c r="D54" i="15"/>
  <c r="F54" i="15" s="1"/>
  <c r="F53" i="15"/>
  <c r="E53" i="15"/>
  <c r="D53" i="15"/>
  <c r="E52" i="15"/>
  <c r="F52" i="15" s="1"/>
  <c r="D52" i="15"/>
  <c r="F51" i="15"/>
  <c r="E51" i="15"/>
  <c r="D51" i="15"/>
  <c r="E50" i="15"/>
  <c r="F50" i="15" s="1"/>
  <c r="D50" i="15"/>
  <c r="E49" i="15"/>
  <c r="F49" i="15" s="1"/>
  <c r="D49" i="15"/>
  <c r="E48" i="15"/>
  <c r="F48" i="15" s="1"/>
  <c r="D48" i="15"/>
  <c r="E47" i="15"/>
  <c r="F47" i="15" s="1"/>
  <c r="D47" i="15"/>
  <c r="F46" i="15"/>
  <c r="E46" i="15"/>
  <c r="D46" i="15"/>
  <c r="E45" i="15"/>
  <c r="D45" i="15"/>
  <c r="F45" i="15" s="1"/>
  <c r="E44" i="15"/>
  <c r="F44" i="15" s="1"/>
  <c r="D44" i="15"/>
  <c r="F43" i="15"/>
  <c r="E43" i="15"/>
  <c r="D43" i="15"/>
  <c r="E42" i="15"/>
  <c r="D42" i="15"/>
  <c r="E41" i="15"/>
  <c r="F41" i="15" s="1"/>
  <c r="D41" i="15"/>
  <c r="E40" i="15"/>
  <c r="F40" i="15" s="1"/>
  <c r="D40" i="15"/>
  <c r="E39" i="15"/>
  <c r="F39" i="15" s="1"/>
  <c r="D39" i="15"/>
  <c r="F38" i="15"/>
  <c r="E38" i="15"/>
  <c r="D38" i="15"/>
  <c r="E37" i="15"/>
  <c r="D37" i="15"/>
  <c r="F37" i="15" s="1"/>
  <c r="E36" i="15"/>
  <c r="F36" i="15" s="1"/>
  <c r="D36" i="15"/>
  <c r="E35" i="15"/>
  <c r="F35" i="15" s="1"/>
  <c r="D35" i="15"/>
  <c r="E34" i="15"/>
  <c r="F34" i="15" s="1"/>
  <c r="D34" i="15"/>
  <c r="F33" i="15"/>
  <c r="E33" i="15"/>
  <c r="D33" i="15"/>
  <c r="E32" i="15"/>
  <c r="F32" i="15" s="1"/>
  <c r="D32" i="15"/>
  <c r="E31" i="15"/>
  <c r="D31" i="15"/>
  <c r="F31" i="15" s="1"/>
  <c r="F30" i="15"/>
  <c r="E30" i="15"/>
  <c r="D30" i="15"/>
  <c r="E29" i="15"/>
  <c r="D29" i="15"/>
  <c r="E28" i="15"/>
  <c r="F28" i="15" s="1"/>
  <c r="D28" i="15"/>
  <c r="E27" i="15"/>
  <c r="D27" i="15"/>
  <c r="E26" i="15"/>
  <c r="F26" i="15" s="1"/>
  <c r="D26" i="15"/>
  <c r="E25" i="15"/>
  <c r="D25" i="15"/>
  <c r="F25" i="15" s="1"/>
  <c r="E24" i="15"/>
  <c r="F24" i="15" s="1"/>
  <c r="D24" i="15"/>
  <c r="F23" i="15"/>
  <c r="E23" i="15"/>
  <c r="D23" i="15"/>
  <c r="F22" i="15"/>
  <c r="E22" i="15"/>
  <c r="D22" i="15"/>
  <c r="E21" i="15"/>
  <c r="F21" i="15" s="1"/>
  <c r="D21" i="15"/>
  <c r="E20" i="15"/>
  <c r="F20" i="15" s="1"/>
  <c r="D20" i="15"/>
  <c r="E19" i="15"/>
  <c r="D19" i="15"/>
  <c r="E18" i="15"/>
  <c r="F18" i="15" s="1"/>
  <c r="D18" i="15"/>
  <c r="E17" i="15"/>
  <c r="D17" i="15"/>
  <c r="F17" i="15" s="1"/>
  <c r="E16" i="15"/>
  <c r="F16" i="15" s="1"/>
  <c r="D16" i="15"/>
  <c r="E15" i="15"/>
  <c r="F15" i="15" s="1"/>
  <c r="D15" i="15"/>
  <c r="E14" i="15"/>
  <c r="D14" i="15"/>
  <c r="F14" i="15" s="1"/>
  <c r="F13" i="15"/>
  <c r="E13" i="15"/>
  <c r="D13" i="15"/>
  <c r="E12" i="15"/>
  <c r="F12" i="15" s="1"/>
  <c r="D12" i="15"/>
  <c r="F11" i="15"/>
  <c r="E11" i="15"/>
  <c r="D11" i="15"/>
  <c r="F10" i="15"/>
  <c r="E10" i="15"/>
  <c r="D10" i="15"/>
  <c r="F9" i="15"/>
  <c r="E9" i="15"/>
  <c r="D9" i="15"/>
  <c r="E8" i="15"/>
  <c r="F8" i="15" s="1"/>
  <c r="D8" i="15"/>
  <c r="E7" i="15"/>
  <c r="D7" i="15"/>
  <c r="E6" i="15"/>
  <c r="D6" i="15"/>
  <c r="F6" i="15" s="1"/>
  <c r="E5" i="15"/>
  <c r="D5" i="15"/>
  <c r="F5" i="15" s="1"/>
  <c r="E4" i="15"/>
  <c r="F4" i="15" s="1"/>
  <c r="D4" i="15"/>
  <c r="F3" i="15"/>
  <c r="E3" i="15"/>
  <c r="D3" i="15"/>
  <c r="F2" i="15"/>
  <c r="E2" i="15"/>
  <c r="D2" i="15"/>
  <c r="I76" i="14"/>
  <c r="H76" i="14"/>
  <c r="G76" i="14"/>
  <c r="B76" i="14"/>
  <c r="E74" i="14"/>
  <c r="F74" i="14" s="1"/>
  <c r="D74" i="14"/>
  <c r="E73" i="14"/>
  <c r="D73" i="14"/>
  <c r="F73" i="14" s="1"/>
  <c r="F72" i="14"/>
  <c r="E72" i="14"/>
  <c r="D72" i="14"/>
  <c r="E71" i="14"/>
  <c r="F71" i="14" s="1"/>
  <c r="D71" i="14"/>
  <c r="F70" i="14"/>
  <c r="E70" i="14"/>
  <c r="D70" i="14"/>
  <c r="E69" i="14"/>
  <c r="D69" i="14"/>
  <c r="E68" i="14"/>
  <c r="D68" i="14"/>
  <c r="E67" i="14"/>
  <c r="F67" i="14" s="1"/>
  <c r="D67" i="14"/>
  <c r="F66" i="14"/>
  <c r="E66" i="14"/>
  <c r="D66" i="14"/>
  <c r="E65" i="14"/>
  <c r="D65" i="14"/>
  <c r="F65" i="14" s="1"/>
  <c r="F64" i="14"/>
  <c r="E64" i="14"/>
  <c r="D64" i="14"/>
  <c r="E63" i="14"/>
  <c r="F63" i="14" s="1"/>
  <c r="D63" i="14"/>
  <c r="F62" i="14"/>
  <c r="E62" i="14"/>
  <c r="D62" i="14"/>
  <c r="E61" i="14"/>
  <c r="F61" i="14" s="1"/>
  <c r="D61" i="14"/>
  <c r="E60" i="14"/>
  <c r="D60" i="14"/>
  <c r="E59" i="14"/>
  <c r="F59" i="14" s="1"/>
  <c r="D59" i="14"/>
  <c r="E58" i="14"/>
  <c r="D58" i="14"/>
  <c r="F57" i="14"/>
  <c r="E57" i="14"/>
  <c r="D57" i="14"/>
  <c r="E56" i="14"/>
  <c r="F56" i="14" s="1"/>
  <c r="D56" i="14"/>
  <c r="E55" i="14"/>
  <c r="F55" i="14" s="1"/>
  <c r="D55" i="14"/>
  <c r="F54" i="14"/>
  <c r="E54" i="14"/>
  <c r="D54" i="14"/>
  <c r="E53" i="14"/>
  <c r="F53" i="14" s="1"/>
  <c r="D53" i="14"/>
  <c r="E52" i="14"/>
  <c r="D52" i="14"/>
  <c r="F52" i="14" s="1"/>
  <c r="E51" i="14"/>
  <c r="F51" i="14" s="1"/>
  <c r="D51" i="14"/>
  <c r="E50" i="14"/>
  <c r="D50" i="14"/>
  <c r="E49" i="14"/>
  <c r="F49" i="14" s="1"/>
  <c r="D49" i="14"/>
  <c r="E48" i="14"/>
  <c r="F48" i="14" s="1"/>
  <c r="D48" i="14"/>
  <c r="E47" i="14"/>
  <c r="F47" i="14" s="1"/>
  <c r="D47" i="14"/>
  <c r="E46" i="14"/>
  <c r="F46" i="14" s="1"/>
  <c r="D46" i="14"/>
  <c r="E45" i="14"/>
  <c r="D45" i="14"/>
  <c r="E44" i="14"/>
  <c r="D44" i="14"/>
  <c r="F44" i="14" s="1"/>
  <c r="E43" i="14"/>
  <c r="F43" i="14" s="1"/>
  <c r="D43" i="14"/>
  <c r="E42" i="14"/>
  <c r="D42" i="14"/>
  <c r="F42" i="14" s="1"/>
  <c r="E41" i="14"/>
  <c r="D41" i="14"/>
  <c r="F41" i="14" s="1"/>
  <c r="E40" i="14"/>
  <c r="F40" i="14" s="1"/>
  <c r="D40" i="14"/>
  <c r="E39" i="14"/>
  <c r="F39" i="14" s="1"/>
  <c r="D39" i="14"/>
  <c r="F38" i="14"/>
  <c r="E38" i="14"/>
  <c r="D38" i="14"/>
  <c r="F37" i="14"/>
  <c r="E37" i="14"/>
  <c r="D37" i="14"/>
  <c r="E36" i="14"/>
  <c r="D36" i="14"/>
  <c r="F36" i="14" s="1"/>
  <c r="E35" i="14"/>
  <c r="F35" i="14" s="1"/>
  <c r="D35" i="14"/>
  <c r="E34" i="14"/>
  <c r="D34" i="14"/>
  <c r="E33" i="14"/>
  <c r="D33" i="14"/>
  <c r="F33" i="14" s="1"/>
  <c r="E32" i="14"/>
  <c r="D32" i="14"/>
  <c r="F32" i="14" s="1"/>
  <c r="E31" i="14"/>
  <c r="F31" i="14" s="1"/>
  <c r="D31" i="14"/>
  <c r="F30" i="14"/>
  <c r="E30" i="14"/>
  <c r="D30" i="14"/>
  <c r="F29" i="14"/>
  <c r="E29" i="14"/>
  <c r="D29" i="14"/>
  <c r="F28" i="14"/>
  <c r="E28" i="14"/>
  <c r="D28" i="14"/>
  <c r="E27" i="14"/>
  <c r="F27" i="14" s="1"/>
  <c r="D27" i="14"/>
  <c r="E26" i="14"/>
  <c r="F26" i="14" s="1"/>
  <c r="D26" i="14"/>
  <c r="E25" i="14"/>
  <c r="D25" i="14"/>
  <c r="F25" i="14" s="1"/>
  <c r="E24" i="14"/>
  <c r="D24" i="14"/>
  <c r="F24" i="14" s="1"/>
  <c r="E23" i="14"/>
  <c r="F23" i="14" s="1"/>
  <c r="D23" i="14"/>
  <c r="E22" i="14"/>
  <c r="D22" i="14"/>
  <c r="F22" i="14" s="1"/>
  <c r="E21" i="14"/>
  <c r="F21" i="14" s="1"/>
  <c r="D21" i="14"/>
  <c r="E20" i="14"/>
  <c r="D20" i="14"/>
  <c r="E19" i="14"/>
  <c r="F19" i="14" s="1"/>
  <c r="D19" i="14"/>
  <c r="F18" i="14"/>
  <c r="E18" i="14"/>
  <c r="D18" i="14"/>
  <c r="E17" i="14"/>
  <c r="D17" i="14"/>
  <c r="F17" i="14" s="1"/>
  <c r="E16" i="14"/>
  <c r="D16" i="14"/>
  <c r="F16" i="14" s="1"/>
  <c r="E15" i="14"/>
  <c r="F15" i="14" s="1"/>
  <c r="D15" i="14"/>
  <c r="E14" i="14"/>
  <c r="F14" i="14" s="1"/>
  <c r="D14" i="14"/>
  <c r="E13" i="14"/>
  <c r="F13" i="14" s="1"/>
  <c r="D13" i="14"/>
  <c r="E12" i="14"/>
  <c r="F12" i="14" s="1"/>
  <c r="D12" i="14"/>
  <c r="E11" i="14"/>
  <c r="F11" i="14" s="1"/>
  <c r="D11" i="14"/>
  <c r="F10" i="14"/>
  <c r="E10" i="14"/>
  <c r="D10" i="14"/>
  <c r="F9" i="14"/>
  <c r="E9" i="14"/>
  <c r="D9" i="14"/>
  <c r="E8" i="14"/>
  <c r="D8" i="14"/>
  <c r="E7" i="14"/>
  <c r="F7" i="14" s="1"/>
  <c r="D7" i="14"/>
  <c r="E6" i="14"/>
  <c r="F6" i="14" s="1"/>
  <c r="D6" i="14"/>
  <c r="E5" i="14"/>
  <c r="F5" i="14" s="1"/>
  <c r="D5" i="14"/>
  <c r="F4" i="14"/>
  <c r="E4" i="14"/>
  <c r="D4" i="14"/>
  <c r="E3" i="14"/>
  <c r="F3" i="14" s="1"/>
  <c r="D3" i="14"/>
  <c r="E2" i="14"/>
  <c r="D2" i="14"/>
  <c r="I76" i="13"/>
  <c r="H76" i="13"/>
  <c r="G76" i="13"/>
  <c r="B76" i="13"/>
  <c r="E74" i="13"/>
  <c r="F74" i="13" s="1"/>
  <c r="E73" i="13"/>
  <c r="F73" i="13" s="1"/>
  <c r="D73" i="13"/>
  <c r="E72" i="13"/>
  <c r="F72" i="13" s="1"/>
  <c r="D72" i="13"/>
  <c r="E71" i="13"/>
  <c r="F71" i="13" s="1"/>
  <c r="D71" i="13"/>
  <c r="E70" i="13"/>
  <c r="D70" i="13"/>
  <c r="F70" i="13" s="1"/>
  <c r="E69" i="13"/>
  <c r="D69" i="13"/>
  <c r="E68" i="13"/>
  <c r="D68" i="13"/>
  <c r="F68" i="13" s="1"/>
  <c r="E67" i="13"/>
  <c r="D67" i="13"/>
  <c r="F67" i="13" s="1"/>
  <c r="F66" i="13"/>
  <c r="E66" i="13"/>
  <c r="D66" i="13"/>
  <c r="E65" i="13"/>
  <c r="D65" i="13"/>
  <c r="F64" i="13"/>
  <c r="E64" i="13"/>
  <c r="D64" i="13"/>
  <c r="F63" i="13"/>
  <c r="E63" i="13"/>
  <c r="D63" i="13"/>
  <c r="F62" i="13"/>
  <c r="E62" i="13"/>
  <c r="D62" i="13"/>
  <c r="E61" i="13"/>
  <c r="F61" i="13" s="1"/>
  <c r="D61" i="13"/>
  <c r="E60" i="13"/>
  <c r="F60" i="13" s="1"/>
  <c r="D60" i="13"/>
  <c r="E59" i="13"/>
  <c r="D59" i="13"/>
  <c r="E58" i="13"/>
  <c r="D58" i="13"/>
  <c r="F58" i="13" s="1"/>
  <c r="E57" i="13"/>
  <c r="D57" i="13"/>
  <c r="E56" i="13"/>
  <c r="F56" i="13" s="1"/>
  <c r="D56" i="13"/>
  <c r="E55" i="13"/>
  <c r="F55" i="13" s="1"/>
  <c r="D55" i="13"/>
  <c r="F54" i="13"/>
  <c r="E54" i="13"/>
  <c r="D54" i="13"/>
  <c r="E53" i="13"/>
  <c r="F53" i="13" s="1"/>
  <c r="D53" i="13"/>
  <c r="E52" i="13"/>
  <c r="D52" i="13"/>
  <c r="F52" i="13" s="1"/>
  <c r="F51" i="13"/>
  <c r="E51" i="13"/>
  <c r="D51" i="13"/>
  <c r="F50" i="13"/>
  <c r="E50" i="13"/>
  <c r="D50" i="13"/>
  <c r="E49" i="13"/>
  <c r="D49" i="13"/>
  <c r="E48" i="13"/>
  <c r="F48" i="13" s="1"/>
  <c r="D48" i="13"/>
  <c r="E47" i="13"/>
  <c r="F47" i="13" s="1"/>
  <c r="D47" i="13"/>
  <c r="E46" i="13"/>
  <c r="D46" i="13"/>
  <c r="F46" i="13" s="1"/>
  <c r="E45" i="13"/>
  <c r="F45" i="13" s="1"/>
  <c r="D45" i="13"/>
  <c r="E44" i="13"/>
  <c r="D44" i="13"/>
  <c r="F44" i="13" s="1"/>
  <c r="E43" i="13"/>
  <c r="D43" i="13"/>
  <c r="F42" i="13"/>
  <c r="E42" i="13"/>
  <c r="D42" i="13"/>
  <c r="E41" i="13"/>
  <c r="D41" i="13"/>
  <c r="F40" i="13"/>
  <c r="E40" i="13"/>
  <c r="D40" i="13"/>
  <c r="F39" i="13"/>
  <c r="E39" i="13"/>
  <c r="D39" i="13"/>
  <c r="F38" i="13"/>
  <c r="E38" i="13"/>
  <c r="D38" i="13"/>
  <c r="E37" i="13"/>
  <c r="F37" i="13" s="1"/>
  <c r="D37" i="13"/>
  <c r="E36" i="13"/>
  <c r="F36" i="13" s="1"/>
  <c r="D36" i="13"/>
  <c r="E35" i="13"/>
  <c r="F35" i="13" s="1"/>
  <c r="D35" i="13"/>
  <c r="E34" i="13"/>
  <c r="D34" i="13"/>
  <c r="F34" i="13" s="1"/>
  <c r="E33" i="13"/>
  <c r="D33" i="13"/>
  <c r="F32" i="13"/>
  <c r="E32" i="13"/>
  <c r="D32" i="13"/>
  <c r="F31" i="13"/>
  <c r="E31" i="13"/>
  <c r="D31" i="13"/>
  <c r="E30" i="13"/>
  <c r="D30" i="13"/>
  <c r="F30" i="13" s="1"/>
  <c r="E29" i="13"/>
  <c r="D29" i="13"/>
  <c r="E28" i="13"/>
  <c r="F28" i="13" s="1"/>
  <c r="D28" i="13"/>
  <c r="E27" i="13"/>
  <c r="F27" i="13" s="1"/>
  <c r="D27" i="13"/>
  <c r="E26" i="13"/>
  <c r="D26" i="13"/>
  <c r="F26" i="13" s="1"/>
  <c r="E25" i="13"/>
  <c r="F25" i="13" s="1"/>
  <c r="D25" i="13"/>
  <c r="E24" i="13"/>
  <c r="F24" i="13" s="1"/>
  <c r="D24" i="13"/>
  <c r="F23" i="13"/>
  <c r="E23" i="13"/>
  <c r="D23" i="13"/>
  <c r="E22" i="13"/>
  <c r="D22" i="13"/>
  <c r="F22" i="13" s="1"/>
  <c r="E21" i="13"/>
  <c r="D21" i="13"/>
  <c r="E20" i="13"/>
  <c r="D20" i="13"/>
  <c r="F20" i="13" s="1"/>
  <c r="E19" i="13"/>
  <c r="F19" i="13" s="1"/>
  <c r="D19" i="13"/>
  <c r="E18" i="13"/>
  <c r="D18" i="13"/>
  <c r="F18" i="13" s="1"/>
  <c r="E17" i="13"/>
  <c r="D17" i="13"/>
  <c r="E16" i="13"/>
  <c r="F16" i="13" s="1"/>
  <c r="D16" i="13"/>
  <c r="E15" i="13"/>
  <c r="F15" i="13" s="1"/>
  <c r="D15" i="13"/>
  <c r="F14" i="13"/>
  <c r="E14" i="13"/>
  <c r="D14" i="13"/>
  <c r="E13" i="13"/>
  <c r="F13" i="13" s="1"/>
  <c r="D13" i="13"/>
  <c r="E12" i="13"/>
  <c r="D12" i="13"/>
  <c r="E11" i="13"/>
  <c r="F11" i="13" s="1"/>
  <c r="D11" i="13"/>
  <c r="E10" i="13"/>
  <c r="D10" i="13"/>
  <c r="F10" i="13" s="1"/>
  <c r="E9" i="13"/>
  <c r="D9" i="13"/>
  <c r="E8" i="13"/>
  <c r="F8" i="13" s="1"/>
  <c r="D8" i="13"/>
  <c r="F7" i="13"/>
  <c r="E7" i="13"/>
  <c r="D7" i="13"/>
  <c r="F6" i="13"/>
  <c r="E6" i="13"/>
  <c r="D6" i="13"/>
  <c r="E5" i="13"/>
  <c r="F5" i="13" s="1"/>
  <c r="D5" i="13"/>
  <c r="F4" i="13"/>
  <c r="E4" i="13"/>
  <c r="D4" i="13"/>
  <c r="E3" i="13"/>
  <c r="D3" i="13"/>
  <c r="E2" i="13"/>
  <c r="D2" i="13"/>
  <c r="I76" i="12"/>
  <c r="H76" i="12"/>
  <c r="G76" i="12"/>
  <c r="B76" i="12"/>
  <c r="F74" i="12"/>
  <c r="E74" i="12"/>
  <c r="D74" i="12"/>
  <c r="F73" i="12"/>
  <c r="E73" i="12"/>
  <c r="D73" i="12"/>
  <c r="E72" i="12"/>
  <c r="F72" i="12" s="1"/>
  <c r="D72" i="12"/>
  <c r="E71" i="12"/>
  <c r="F71" i="12" s="1"/>
  <c r="D71" i="12"/>
  <c r="E70" i="12"/>
  <c r="F70" i="12" s="1"/>
  <c r="D70" i="12"/>
  <c r="E69" i="12"/>
  <c r="D69" i="12"/>
  <c r="F69" i="12" s="1"/>
  <c r="E68" i="12"/>
  <c r="D68" i="12"/>
  <c r="E67" i="12"/>
  <c r="D67" i="12"/>
  <c r="F67" i="12" s="1"/>
  <c r="E66" i="12"/>
  <c r="F66" i="12" s="1"/>
  <c r="D66" i="12"/>
  <c r="F65" i="12"/>
  <c r="E65" i="12"/>
  <c r="D65" i="12"/>
  <c r="E64" i="12"/>
  <c r="D64" i="12"/>
  <c r="E63" i="12"/>
  <c r="F63" i="12" s="1"/>
  <c r="D63" i="12"/>
  <c r="E62" i="12"/>
  <c r="D62" i="12"/>
  <c r="F62" i="12" s="1"/>
  <c r="F61" i="12"/>
  <c r="E61" i="12"/>
  <c r="D61" i="12"/>
  <c r="E60" i="12"/>
  <c r="D60" i="12"/>
  <c r="E59" i="12"/>
  <c r="D59" i="12"/>
  <c r="F59" i="12" s="1"/>
  <c r="E58" i="12"/>
  <c r="F58" i="12" s="1"/>
  <c r="D58" i="12"/>
  <c r="E57" i="12"/>
  <c r="D57" i="12"/>
  <c r="F57" i="12" s="1"/>
  <c r="E56" i="12"/>
  <c r="D56" i="12"/>
  <c r="E55" i="12"/>
  <c r="F55" i="12" s="1"/>
  <c r="D55" i="12"/>
  <c r="E54" i="12"/>
  <c r="D54" i="12"/>
  <c r="F54" i="12" s="1"/>
  <c r="E53" i="12"/>
  <c r="D53" i="12"/>
  <c r="F53" i="12" s="1"/>
  <c r="E52" i="12"/>
  <c r="D52" i="12"/>
  <c r="E51" i="12"/>
  <c r="F51" i="12" s="1"/>
  <c r="D51" i="12"/>
  <c r="F50" i="12"/>
  <c r="E50" i="12"/>
  <c r="D50" i="12"/>
  <c r="E49" i="12"/>
  <c r="D49" i="12"/>
  <c r="F49" i="12" s="1"/>
  <c r="E48" i="12"/>
  <c r="F48" i="12" s="1"/>
  <c r="D48" i="12"/>
  <c r="F47" i="12"/>
  <c r="E47" i="12"/>
  <c r="D47" i="12"/>
  <c r="E46" i="12"/>
  <c r="D46" i="12"/>
  <c r="E45" i="12"/>
  <c r="D45" i="12"/>
  <c r="F45" i="12" s="1"/>
  <c r="E44" i="12"/>
  <c r="D44" i="12"/>
  <c r="F43" i="12"/>
  <c r="E43" i="12"/>
  <c r="D43" i="12"/>
  <c r="F42" i="12"/>
  <c r="E42" i="12"/>
  <c r="D42" i="12"/>
  <c r="F41" i="12"/>
  <c r="E41" i="12"/>
  <c r="D41" i="12"/>
  <c r="E40" i="12"/>
  <c r="D40" i="12"/>
  <c r="E39" i="12"/>
  <c r="F39" i="12" s="1"/>
  <c r="D39" i="12"/>
  <c r="E38" i="12"/>
  <c r="D38" i="12"/>
  <c r="F37" i="12"/>
  <c r="E37" i="12"/>
  <c r="D37" i="12"/>
  <c r="E36" i="12"/>
  <c r="D36" i="12"/>
  <c r="F36" i="12" s="1"/>
  <c r="E35" i="12"/>
  <c r="F35" i="12" s="1"/>
  <c r="D35" i="12"/>
  <c r="E34" i="12"/>
  <c r="D34" i="12"/>
  <c r="F34" i="12" s="1"/>
  <c r="F33" i="12"/>
  <c r="E33" i="12"/>
  <c r="D33" i="12"/>
  <c r="E32" i="12"/>
  <c r="D32" i="12"/>
  <c r="F32" i="12" s="1"/>
  <c r="F31" i="12"/>
  <c r="E31" i="12"/>
  <c r="D31" i="12"/>
  <c r="F30" i="12"/>
  <c r="E30" i="12"/>
  <c r="D30" i="12"/>
  <c r="F29" i="12"/>
  <c r="E29" i="12"/>
  <c r="D29" i="12"/>
  <c r="E28" i="12"/>
  <c r="D28" i="12"/>
  <c r="F28" i="12" s="1"/>
  <c r="E27" i="12"/>
  <c r="F27" i="12" s="1"/>
  <c r="D27" i="12"/>
  <c r="E26" i="12"/>
  <c r="F26" i="12" s="1"/>
  <c r="D26" i="12"/>
  <c r="F25" i="12"/>
  <c r="E25" i="12"/>
  <c r="D25" i="12"/>
  <c r="E24" i="12"/>
  <c r="D24" i="12"/>
  <c r="F24" i="12" s="1"/>
  <c r="F23" i="12"/>
  <c r="E23" i="12"/>
  <c r="D23" i="12"/>
  <c r="E22" i="12"/>
  <c r="F22" i="12" s="1"/>
  <c r="D22" i="12"/>
  <c r="F21" i="12"/>
  <c r="E21" i="12"/>
  <c r="D21" i="12"/>
  <c r="E20" i="12"/>
  <c r="D20" i="12"/>
  <c r="F20" i="12" s="1"/>
  <c r="E19" i="12"/>
  <c r="F19" i="12" s="1"/>
  <c r="D19" i="12"/>
  <c r="E18" i="12"/>
  <c r="F18" i="12" s="1"/>
  <c r="D18" i="12"/>
  <c r="F17" i="12"/>
  <c r="E17" i="12"/>
  <c r="D17" i="12"/>
  <c r="E16" i="12"/>
  <c r="D16" i="12"/>
  <c r="F16" i="12" s="1"/>
  <c r="E15" i="12"/>
  <c r="F15" i="12" s="1"/>
  <c r="D15" i="12"/>
  <c r="E14" i="12"/>
  <c r="F14" i="12" s="1"/>
  <c r="D14" i="12"/>
  <c r="F13" i="12"/>
  <c r="E13" i="12"/>
  <c r="D13" i="12"/>
  <c r="E12" i="12"/>
  <c r="D12" i="12"/>
  <c r="F12" i="12" s="1"/>
  <c r="E11" i="12"/>
  <c r="F11" i="12" s="1"/>
  <c r="D11" i="12"/>
  <c r="E10" i="12"/>
  <c r="F10" i="12" s="1"/>
  <c r="D10" i="12"/>
  <c r="F9" i="12"/>
  <c r="E9" i="12"/>
  <c r="D9" i="12"/>
  <c r="F8" i="12"/>
  <c r="E8" i="12"/>
  <c r="D8" i="12"/>
  <c r="E7" i="12"/>
  <c r="F7" i="12" s="1"/>
  <c r="D7" i="12"/>
  <c r="E6" i="12"/>
  <c r="F6" i="12" s="1"/>
  <c r="D6" i="12"/>
  <c r="F5" i="12"/>
  <c r="E5" i="12"/>
  <c r="D5" i="12"/>
  <c r="F4" i="12"/>
  <c r="E4" i="12"/>
  <c r="D4" i="12"/>
  <c r="E3" i="12"/>
  <c r="F3" i="12" s="1"/>
  <c r="D3" i="12"/>
  <c r="E2" i="12"/>
  <c r="F2" i="12" s="1"/>
  <c r="D2" i="12"/>
  <c r="I76" i="11"/>
  <c r="H76" i="11"/>
  <c r="G76" i="11"/>
  <c r="B76" i="11"/>
  <c r="F74" i="11"/>
  <c r="E74" i="11"/>
  <c r="D74" i="11"/>
  <c r="E73" i="11"/>
  <c r="D73" i="11"/>
  <c r="F72" i="11"/>
  <c r="E72" i="11"/>
  <c r="D72" i="11"/>
  <c r="E71" i="11"/>
  <c r="D71" i="11"/>
  <c r="F71" i="11" s="1"/>
  <c r="F70" i="11"/>
  <c r="E70" i="11"/>
  <c r="D70" i="11"/>
  <c r="E69" i="11"/>
  <c r="D69" i="11"/>
  <c r="F68" i="11"/>
  <c r="E68" i="11"/>
  <c r="D68" i="11"/>
  <c r="F67" i="11"/>
  <c r="E67" i="11"/>
  <c r="D67" i="11"/>
  <c r="E66" i="11"/>
  <c r="D66" i="11"/>
  <c r="E65" i="11"/>
  <c r="F65" i="11" s="1"/>
  <c r="D65" i="11"/>
  <c r="F64" i="11"/>
  <c r="E64" i="11"/>
  <c r="D64" i="11"/>
  <c r="F63" i="11"/>
  <c r="E63" i="11"/>
  <c r="D63" i="11"/>
  <c r="E62" i="11"/>
  <c r="D62" i="11"/>
  <c r="E61" i="11"/>
  <c r="F61" i="11" s="1"/>
  <c r="D61" i="11"/>
  <c r="F60" i="11"/>
  <c r="E60" i="11"/>
  <c r="D60" i="11"/>
  <c r="E59" i="11"/>
  <c r="D59" i="11"/>
  <c r="F59" i="11" s="1"/>
  <c r="E58" i="11"/>
  <c r="F58" i="11" s="1"/>
  <c r="D58" i="11"/>
  <c r="E57" i="11"/>
  <c r="F57" i="11" s="1"/>
  <c r="D57" i="11"/>
  <c r="F56" i="11"/>
  <c r="E56" i="11"/>
  <c r="D56" i="11"/>
  <c r="E55" i="11"/>
  <c r="D55" i="11"/>
  <c r="F55" i="11" s="1"/>
  <c r="F54" i="11"/>
  <c r="E54" i="11"/>
  <c r="D54" i="11"/>
  <c r="E53" i="11"/>
  <c r="D53" i="11"/>
  <c r="F52" i="11"/>
  <c r="E52" i="11"/>
  <c r="D52" i="11"/>
  <c r="E51" i="11"/>
  <c r="D51" i="11"/>
  <c r="F51" i="11" s="1"/>
  <c r="E50" i="11"/>
  <c r="F50" i="11" s="1"/>
  <c r="D50" i="11"/>
  <c r="E49" i="11"/>
  <c r="D49" i="11"/>
  <c r="F48" i="11"/>
  <c r="E48" i="11"/>
  <c r="D48" i="11"/>
  <c r="E47" i="11"/>
  <c r="D47" i="11"/>
  <c r="F47" i="11" s="1"/>
  <c r="E46" i="11"/>
  <c r="F46" i="11" s="1"/>
  <c r="D46" i="11"/>
  <c r="E45" i="11"/>
  <c r="D45" i="11"/>
  <c r="F44" i="11"/>
  <c r="E44" i="11"/>
  <c r="D44" i="11"/>
  <c r="E43" i="11"/>
  <c r="D43" i="11"/>
  <c r="F43" i="11" s="1"/>
  <c r="E42" i="11"/>
  <c r="F42" i="11" s="1"/>
  <c r="D42" i="11"/>
  <c r="E41" i="11"/>
  <c r="F41" i="11" s="1"/>
  <c r="D41" i="11"/>
  <c r="F40" i="11"/>
  <c r="E40" i="11"/>
  <c r="D40" i="11"/>
  <c r="F39" i="11"/>
  <c r="E39" i="11"/>
  <c r="D39" i="11"/>
  <c r="E38" i="11"/>
  <c r="F38" i="11" s="1"/>
  <c r="D38" i="11"/>
  <c r="E37" i="11"/>
  <c r="D37" i="11"/>
  <c r="F36" i="11"/>
  <c r="E36" i="11"/>
  <c r="D36" i="11"/>
  <c r="F35" i="11"/>
  <c r="E35" i="11"/>
  <c r="D35" i="11"/>
  <c r="E34" i="11"/>
  <c r="F34" i="11" s="1"/>
  <c r="D34" i="11"/>
  <c r="E33" i="11"/>
  <c r="D33" i="11"/>
  <c r="F32" i="11"/>
  <c r="E32" i="11"/>
  <c r="D32" i="11"/>
  <c r="E31" i="11"/>
  <c r="D31" i="11"/>
  <c r="F31" i="11" s="1"/>
  <c r="E30" i="11"/>
  <c r="D30" i="11"/>
  <c r="F30" i="11" s="1"/>
  <c r="E29" i="11"/>
  <c r="D29" i="11"/>
  <c r="F28" i="11"/>
  <c r="E28" i="11"/>
  <c r="D28" i="11"/>
  <c r="E27" i="11"/>
  <c r="D27" i="11"/>
  <c r="F27" i="11" s="1"/>
  <c r="F26" i="11"/>
  <c r="E26" i="11"/>
  <c r="D26" i="11"/>
  <c r="E25" i="11"/>
  <c r="D25" i="11"/>
  <c r="F24" i="11"/>
  <c r="E24" i="11"/>
  <c r="D24" i="11"/>
  <c r="E23" i="11"/>
  <c r="D23" i="11"/>
  <c r="F23" i="11" s="1"/>
  <c r="E22" i="11"/>
  <c r="F22" i="11" s="1"/>
  <c r="D22" i="11"/>
  <c r="E21" i="11"/>
  <c r="D21" i="11"/>
  <c r="F20" i="11"/>
  <c r="E20" i="11"/>
  <c r="D20" i="11"/>
  <c r="F19" i="11"/>
  <c r="E19" i="11"/>
  <c r="D19" i="11"/>
  <c r="E18" i="11"/>
  <c r="D18" i="11"/>
  <c r="E17" i="11"/>
  <c r="F17" i="11" s="1"/>
  <c r="D17" i="11"/>
  <c r="F16" i="11"/>
  <c r="E16" i="11"/>
  <c r="D16" i="11"/>
  <c r="F15" i="11"/>
  <c r="E15" i="11"/>
  <c r="D15" i="11"/>
  <c r="E14" i="11"/>
  <c r="F14" i="11" s="1"/>
  <c r="D14" i="11"/>
  <c r="E13" i="11"/>
  <c r="F13" i="11" s="1"/>
  <c r="D13" i="11"/>
  <c r="F12" i="11"/>
  <c r="E12" i="11"/>
  <c r="D12" i="11"/>
  <c r="E11" i="11"/>
  <c r="D11" i="11"/>
  <c r="F11" i="11" s="1"/>
  <c r="E10" i="11"/>
  <c r="F10" i="11" s="1"/>
  <c r="D10" i="11"/>
  <c r="E9" i="11"/>
  <c r="F9" i="11" s="1"/>
  <c r="D9" i="11"/>
  <c r="F8" i="11"/>
  <c r="E8" i="11"/>
  <c r="D8" i="11"/>
  <c r="E7" i="11"/>
  <c r="D7" i="11"/>
  <c r="F7" i="11" s="1"/>
  <c r="F6" i="11"/>
  <c r="E6" i="11"/>
  <c r="D6" i="11"/>
  <c r="E5" i="11"/>
  <c r="D5" i="11"/>
  <c r="F4" i="11"/>
  <c r="E4" i="11"/>
  <c r="D4" i="11"/>
  <c r="E3" i="11"/>
  <c r="D3" i="11"/>
  <c r="F3" i="11" s="1"/>
  <c r="E2" i="11"/>
  <c r="F2" i="11" s="1"/>
  <c r="D2" i="11"/>
  <c r="I76" i="10"/>
  <c r="H76" i="10"/>
  <c r="G76" i="10"/>
  <c r="B76" i="10"/>
  <c r="E74" i="10"/>
  <c r="F74" i="10" s="1"/>
  <c r="D74" i="10"/>
  <c r="E73" i="10"/>
  <c r="F73" i="10" s="1"/>
  <c r="D73" i="10"/>
  <c r="E72" i="10"/>
  <c r="F72" i="10" s="1"/>
  <c r="D72" i="10"/>
  <c r="F71" i="10"/>
  <c r="E71" i="10"/>
  <c r="D71" i="10"/>
  <c r="E70" i="10"/>
  <c r="F70" i="10" s="1"/>
  <c r="D70" i="10"/>
  <c r="E69" i="10"/>
  <c r="F69" i="10" s="1"/>
  <c r="D69" i="10"/>
  <c r="E68" i="10"/>
  <c r="F68" i="10" s="1"/>
  <c r="D68" i="10"/>
  <c r="E67" i="10"/>
  <c r="D67" i="10"/>
  <c r="F67" i="10" s="1"/>
  <c r="E66" i="10"/>
  <c r="F66" i="10" s="1"/>
  <c r="D66" i="10"/>
  <c r="F65" i="10"/>
  <c r="E65" i="10"/>
  <c r="D65" i="10"/>
  <c r="E64" i="10"/>
  <c r="F64" i="10" s="1"/>
  <c r="D64" i="10"/>
  <c r="F63" i="10"/>
  <c r="E63" i="10"/>
  <c r="D63" i="10"/>
  <c r="E62" i="10"/>
  <c r="F62" i="10" s="1"/>
  <c r="D62" i="10"/>
  <c r="E61" i="10"/>
  <c r="D61" i="10"/>
  <c r="E60" i="10"/>
  <c r="D60" i="10"/>
  <c r="F60" i="10" s="1"/>
  <c r="E59" i="10"/>
  <c r="D59" i="10"/>
  <c r="F59" i="10" s="1"/>
  <c r="E58" i="10"/>
  <c r="F58" i="10" s="1"/>
  <c r="D58" i="10"/>
  <c r="F57" i="10"/>
  <c r="E57" i="10"/>
  <c r="D57" i="10"/>
  <c r="F56" i="10"/>
  <c r="E56" i="10"/>
  <c r="D56" i="10"/>
  <c r="E55" i="10"/>
  <c r="D55" i="10"/>
  <c r="F55" i="10" s="1"/>
  <c r="E54" i="10"/>
  <c r="F54" i="10" s="1"/>
  <c r="D54" i="10"/>
  <c r="E53" i="10"/>
  <c r="F53" i="10" s="1"/>
  <c r="D53" i="10"/>
  <c r="E52" i="10"/>
  <c r="D52" i="10"/>
  <c r="F51" i="10"/>
  <c r="E51" i="10"/>
  <c r="D51" i="10"/>
  <c r="E50" i="10"/>
  <c r="F50" i="10" s="1"/>
  <c r="D50" i="10"/>
  <c r="E49" i="10"/>
  <c r="D49" i="10"/>
  <c r="E48" i="10"/>
  <c r="F48" i="10" s="1"/>
  <c r="D48" i="10"/>
  <c r="E47" i="10"/>
  <c r="D47" i="10"/>
  <c r="F47" i="10" s="1"/>
  <c r="E46" i="10"/>
  <c r="F46" i="10" s="1"/>
  <c r="D46" i="10"/>
  <c r="E45" i="10"/>
  <c r="F45" i="10" s="1"/>
  <c r="D45" i="10"/>
  <c r="F44" i="10"/>
  <c r="E44" i="10"/>
  <c r="D44" i="10"/>
  <c r="E43" i="10"/>
  <c r="D43" i="10"/>
  <c r="F43" i="10" s="1"/>
  <c r="E42" i="10"/>
  <c r="F42" i="10" s="1"/>
  <c r="D42" i="10"/>
  <c r="F41" i="10"/>
  <c r="E41" i="10"/>
  <c r="D41" i="10"/>
  <c r="E40" i="10"/>
  <c r="F40" i="10" s="1"/>
  <c r="D40" i="10"/>
  <c r="E39" i="10"/>
  <c r="D39" i="10"/>
  <c r="F39" i="10" s="1"/>
  <c r="E38" i="10"/>
  <c r="F38" i="10" s="1"/>
  <c r="D38" i="10"/>
  <c r="E37" i="10"/>
  <c r="F37" i="10" s="1"/>
  <c r="D37" i="10"/>
  <c r="F36" i="10"/>
  <c r="E36" i="10"/>
  <c r="D36" i="10"/>
  <c r="E35" i="10"/>
  <c r="D35" i="10"/>
  <c r="F35" i="10" s="1"/>
  <c r="E34" i="10"/>
  <c r="F34" i="10" s="1"/>
  <c r="D34" i="10"/>
  <c r="F33" i="10"/>
  <c r="E33" i="10"/>
  <c r="D33" i="10"/>
  <c r="E32" i="10"/>
  <c r="F32" i="10" s="1"/>
  <c r="D32" i="10"/>
  <c r="E31" i="10"/>
  <c r="D31" i="10"/>
  <c r="F31" i="10" s="1"/>
  <c r="E30" i="10"/>
  <c r="F30" i="10" s="1"/>
  <c r="D30" i="10"/>
  <c r="E29" i="10"/>
  <c r="F29" i="10" s="1"/>
  <c r="D29" i="10"/>
  <c r="E28" i="10"/>
  <c r="F28" i="10" s="1"/>
  <c r="D28" i="10"/>
  <c r="F27" i="10"/>
  <c r="E27" i="10"/>
  <c r="D27" i="10"/>
  <c r="E26" i="10"/>
  <c r="F26" i="10" s="1"/>
  <c r="D26" i="10"/>
  <c r="E25" i="10"/>
  <c r="D25" i="10"/>
  <c r="E24" i="10"/>
  <c r="F24" i="10" s="1"/>
  <c r="D24" i="10"/>
  <c r="F23" i="10"/>
  <c r="E23" i="10"/>
  <c r="D23" i="10"/>
  <c r="E22" i="10"/>
  <c r="F22" i="10" s="1"/>
  <c r="D22" i="10"/>
  <c r="E21" i="10"/>
  <c r="D21" i="10"/>
  <c r="F21" i="10" s="1"/>
  <c r="E20" i="10"/>
  <c r="F20" i="10" s="1"/>
  <c r="D20" i="10"/>
  <c r="F19" i="10"/>
  <c r="E19" i="10"/>
  <c r="D19" i="10"/>
  <c r="E18" i="10"/>
  <c r="F18" i="10" s="1"/>
  <c r="D18" i="10"/>
  <c r="F17" i="10"/>
  <c r="E17" i="10"/>
  <c r="D17" i="10"/>
  <c r="E16" i="10"/>
  <c r="F16" i="10" s="1"/>
  <c r="D16" i="10"/>
  <c r="F15" i="10"/>
  <c r="E15" i="10"/>
  <c r="D15" i="10"/>
  <c r="E14" i="10"/>
  <c r="F14" i="10" s="1"/>
  <c r="D14" i="10"/>
  <c r="E13" i="10"/>
  <c r="D13" i="10"/>
  <c r="E12" i="10"/>
  <c r="D12" i="10"/>
  <c r="F12" i="10" s="1"/>
  <c r="E11" i="10"/>
  <c r="F11" i="10" s="1"/>
  <c r="D11" i="10"/>
  <c r="E10" i="10"/>
  <c r="F10" i="10" s="1"/>
  <c r="D10" i="10"/>
  <c r="F9" i="10"/>
  <c r="E9" i="10"/>
  <c r="D9" i="10"/>
  <c r="F8" i="10"/>
  <c r="E8" i="10"/>
  <c r="D8" i="10"/>
  <c r="E7" i="10"/>
  <c r="F7" i="10" s="1"/>
  <c r="D7" i="10"/>
  <c r="E6" i="10"/>
  <c r="F6" i="10" s="1"/>
  <c r="D6" i="10"/>
  <c r="F5" i="10"/>
  <c r="E5" i="10"/>
  <c r="D5" i="10"/>
  <c r="E4" i="10"/>
  <c r="F4" i="10" s="1"/>
  <c r="D4" i="10"/>
  <c r="E3" i="10"/>
  <c r="F3" i="10" s="1"/>
  <c r="D3" i="10"/>
  <c r="E2" i="10"/>
  <c r="D2" i="10"/>
  <c r="I76" i="9"/>
  <c r="H76" i="9"/>
  <c r="G76" i="9"/>
  <c r="B76" i="9"/>
  <c r="F74" i="9"/>
  <c r="E74" i="9"/>
  <c r="D74" i="9"/>
  <c r="E73" i="9"/>
  <c r="F73" i="9" s="1"/>
  <c r="D73" i="9"/>
  <c r="E72" i="9"/>
  <c r="D72" i="9"/>
  <c r="F72" i="9" s="1"/>
  <c r="F71" i="9"/>
  <c r="E71" i="9"/>
  <c r="D71" i="9"/>
  <c r="E70" i="9"/>
  <c r="F70" i="9" s="1"/>
  <c r="D70" i="9"/>
  <c r="E69" i="9"/>
  <c r="F69" i="9" s="1"/>
  <c r="D69" i="9"/>
  <c r="F68" i="9"/>
  <c r="E68" i="9"/>
  <c r="D68" i="9"/>
  <c r="E67" i="9"/>
  <c r="F67" i="9" s="1"/>
  <c r="D67" i="9"/>
  <c r="E66" i="9"/>
  <c r="D66" i="9"/>
  <c r="E65" i="9"/>
  <c r="F65" i="9" s="1"/>
  <c r="D65" i="9"/>
  <c r="E64" i="9"/>
  <c r="D64" i="9"/>
  <c r="F63" i="9"/>
  <c r="E63" i="9"/>
  <c r="D63" i="9"/>
  <c r="E62" i="9"/>
  <c r="F62" i="9" s="1"/>
  <c r="D62" i="9"/>
  <c r="E61" i="9"/>
  <c r="F61" i="9" s="1"/>
  <c r="D61" i="9"/>
  <c r="E60" i="9"/>
  <c r="D60" i="9"/>
  <c r="F60" i="9" s="1"/>
  <c r="E59" i="9"/>
  <c r="F59" i="9" s="1"/>
  <c r="D59" i="9"/>
  <c r="F58" i="9"/>
  <c r="E58" i="9"/>
  <c r="D58" i="9"/>
  <c r="E57" i="9"/>
  <c r="F57" i="9" s="1"/>
  <c r="D57" i="9"/>
  <c r="F56" i="9"/>
  <c r="E56" i="9"/>
  <c r="D56" i="9"/>
  <c r="E55" i="9"/>
  <c r="F55" i="9" s="1"/>
  <c r="D55" i="9"/>
  <c r="F54" i="9"/>
  <c r="E54" i="9"/>
  <c r="D54" i="9"/>
  <c r="E53" i="9"/>
  <c r="F53" i="9" s="1"/>
  <c r="D53" i="9"/>
  <c r="E52" i="9"/>
  <c r="F52" i="9" s="1"/>
  <c r="D52" i="9"/>
  <c r="E51" i="9"/>
  <c r="D51" i="9"/>
  <c r="E50" i="9"/>
  <c r="F50" i="9" s="1"/>
  <c r="D50" i="9"/>
  <c r="E49" i="9"/>
  <c r="F49" i="9" s="1"/>
  <c r="D49" i="9"/>
  <c r="E48" i="9"/>
  <c r="F48" i="9" s="1"/>
  <c r="D48" i="9"/>
  <c r="E47" i="9"/>
  <c r="D47" i="9"/>
  <c r="F47" i="9" s="1"/>
  <c r="E46" i="9"/>
  <c r="F46" i="9" s="1"/>
  <c r="D46" i="9"/>
  <c r="E45" i="9"/>
  <c r="F45" i="9" s="1"/>
  <c r="D45" i="9"/>
  <c r="F44" i="9"/>
  <c r="E44" i="9"/>
  <c r="D44" i="9"/>
  <c r="F43" i="9"/>
  <c r="E43" i="9"/>
  <c r="D43" i="9"/>
  <c r="E42" i="9"/>
  <c r="F42" i="9" s="1"/>
  <c r="D42" i="9"/>
  <c r="E41" i="9"/>
  <c r="F41" i="9" s="1"/>
  <c r="D41" i="9"/>
  <c r="E40" i="9"/>
  <c r="D40" i="9"/>
  <c r="E39" i="9"/>
  <c r="D39" i="9"/>
  <c r="E38" i="9"/>
  <c r="D38" i="9"/>
  <c r="F38" i="9" s="1"/>
  <c r="E37" i="9"/>
  <c r="F37" i="9" s="1"/>
  <c r="D37" i="9"/>
  <c r="E36" i="9"/>
  <c r="D36" i="9"/>
  <c r="F36" i="9" s="1"/>
  <c r="F35" i="9"/>
  <c r="E35" i="9"/>
  <c r="D35" i="9"/>
  <c r="F34" i="9"/>
  <c r="E34" i="9"/>
  <c r="D34" i="9"/>
  <c r="E33" i="9"/>
  <c r="F33" i="9" s="1"/>
  <c r="D33" i="9"/>
  <c r="E32" i="9"/>
  <c r="F32" i="9" s="1"/>
  <c r="D32" i="9"/>
  <c r="F31" i="9"/>
  <c r="E31" i="9"/>
  <c r="D31" i="9"/>
  <c r="E30" i="9"/>
  <c r="F30" i="9" s="1"/>
  <c r="D30" i="9"/>
  <c r="E29" i="9"/>
  <c r="F29" i="9" s="1"/>
  <c r="D29" i="9"/>
  <c r="E28" i="9"/>
  <c r="F28" i="9" s="1"/>
  <c r="D28" i="9"/>
  <c r="E27" i="9"/>
  <c r="D27" i="9"/>
  <c r="F26" i="9"/>
  <c r="E26" i="9"/>
  <c r="D26" i="9"/>
  <c r="E25" i="9"/>
  <c r="F25" i="9" s="1"/>
  <c r="D25" i="9"/>
  <c r="E24" i="9"/>
  <c r="F24" i="9" s="1"/>
  <c r="D24" i="9"/>
  <c r="E23" i="9"/>
  <c r="D23" i="9"/>
  <c r="F23" i="9" s="1"/>
  <c r="E22" i="9"/>
  <c r="F22" i="9" s="1"/>
  <c r="D22" i="9"/>
  <c r="E21" i="9"/>
  <c r="F21" i="9" s="1"/>
  <c r="D21" i="9"/>
  <c r="E20" i="9"/>
  <c r="D20" i="9"/>
  <c r="F20" i="9" s="1"/>
  <c r="F19" i="9"/>
  <c r="E19" i="9"/>
  <c r="D19" i="9"/>
  <c r="E18" i="9"/>
  <c r="F18" i="9" s="1"/>
  <c r="D18" i="9"/>
  <c r="E17" i="9"/>
  <c r="F17" i="9" s="1"/>
  <c r="D17" i="9"/>
  <c r="F16" i="9"/>
  <c r="E16" i="9"/>
  <c r="D16" i="9"/>
  <c r="F15" i="9"/>
  <c r="E15" i="9"/>
  <c r="D15" i="9"/>
  <c r="E14" i="9"/>
  <c r="D14" i="9"/>
  <c r="E13" i="9"/>
  <c r="F13" i="9" s="1"/>
  <c r="D13" i="9"/>
  <c r="E12" i="9"/>
  <c r="D12" i="9"/>
  <c r="E11" i="9"/>
  <c r="D11" i="9"/>
  <c r="F11" i="9" s="1"/>
  <c r="E10" i="9"/>
  <c r="D10" i="9"/>
  <c r="F10" i="9" s="1"/>
  <c r="E9" i="9"/>
  <c r="F9" i="9" s="1"/>
  <c r="D9" i="9"/>
  <c r="F8" i="9"/>
  <c r="E8" i="9"/>
  <c r="D8" i="9"/>
  <c r="F7" i="9"/>
  <c r="E7" i="9"/>
  <c r="D7" i="9"/>
  <c r="E6" i="9"/>
  <c r="F6" i="9" s="1"/>
  <c r="D6" i="9"/>
  <c r="E5" i="9"/>
  <c r="F5" i="9" s="1"/>
  <c r="D5" i="9"/>
  <c r="E4" i="9"/>
  <c r="F4" i="9" s="1"/>
  <c r="D4" i="9"/>
  <c r="E3" i="9"/>
  <c r="F3" i="9" s="1"/>
  <c r="D3" i="9"/>
  <c r="E2" i="9"/>
  <c r="D2" i="9"/>
  <c r="I76" i="8"/>
  <c r="H76" i="8"/>
  <c r="G76" i="8"/>
  <c r="B76" i="8"/>
  <c r="E74" i="8"/>
  <c r="F74" i="8" s="1"/>
  <c r="D74" i="8"/>
  <c r="E73" i="8"/>
  <c r="D73" i="8"/>
  <c r="E72" i="8"/>
  <c r="F72" i="8" s="1"/>
  <c r="D72" i="8"/>
  <c r="E71" i="8"/>
  <c r="D71" i="8"/>
  <c r="E70" i="8"/>
  <c r="F70" i="8" s="1"/>
  <c r="D70" i="8"/>
  <c r="E69" i="8"/>
  <c r="D69" i="8"/>
  <c r="F69" i="8" s="1"/>
  <c r="E68" i="8"/>
  <c r="F68" i="8" s="1"/>
  <c r="D68" i="8"/>
  <c r="E67" i="8"/>
  <c r="F67" i="8" s="1"/>
  <c r="D67" i="8"/>
  <c r="F66" i="8"/>
  <c r="D66" i="8"/>
  <c r="E65" i="8"/>
  <c r="F65" i="8" s="1"/>
  <c r="D65" i="8"/>
  <c r="E64" i="8"/>
  <c r="D64" i="8"/>
  <c r="F64" i="8" s="1"/>
  <c r="E63" i="8"/>
  <c r="D63" i="8"/>
  <c r="E62" i="8"/>
  <c r="F62" i="8" s="1"/>
  <c r="D62" i="8"/>
  <c r="E61" i="8"/>
  <c r="D61" i="8"/>
  <c r="E60" i="8"/>
  <c r="D60" i="8"/>
  <c r="F60" i="8" s="1"/>
  <c r="E59" i="8"/>
  <c r="F59" i="8" s="1"/>
  <c r="D59" i="8"/>
  <c r="E58" i="8"/>
  <c r="F58" i="8" s="1"/>
  <c r="D58" i="8"/>
  <c r="F57" i="8"/>
  <c r="E57" i="8"/>
  <c r="D57" i="8"/>
  <c r="F56" i="8"/>
  <c r="E56" i="8"/>
  <c r="D56" i="8"/>
  <c r="E55" i="8"/>
  <c r="D55" i="8"/>
  <c r="E54" i="8"/>
  <c r="F54" i="8" s="1"/>
  <c r="D54" i="8"/>
  <c r="E53" i="8"/>
  <c r="F53" i="8" s="1"/>
  <c r="D53" i="8"/>
  <c r="E52" i="8"/>
  <c r="D52" i="8"/>
  <c r="F52" i="8" s="1"/>
  <c r="E51" i="8"/>
  <c r="F51" i="8" s="1"/>
  <c r="D51" i="8"/>
  <c r="E50" i="8"/>
  <c r="D50" i="8"/>
  <c r="F50" i="8" s="1"/>
  <c r="E49" i="8"/>
  <c r="D49" i="8"/>
  <c r="F49" i="8" s="1"/>
  <c r="F48" i="8"/>
  <c r="E48" i="8"/>
  <c r="D48" i="8"/>
  <c r="E47" i="8"/>
  <c r="F47" i="8" s="1"/>
  <c r="D47" i="8"/>
  <c r="E46" i="8"/>
  <c r="F46" i="8" s="1"/>
  <c r="D46" i="8"/>
  <c r="F45" i="8"/>
  <c r="E45" i="8"/>
  <c r="D45" i="8"/>
  <c r="F44" i="8"/>
  <c r="E44" i="8"/>
  <c r="D44" i="8"/>
  <c r="E43" i="8"/>
  <c r="D43" i="8"/>
  <c r="E42" i="8"/>
  <c r="D42" i="8"/>
  <c r="F42" i="8" s="1"/>
  <c r="E41" i="8"/>
  <c r="D41" i="8"/>
  <c r="F40" i="8"/>
  <c r="E40" i="8"/>
  <c r="D40" i="8"/>
  <c r="E39" i="8"/>
  <c r="F39" i="8" s="1"/>
  <c r="D39" i="8"/>
  <c r="E38" i="8"/>
  <c r="F38" i="8" s="1"/>
  <c r="D38" i="8"/>
  <c r="E37" i="8"/>
  <c r="D37" i="8"/>
  <c r="F37" i="8" s="1"/>
  <c r="E36" i="8"/>
  <c r="D36" i="8"/>
  <c r="F36" i="8" s="1"/>
  <c r="E35" i="8"/>
  <c r="F35" i="8" s="1"/>
  <c r="D35" i="8"/>
  <c r="E34" i="8"/>
  <c r="F34" i="8" s="1"/>
  <c r="D34" i="8"/>
  <c r="F33" i="8"/>
  <c r="E33" i="8"/>
  <c r="D33" i="8"/>
  <c r="F32" i="8"/>
  <c r="E32" i="8"/>
  <c r="D32" i="8"/>
  <c r="E31" i="8"/>
  <c r="D31" i="8"/>
  <c r="F30" i="8"/>
  <c r="E30" i="8"/>
  <c r="D30" i="8"/>
  <c r="F29" i="8"/>
  <c r="E29" i="8"/>
  <c r="D29" i="8"/>
  <c r="E28" i="8"/>
  <c r="D28" i="8"/>
  <c r="F28" i="8" s="1"/>
  <c r="E27" i="8"/>
  <c r="F27" i="8" s="1"/>
  <c r="D27" i="8"/>
  <c r="E26" i="8"/>
  <c r="D26" i="8"/>
  <c r="E25" i="8"/>
  <c r="F25" i="8" s="1"/>
  <c r="D25" i="8"/>
  <c r="E24" i="8"/>
  <c r="D24" i="8"/>
  <c r="F24" i="8" s="1"/>
  <c r="E23" i="8"/>
  <c r="D23" i="8"/>
  <c r="E22" i="8"/>
  <c r="F22" i="8" s="1"/>
  <c r="D22" i="8"/>
  <c r="F21" i="8"/>
  <c r="E21" i="8"/>
  <c r="D21" i="8"/>
  <c r="F20" i="8"/>
  <c r="E20" i="8"/>
  <c r="D20" i="8"/>
  <c r="E19" i="8"/>
  <c r="D19" i="8"/>
  <c r="E18" i="8"/>
  <c r="D18" i="8"/>
  <c r="F17" i="8"/>
  <c r="E17" i="8"/>
  <c r="D17" i="8"/>
  <c r="F16" i="8"/>
  <c r="E16" i="8"/>
  <c r="D16" i="8"/>
  <c r="E15" i="8"/>
  <c r="D15" i="8"/>
  <c r="E14" i="8"/>
  <c r="F14" i="8" s="1"/>
  <c r="D14" i="8"/>
  <c r="F13" i="8"/>
  <c r="E13" i="8"/>
  <c r="D13" i="8"/>
  <c r="E12" i="8"/>
  <c r="D12" i="8"/>
  <c r="F12" i="8" s="1"/>
  <c r="E11" i="8"/>
  <c r="F11" i="8" s="1"/>
  <c r="D11" i="8"/>
  <c r="E10" i="8"/>
  <c r="F10" i="8" s="1"/>
  <c r="D10" i="8"/>
  <c r="E9" i="8"/>
  <c r="F9" i="8" s="1"/>
  <c r="D9" i="8"/>
  <c r="F8" i="8"/>
  <c r="E8" i="8"/>
  <c r="D8" i="8"/>
  <c r="E7" i="8"/>
  <c r="F7" i="8" s="1"/>
  <c r="D7" i="8"/>
  <c r="E6" i="8"/>
  <c r="D6" i="8"/>
  <c r="E5" i="8"/>
  <c r="F5" i="8" s="1"/>
  <c r="D5" i="8"/>
  <c r="F4" i="8"/>
  <c r="E4" i="8"/>
  <c r="D4" i="8"/>
  <c r="E3" i="8"/>
  <c r="D3" i="8"/>
  <c r="F2" i="8"/>
  <c r="E2" i="8"/>
  <c r="D2" i="8"/>
  <c r="I76" i="7"/>
  <c r="H76" i="7"/>
  <c r="G76" i="7"/>
  <c r="B76" i="7"/>
  <c r="E74" i="7"/>
  <c r="F74" i="7" s="1"/>
  <c r="D74" i="7"/>
  <c r="E73" i="7"/>
  <c r="D73" i="7"/>
  <c r="E72" i="7"/>
  <c r="D72" i="7"/>
  <c r="F72" i="7" s="1"/>
  <c r="E71" i="7"/>
  <c r="D71" i="7"/>
  <c r="F71" i="7" s="1"/>
  <c r="E70" i="7"/>
  <c r="D70" i="7"/>
  <c r="F69" i="7"/>
  <c r="E69" i="7"/>
  <c r="D69" i="7"/>
  <c r="F68" i="7"/>
  <c r="E68" i="7"/>
  <c r="D68" i="7"/>
  <c r="F67" i="7"/>
  <c r="E67" i="7"/>
  <c r="D67" i="7"/>
  <c r="E66" i="7"/>
  <c r="D66" i="7"/>
  <c r="E65" i="7"/>
  <c r="F65" i="7" s="1"/>
  <c r="D65" i="7"/>
  <c r="E64" i="7"/>
  <c r="F64" i="7" s="1"/>
  <c r="D64" i="7"/>
  <c r="E63" i="7"/>
  <c r="D63" i="7"/>
  <c r="F63" i="7" s="1"/>
  <c r="E62" i="7"/>
  <c r="F62" i="7" s="1"/>
  <c r="D62" i="7"/>
  <c r="E61" i="7"/>
  <c r="F61" i="7" s="1"/>
  <c r="D61" i="7"/>
  <c r="E60" i="7"/>
  <c r="D60" i="7"/>
  <c r="E59" i="7"/>
  <c r="D59" i="7"/>
  <c r="F59" i="7" s="1"/>
  <c r="E58" i="7"/>
  <c r="D58" i="7"/>
  <c r="F57" i="7"/>
  <c r="E57" i="7"/>
  <c r="D57" i="7"/>
  <c r="F56" i="7"/>
  <c r="E56" i="7"/>
  <c r="D56" i="7"/>
  <c r="F55" i="7"/>
  <c r="E55" i="7"/>
  <c r="D55" i="7"/>
  <c r="E54" i="7"/>
  <c r="F54" i="7" s="1"/>
  <c r="D54" i="7"/>
  <c r="E53" i="7"/>
  <c r="F53" i="7" s="1"/>
  <c r="D53" i="7"/>
  <c r="F52" i="7"/>
  <c r="E52" i="7"/>
  <c r="D52" i="7"/>
  <c r="F51" i="7"/>
  <c r="E51" i="7"/>
  <c r="D51" i="7"/>
  <c r="E50" i="7"/>
  <c r="D50" i="7"/>
  <c r="E49" i="7"/>
  <c r="D49" i="7"/>
  <c r="F48" i="7"/>
  <c r="E48" i="7"/>
  <c r="D48" i="7"/>
  <c r="E47" i="7"/>
  <c r="D47" i="7"/>
  <c r="F47" i="7" s="1"/>
  <c r="E46" i="7"/>
  <c r="F46" i="7" s="1"/>
  <c r="D46" i="7"/>
  <c r="F45" i="7"/>
  <c r="E45" i="7"/>
  <c r="D45" i="7"/>
  <c r="E44" i="7"/>
  <c r="D44" i="7"/>
  <c r="F43" i="7"/>
  <c r="E43" i="7"/>
  <c r="D43" i="7"/>
  <c r="E42" i="7"/>
  <c r="F42" i="7" s="1"/>
  <c r="D42" i="7"/>
  <c r="E41" i="7"/>
  <c r="D41" i="7"/>
  <c r="E40" i="7"/>
  <c r="D40" i="7"/>
  <c r="F40" i="7" s="1"/>
  <c r="F39" i="7"/>
  <c r="E39" i="7"/>
  <c r="D39" i="7"/>
  <c r="E38" i="7"/>
  <c r="D38" i="7"/>
  <c r="E37" i="7"/>
  <c r="D37" i="7"/>
  <c r="F37" i="7" s="1"/>
  <c r="E36" i="7"/>
  <c r="F36" i="7" s="1"/>
  <c r="D36" i="7"/>
  <c r="E35" i="7"/>
  <c r="D35" i="7"/>
  <c r="F35" i="7" s="1"/>
  <c r="E34" i="7"/>
  <c r="D34" i="7"/>
  <c r="F33" i="7"/>
  <c r="E33" i="7"/>
  <c r="D33" i="7"/>
  <c r="E32" i="7"/>
  <c r="F32" i="7" s="1"/>
  <c r="D32" i="7"/>
  <c r="E31" i="7"/>
  <c r="D31" i="7"/>
  <c r="F31" i="7" s="1"/>
  <c r="E30" i="7"/>
  <c r="F30" i="7" s="1"/>
  <c r="D30" i="7"/>
  <c r="E29" i="7"/>
  <c r="F29" i="7" s="1"/>
  <c r="D29" i="7"/>
  <c r="E28" i="7"/>
  <c r="D28" i="7"/>
  <c r="E27" i="7"/>
  <c r="D27" i="7"/>
  <c r="F27" i="7" s="1"/>
  <c r="E26" i="7"/>
  <c r="F26" i="7" s="1"/>
  <c r="D26" i="7"/>
  <c r="E25" i="7"/>
  <c r="D25" i="7"/>
  <c r="E24" i="7"/>
  <c r="D24" i="7"/>
  <c r="F24" i="7" s="1"/>
  <c r="E23" i="7"/>
  <c r="D23" i="7"/>
  <c r="F23" i="7" s="1"/>
  <c r="E22" i="7"/>
  <c r="D22" i="7"/>
  <c r="F21" i="7"/>
  <c r="E21" i="7"/>
  <c r="D21" i="7"/>
  <c r="F20" i="7"/>
  <c r="E20" i="7"/>
  <c r="D20" i="7"/>
  <c r="E19" i="7"/>
  <c r="D19" i="7"/>
  <c r="F19" i="7" s="1"/>
  <c r="E18" i="7"/>
  <c r="D18" i="7"/>
  <c r="E17" i="7"/>
  <c r="F17" i="7" s="1"/>
  <c r="D17" i="7"/>
  <c r="E16" i="7"/>
  <c r="F16" i="7" s="1"/>
  <c r="D16" i="7"/>
  <c r="E15" i="7"/>
  <c r="D15" i="7"/>
  <c r="F15" i="7" s="1"/>
  <c r="E14" i="7"/>
  <c r="F14" i="7" s="1"/>
  <c r="D14" i="7"/>
  <c r="E13" i="7"/>
  <c r="F13" i="7" s="1"/>
  <c r="D13" i="7"/>
  <c r="E12" i="7"/>
  <c r="D12" i="7"/>
  <c r="E11" i="7"/>
  <c r="D11" i="7"/>
  <c r="F11" i="7" s="1"/>
  <c r="E10" i="7"/>
  <c r="D10" i="7"/>
  <c r="F9" i="7"/>
  <c r="E9" i="7"/>
  <c r="D9" i="7"/>
  <c r="F8" i="7"/>
  <c r="E8" i="7"/>
  <c r="D8" i="7"/>
  <c r="F7" i="7"/>
  <c r="E7" i="7"/>
  <c r="D7" i="7"/>
  <c r="E6" i="7"/>
  <c r="D6" i="7"/>
  <c r="F5" i="7"/>
  <c r="E5" i="7"/>
  <c r="D5" i="7"/>
  <c r="E4" i="7"/>
  <c r="F4" i="7" s="1"/>
  <c r="D4" i="7"/>
  <c r="F3" i="7"/>
  <c r="E3" i="7"/>
  <c r="D3" i="7"/>
  <c r="E2" i="7"/>
  <c r="D2" i="7"/>
  <c r="I76" i="6"/>
  <c r="H76" i="6"/>
  <c r="G76" i="6"/>
  <c r="B76" i="6"/>
  <c r="E74" i="6"/>
  <c r="D74" i="6"/>
  <c r="F74" i="6" s="1"/>
  <c r="E73" i="6"/>
  <c r="F73" i="6" s="1"/>
  <c r="D73" i="6"/>
  <c r="E72" i="6"/>
  <c r="F72" i="6" s="1"/>
  <c r="D72" i="6"/>
  <c r="E71" i="6"/>
  <c r="F71" i="6" s="1"/>
  <c r="D71" i="6"/>
  <c r="F70" i="6"/>
  <c r="E70" i="6"/>
  <c r="D70" i="6"/>
  <c r="E69" i="6"/>
  <c r="F69" i="6" s="1"/>
  <c r="D69" i="6"/>
  <c r="E68" i="6"/>
  <c r="F68" i="6" s="1"/>
  <c r="D68" i="6"/>
  <c r="E67" i="6"/>
  <c r="D67" i="6"/>
  <c r="F66" i="6"/>
  <c r="E66" i="6"/>
  <c r="D66" i="6"/>
  <c r="E65" i="6"/>
  <c r="D65" i="6"/>
  <c r="E64" i="6"/>
  <c r="D64" i="6"/>
  <c r="F64" i="6" s="1"/>
  <c r="F63" i="6"/>
  <c r="E63" i="6"/>
  <c r="D63" i="6"/>
  <c r="E62" i="6"/>
  <c r="D62" i="6"/>
  <c r="F62" i="6" s="1"/>
  <c r="E61" i="6"/>
  <c r="D61" i="6"/>
  <c r="F60" i="6"/>
  <c r="E60" i="6"/>
  <c r="D60" i="6"/>
  <c r="E59" i="6"/>
  <c r="F59" i="6" s="1"/>
  <c r="D59" i="6"/>
  <c r="E58" i="6"/>
  <c r="D58" i="6"/>
  <c r="F58" i="6" s="1"/>
  <c r="E57" i="6"/>
  <c r="F57" i="6" s="1"/>
  <c r="D57" i="6"/>
  <c r="E56" i="6"/>
  <c r="F56" i="6" s="1"/>
  <c r="D56" i="6"/>
  <c r="E55" i="6"/>
  <c r="D55" i="6"/>
  <c r="F54" i="6"/>
  <c r="E54" i="6"/>
  <c r="D54" i="6"/>
  <c r="E53" i="6"/>
  <c r="D53" i="6"/>
  <c r="E52" i="6"/>
  <c r="D52" i="6"/>
  <c r="E51" i="6"/>
  <c r="D51" i="6"/>
  <c r="F51" i="6" s="1"/>
  <c r="E50" i="6"/>
  <c r="D50" i="6"/>
  <c r="F50" i="6" s="1"/>
  <c r="E49" i="6"/>
  <c r="D49" i="6"/>
  <c r="F48" i="6"/>
  <c r="E48" i="6"/>
  <c r="D48" i="6"/>
  <c r="F47" i="6"/>
  <c r="E47" i="6"/>
  <c r="D47" i="6"/>
  <c r="E46" i="6"/>
  <c r="D46" i="6"/>
  <c r="F46" i="6" s="1"/>
  <c r="E45" i="6"/>
  <c r="D45" i="6"/>
  <c r="F44" i="6"/>
  <c r="E44" i="6"/>
  <c r="D44" i="6"/>
  <c r="E43" i="6"/>
  <c r="F43" i="6" s="1"/>
  <c r="D43" i="6"/>
  <c r="E42" i="6"/>
  <c r="D42" i="6"/>
  <c r="F42" i="6" s="1"/>
  <c r="E41" i="6"/>
  <c r="D41" i="6"/>
  <c r="E40" i="6"/>
  <c r="F40" i="6" s="1"/>
  <c r="D40" i="6"/>
  <c r="E39" i="6"/>
  <c r="F39" i="6" s="1"/>
  <c r="D39" i="6"/>
  <c r="E38" i="6"/>
  <c r="D38" i="6"/>
  <c r="F38" i="6" s="1"/>
  <c r="E37" i="6"/>
  <c r="F37" i="6" s="1"/>
  <c r="D37" i="6"/>
  <c r="E36" i="6"/>
  <c r="D36" i="6"/>
  <c r="F36" i="6" s="1"/>
  <c r="F35" i="6"/>
  <c r="E35" i="6"/>
  <c r="D35" i="6"/>
  <c r="F34" i="6"/>
  <c r="E34" i="6"/>
  <c r="D34" i="6"/>
  <c r="E33" i="6"/>
  <c r="D33" i="6"/>
  <c r="F32" i="6"/>
  <c r="E32" i="6"/>
  <c r="D32" i="6"/>
  <c r="E31" i="6"/>
  <c r="F31" i="6" s="1"/>
  <c r="D31" i="6"/>
  <c r="F30" i="6"/>
  <c r="E30" i="6"/>
  <c r="D30" i="6"/>
  <c r="E29" i="6"/>
  <c r="D29" i="6"/>
  <c r="E28" i="6"/>
  <c r="F28" i="6" s="1"/>
  <c r="D28" i="6"/>
  <c r="E27" i="6"/>
  <c r="F27" i="6" s="1"/>
  <c r="D27" i="6"/>
  <c r="E26" i="6"/>
  <c r="D26" i="6"/>
  <c r="F26" i="6" s="1"/>
  <c r="E25" i="6"/>
  <c r="F25" i="6" s="1"/>
  <c r="D25" i="6"/>
  <c r="E24" i="6"/>
  <c r="D24" i="6"/>
  <c r="F23" i="6"/>
  <c r="E23" i="6"/>
  <c r="D23" i="6"/>
  <c r="F22" i="6"/>
  <c r="E22" i="6"/>
  <c r="D22" i="6"/>
  <c r="E21" i="6"/>
  <c r="F21" i="6" s="1"/>
  <c r="D21" i="6"/>
  <c r="E20" i="6"/>
  <c r="D20" i="6"/>
  <c r="E19" i="6"/>
  <c r="D19" i="6"/>
  <c r="F18" i="6"/>
  <c r="E18" i="6"/>
  <c r="D18" i="6"/>
  <c r="E17" i="6"/>
  <c r="D17" i="6"/>
  <c r="E16" i="6"/>
  <c r="D16" i="6"/>
  <c r="F16" i="6" s="1"/>
  <c r="E15" i="6"/>
  <c r="F15" i="6" s="1"/>
  <c r="D15" i="6"/>
  <c r="F14" i="6"/>
  <c r="E14" i="6"/>
  <c r="D14" i="6"/>
  <c r="E13" i="6"/>
  <c r="D13" i="6"/>
  <c r="F12" i="6"/>
  <c r="E12" i="6"/>
  <c r="D12" i="6"/>
  <c r="F11" i="6"/>
  <c r="E11" i="6"/>
  <c r="D11" i="6"/>
  <c r="E10" i="6"/>
  <c r="D10" i="6"/>
  <c r="F10" i="6" s="1"/>
  <c r="E9" i="6"/>
  <c r="F9" i="6" s="1"/>
  <c r="D9" i="6"/>
  <c r="E8" i="6"/>
  <c r="F8" i="6" s="1"/>
  <c r="D8" i="6"/>
  <c r="E7" i="6"/>
  <c r="D7" i="6"/>
  <c r="F6" i="6"/>
  <c r="E6" i="6"/>
  <c r="D6" i="6"/>
  <c r="E5" i="6"/>
  <c r="D5" i="6"/>
  <c r="E4" i="6"/>
  <c r="F4" i="6" s="1"/>
  <c r="D4" i="6"/>
  <c r="E3" i="6"/>
  <c r="D3" i="6"/>
  <c r="F3" i="6" s="1"/>
  <c r="E2" i="6"/>
  <c r="D2" i="6"/>
  <c r="I76" i="5"/>
  <c r="H76" i="5"/>
  <c r="G76" i="5"/>
  <c r="B76" i="5"/>
  <c r="E74" i="5"/>
  <c r="D74" i="5"/>
  <c r="F74" i="5" s="1"/>
  <c r="E73" i="5"/>
  <c r="D73" i="5"/>
  <c r="F73" i="5" s="1"/>
  <c r="E72" i="5"/>
  <c r="D72" i="5"/>
  <c r="F71" i="5"/>
  <c r="E71" i="5"/>
  <c r="D71" i="5"/>
  <c r="F70" i="5"/>
  <c r="E70" i="5"/>
  <c r="D70" i="5"/>
  <c r="F69" i="5"/>
  <c r="E69" i="5"/>
  <c r="D69" i="5"/>
  <c r="E68" i="5"/>
  <c r="D68" i="5"/>
  <c r="E67" i="5"/>
  <c r="F67" i="5" s="1"/>
  <c r="D67" i="5"/>
  <c r="E66" i="5"/>
  <c r="F66" i="5" s="1"/>
  <c r="D66" i="5"/>
  <c r="E65" i="5"/>
  <c r="D65" i="5"/>
  <c r="F65" i="5" s="1"/>
  <c r="E64" i="5"/>
  <c r="F64" i="5" s="1"/>
  <c r="D64" i="5"/>
  <c r="E63" i="5"/>
  <c r="F63" i="5" s="1"/>
  <c r="D63" i="5"/>
  <c r="E62" i="5"/>
  <c r="D62" i="5"/>
  <c r="E61" i="5"/>
  <c r="D61" i="5"/>
  <c r="F61" i="5" s="1"/>
  <c r="E60" i="5"/>
  <c r="D60" i="5"/>
  <c r="E59" i="5"/>
  <c r="F59" i="5" s="1"/>
  <c r="D59" i="5"/>
  <c r="F58" i="5"/>
  <c r="E58" i="5"/>
  <c r="D58" i="5"/>
  <c r="F57" i="5"/>
  <c r="E57" i="5"/>
  <c r="D57" i="5"/>
  <c r="E56" i="5"/>
  <c r="D56" i="5"/>
  <c r="E55" i="5"/>
  <c r="F55" i="5" s="1"/>
  <c r="D55" i="5"/>
  <c r="F54" i="5"/>
  <c r="E54" i="5"/>
  <c r="D54" i="5"/>
  <c r="F53" i="5"/>
  <c r="E53" i="5"/>
  <c r="D53" i="5"/>
  <c r="E52" i="5"/>
  <c r="D52" i="5"/>
  <c r="E51" i="5"/>
  <c r="D51" i="5"/>
  <c r="F50" i="5"/>
  <c r="E50" i="5"/>
  <c r="D50" i="5"/>
  <c r="E49" i="5"/>
  <c r="D49" i="5"/>
  <c r="F49" i="5" s="1"/>
  <c r="E48" i="5"/>
  <c r="F48" i="5" s="1"/>
  <c r="D48" i="5"/>
  <c r="F47" i="5"/>
  <c r="E47" i="5"/>
  <c r="D47" i="5"/>
  <c r="E46" i="5"/>
  <c r="D46" i="5"/>
  <c r="F45" i="5"/>
  <c r="E45" i="5"/>
  <c r="D45" i="5"/>
  <c r="E44" i="5"/>
  <c r="F44" i="5" s="1"/>
  <c r="D44" i="5"/>
  <c r="E43" i="5"/>
  <c r="D43" i="5"/>
  <c r="E42" i="5"/>
  <c r="F42" i="5" s="1"/>
  <c r="D42" i="5"/>
  <c r="F41" i="5"/>
  <c r="E41" i="5"/>
  <c r="D41" i="5"/>
  <c r="E40" i="5"/>
  <c r="D40" i="5"/>
  <c r="E39" i="5"/>
  <c r="D39" i="5"/>
  <c r="F39" i="5" s="1"/>
  <c r="E38" i="5"/>
  <c r="F38" i="5" s="1"/>
  <c r="D38" i="5"/>
  <c r="E37" i="5"/>
  <c r="D37" i="5"/>
  <c r="F37" i="5" s="1"/>
  <c r="E36" i="5"/>
  <c r="D36" i="5"/>
  <c r="F35" i="5"/>
  <c r="E35" i="5"/>
  <c r="D35" i="5"/>
  <c r="E34" i="5"/>
  <c r="D34" i="5"/>
  <c r="E33" i="5"/>
  <c r="D33" i="5"/>
  <c r="F33" i="5" s="1"/>
  <c r="E32" i="5"/>
  <c r="F32" i="5" s="1"/>
  <c r="D32" i="5"/>
  <c r="E31" i="5"/>
  <c r="F31" i="5" s="1"/>
  <c r="D31" i="5"/>
  <c r="E30" i="5"/>
  <c r="D30" i="5"/>
  <c r="E29" i="5"/>
  <c r="D29" i="5"/>
  <c r="F29" i="5" s="1"/>
  <c r="E28" i="5"/>
  <c r="D28" i="5"/>
  <c r="E27" i="5"/>
  <c r="D27" i="5"/>
  <c r="E26" i="5"/>
  <c r="D26" i="5"/>
  <c r="F26" i="5" s="1"/>
  <c r="E25" i="5"/>
  <c r="D25" i="5"/>
  <c r="F25" i="5" s="1"/>
  <c r="E24" i="5"/>
  <c r="D24" i="5"/>
  <c r="F23" i="5"/>
  <c r="E23" i="5"/>
  <c r="D23" i="5"/>
  <c r="F22" i="5"/>
  <c r="E22" i="5"/>
  <c r="D22" i="5"/>
  <c r="E21" i="5"/>
  <c r="D21" i="5"/>
  <c r="F21" i="5" s="1"/>
  <c r="E20" i="5"/>
  <c r="D20" i="5"/>
  <c r="E19" i="5"/>
  <c r="F19" i="5" s="1"/>
  <c r="D19" i="5"/>
  <c r="E18" i="5"/>
  <c r="F18" i="5" s="1"/>
  <c r="D18" i="5"/>
  <c r="E17" i="5"/>
  <c r="D17" i="5"/>
  <c r="F17" i="5" s="1"/>
  <c r="E16" i="5"/>
  <c r="F16" i="5" s="1"/>
  <c r="D16" i="5"/>
  <c r="E15" i="5"/>
  <c r="F15" i="5" s="1"/>
  <c r="D15" i="5"/>
  <c r="E14" i="5"/>
  <c r="D14" i="5"/>
  <c r="E13" i="5"/>
  <c r="D13" i="5"/>
  <c r="F13" i="5" s="1"/>
  <c r="E12" i="5"/>
  <c r="D12" i="5"/>
  <c r="F11" i="5"/>
  <c r="E11" i="5"/>
  <c r="D11" i="5"/>
  <c r="E10" i="5"/>
  <c r="D10" i="5"/>
  <c r="F10" i="5" s="1"/>
  <c r="F9" i="5"/>
  <c r="E9" i="5"/>
  <c r="D9" i="5"/>
  <c r="E8" i="5"/>
  <c r="D8" i="5"/>
  <c r="F7" i="5"/>
  <c r="E7" i="5"/>
  <c r="D7" i="5"/>
  <c r="E6" i="5"/>
  <c r="F6" i="5" s="1"/>
  <c r="D6" i="5"/>
  <c r="F5" i="5"/>
  <c r="E5" i="5"/>
  <c r="D5" i="5"/>
  <c r="E4" i="5"/>
  <c r="D4" i="5"/>
  <c r="E3" i="5"/>
  <c r="D3" i="5"/>
  <c r="E2" i="5"/>
  <c r="D2" i="5"/>
  <c r="I76" i="4"/>
  <c r="H76" i="4"/>
  <c r="G76" i="4"/>
  <c r="B76" i="4"/>
  <c r="E74" i="4"/>
  <c r="F74" i="4" s="1"/>
  <c r="D74" i="4"/>
  <c r="E73" i="4"/>
  <c r="F73" i="4" s="1"/>
  <c r="D73" i="4"/>
  <c r="E72" i="4"/>
  <c r="D72" i="4"/>
  <c r="F72" i="4" s="1"/>
  <c r="E71" i="4"/>
  <c r="F71" i="4" s="1"/>
  <c r="D71" i="4"/>
  <c r="E70" i="4"/>
  <c r="F70" i="4" s="1"/>
  <c r="D70" i="4"/>
  <c r="E69" i="4"/>
  <c r="F69" i="4" s="1"/>
  <c r="D69" i="4"/>
  <c r="F68" i="4"/>
  <c r="E68" i="4"/>
  <c r="D68" i="4"/>
  <c r="E67" i="4"/>
  <c r="F67" i="4" s="1"/>
  <c r="D67" i="4"/>
  <c r="E66" i="4"/>
  <c r="D66" i="4"/>
  <c r="E65" i="4"/>
  <c r="F65" i="4" s="1"/>
  <c r="D65" i="4"/>
  <c r="F64" i="4"/>
  <c r="E64" i="4"/>
  <c r="D64" i="4"/>
  <c r="E63" i="4"/>
  <c r="F63" i="4" s="1"/>
  <c r="D63" i="4"/>
  <c r="E62" i="4"/>
  <c r="D62" i="4"/>
  <c r="F61" i="4"/>
  <c r="E61" i="4"/>
  <c r="D61" i="4"/>
  <c r="F60" i="4"/>
  <c r="E60" i="4"/>
  <c r="D60" i="4"/>
  <c r="F59" i="4"/>
  <c r="E59" i="4"/>
  <c r="D59" i="4"/>
  <c r="E58" i="4"/>
  <c r="D58" i="4"/>
  <c r="E57" i="4"/>
  <c r="F57" i="4" s="1"/>
  <c r="D57" i="4"/>
  <c r="F56" i="4"/>
  <c r="E56" i="4"/>
  <c r="D56" i="4"/>
  <c r="F55" i="4"/>
  <c r="E55" i="4"/>
  <c r="D55" i="4"/>
  <c r="E54" i="4"/>
  <c r="D54" i="4"/>
  <c r="E53" i="4"/>
  <c r="D53" i="4"/>
  <c r="F52" i="4"/>
  <c r="E52" i="4"/>
  <c r="D52" i="4"/>
  <c r="F51" i="4"/>
  <c r="E51" i="4"/>
  <c r="D51" i="4"/>
  <c r="E50" i="4"/>
  <c r="D50" i="4"/>
  <c r="E49" i="4"/>
  <c r="F49" i="4" s="1"/>
  <c r="D49" i="4"/>
  <c r="F48" i="4"/>
  <c r="E48" i="4"/>
  <c r="D48" i="4"/>
  <c r="E47" i="4"/>
  <c r="F47" i="4" s="1"/>
  <c r="D47" i="4"/>
  <c r="E46" i="4"/>
  <c r="F46" i="4" s="1"/>
  <c r="D46" i="4"/>
  <c r="E45" i="4"/>
  <c r="F45" i="4" s="1"/>
  <c r="D45" i="4"/>
  <c r="F44" i="4"/>
  <c r="E44" i="4"/>
  <c r="D44" i="4"/>
  <c r="E43" i="4"/>
  <c r="F43" i="4" s="1"/>
  <c r="D43" i="4"/>
  <c r="E42" i="4"/>
  <c r="F42" i="4" s="1"/>
  <c r="D42" i="4"/>
  <c r="E41" i="4"/>
  <c r="F41" i="4" s="1"/>
  <c r="D41" i="4"/>
  <c r="F40" i="4"/>
  <c r="E40" i="4"/>
  <c r="D40" i="4"/>
  <c r="E39" i="4"/>
  <c r="F39" i="4" s="1"/>
  <c r="D39" i="4"/>
  <c r="E38" i="4"/>
  <c r="D38" i="4"/>
  <c r="E37" i="4"/>
  <c r="D37" i="4"/>
  <c r="F37" i="4" s="1"/>
  <c r="F36" i="4"/>
  <c r="E36" i="4"/>
  <c r="D36" i="4"/>
  <c r="F35" i="4"/>
  <c r="E35" i="4"/>
  <c r="D35" i="4"/>
  <c r="E34" i="4"/>
  <c r="D34" i="4"/>
  <c r="F33" i="4"/>
  <c r="E33" i="4"/>
  <c r="D33" i="4"/>
  <c r="F32" i="4"/>
  <c r="E32" i="4"/>
  <c r="D32" i="4"/>
  <c r="E31" i="4"/>
  <c r="F31" i="4" s="1"/>
  <c r="D31" i="4"/>
  <c r="E30" i="4"/>
  <c r="D30" i="4"/>
  <c r="F29" i="4"/>
  <c r="E29" i="4"/>
  <c r="D29" i="4"/>
  <c r="F28" i="4"/>
  <c r="E28" i="4"/>
  <c r="D28" i="4"/>
  <c r="E27" i="4"/>
  <c r="F27" i="4" s="1"/>
  <c r="D27" i="4"/>
  <c r="E26" i="4"/>
  <c r="D26" i="4"/>
  <c r="E25" i="4"/>
  <c r="D25" i="4"/>
  <c r="F24" i="4"/>
  <c r="E24" i="4"/>
  <c r="D24" i="4"/>
  <c r="E23" i="4"/>
  <c r="F23" i="4" s="1"/>
  <c r="D23" i="4"/>
  <c r="E22" i="4"/>
  <c r="F22" i="4" s="1"/>
  <c r="D22" i="4"/>
  <c r="E21" i="4"/>
  <c r="F21" i="4" s="1"/>
  <c r="D21" i="4"/>
  <c r="F20" i="4"/>
  <c r="E20" i="4"/>
  <c r="D20" i="4"/>
  <c r="E19" i="4"/>
  <c r="F19" i="4" s="1"/>
  <c r="D19" i="4"/>
  <c r="E18" i="4"/>
  <c r="D18" i="4"/>
  <c r="E17" i="4"/>
  <c r="F17" i="4" s="1"/>
  <c r="D17" i="4"/>
  <c r="F16" i="4"/>
  <c r="E16" i="4"/>
  <c r="D16" i="4"/>
  <c r="E15" i="4"/>
  <c r="F15" i="4" s="1"/>
  <c r="D15" i="4"/>
  <c r="E14" i="4"/>
  <c r="D14" i="4"/>
  <c r="F13" i="4"/>
  <c r="E13" i="4"/>
  <c r="D13" i="4"/>
  <c r="F12" i="4"/>
  <c r="E12" i="4"/>
  <c r="D12" i="4"/>
  <c r="F11" i="4"/>
  <c r="E11" i="4"/>
  <c r="D11" i="4"/>
  <c r="E10" i="4"/>
  <c r="D10" i="4"/>
  <c r="E9" i="4"/>
  <c r="F9" i="4" s="1"/>
  <c r="D9" i="4"/>
  <c r="F8" i="4"/>
  <c r="E8" i="4"/>
  <c r="D8" i="4"/>
  <c r="F7" i="4"/>
  <c r="E7" i="4"/>
  <c r="D7" i="4"/>
  <c r="E6" i="4"/>
  <c r="D6" i="4"/>
  <c r="E5" i="4"/>
  <c r="D5" i="4"/>
  <c r="F4" i="4"/>
  <c r="E4" i="4"/>
  <c r="D4" i="4"/>
  <c r="E3" i="4"/>
  <c r="F3" i="4" s="1"/>
  <c r="D3" i="4"/>
  <c r="E2" i="4"/>
  <c r="D2" i="4"/>
  <c r="D76" i="4" s="1"/>
  <c r="I76" i="3"/>
  <c r="H76" i="3"/>
  <c r="G76" i="3"/>
  <c r="B76" i="3"/>
  <c r="E74" i="3"/>
  <c r="D74" i="3"/>
  <c r="E73" i="3"/>
  <c r="D73" i="3"/>
  <c r="F73" i="3" s="1"/>
  <c r="E72" i="3"/>
  <c r="D72" i="3"/>
  <c r="F72" i="3" s="1"/>
  <c r="E71" i="3"/>
  <c r="D71" i="3"/>
  <c r="F71" i="3" s="1"/>
  <c r="E70" i="3"/>
  <c r="F70" i="3" s="1"/>
  <c r="D70" i="3"/>
  <c r="E69" i="3"/>
  <c r="D69" i="3"/>
  <c r="F69" i="3" s="1"/>
  <c r="E68" i="3"/>
  <c r="F68" i="3" s="1"/>
  <c r="D68" i="3"/>
  <c r="E67" i="3"/>
  <c r="D67" i="3"/>
  <c r="F67" i="3" s="1"/>
  <c r="E66" i="3"/>
  <c r="D66" i="3"/>
  <c r="E65" i="3"/>
  <c r="D65" i="3"/>
  <c r="F65" i="3" s="1"/>
  <c r="E64" i="3"/>
  <c r="D64" i="3"/>
  <c r="F63" i="3"/>
  <c r="E63" i="3"/>
  <c r="D63" i="3"/>
  <c r="E62" i="3"/>
  <c r="D62" i="3"/>
  <c r="E61" i="3"/>
  <c r="D61" i="3"/>
  <c r="F61" i="3" s="1"/>
  <c r="F60" i="3"/>
  <c r="E60" i="3"/>
  <c r="D60" i="3"/>
  <c r="E59" i="3"/>
  <c r="D59" i="3"/>
  <c r="F59" i="3" s="1"/>
  <c r="E58" i="3"/>
  <c r="F58" i="3" s="1"/>
  <c r="D58" i="3"/>
  <c r="E57" i="3"/>
  <c r="D57" i="3"/>
  <c r="F57" i="3" s="1"/>
  <c r="E56" i="3"/>
  <c r="F56" i="3" s="1"/>
  <c r="D56" i="3"/>
  <c r="E55" i="3"/>
  <c r="D55" i="3"/>
  <c r="F55" i="3" s="1"/>
  <c r="E54" i="3"/>
  <c r="F54" i="3" s="1"/>
  <c r="D54" i="3"/>
  <c r="E53" i="3"/>
  <c r="D53" i="3"/>
  <c r="F53" i="3" s="1"/>
  <c r="E52" i="3"/>
  <c r="F52" i="3" s="1"/>
  <c r="D52" i="3"/>
  <c r="F51" i="3"/>
  <c r="E51" i="3"/>
  <c r="D51" i="3"/>
  <c r="E50" i="3"/>
  <c r="D50" i="3"/>
  <c r="E49" i="3"/>
  <c r="D49" i="3"/>
  <c r="F49" i="3" s="1"/>
  <c r="E48" i="3"/>
  <c r="D48" i="3"/>
  <c r="F48" i="3" s="1"/>
  <c r="E47" i="3"/>
  <c r="D47" i="3"/>
  <c r="F47" i="3" s="1"/>
  <c r="E46" i="3"/>
  <c r="F46" i="3" s="1"/>
  <c r="D46" i="3"/>
  <c r="E45" i="3"/>
  <c r="D45" i="3"/>
  <c r="F45" i="3" s="1"/>
  <c r="E44" i="3"/>
  <c r="F44" i="3" s="1"/>
  <c r="D44" i="3"/>
  <c r="E43" i="3"/>
  <c r="D43" i="3"/>
  <c r="F43" i="3" s="1"/>
  <c r="E42" i="3"/>
  <c r="D42" i="3"/>
  <c r="E41" i="3"/>
  <c r="D41" i="3"/>
  <c r="F41" i="3" s="1"/>
  <c r="E40" i="3"/>
  <c r="D40" i="3"/>
  <c r="F39" i="3"/>
  <c r="E39" i="3"/>
  <c r="D39" i="3"/>
  <c r="E38" i="3"/>
  <c r="D38" i="3"/>
  <c r="E37" i="3"/>
  <c r="D37" i="3"/>
  <c r="F37" i="3" s="1"/>
  <c r="F36" i="3"/>
  <c r="E36" i="3"/>
  <c r="D36" i="3"/>
  <c r="E35" i="3"/>
  <c r="D35" i="3"/>
  <c r="F35" i="3" s="1"/>
  <c r="E34" i="3"/>
  <c r="F34" i="3" s="1"/>
  <c r="D34" i="3"/>
  <c r="E33" i="3"/>
  <c r="D33" i="3"/>
  <c r="F33" i="3" s="1"/>
  <c r="E32" i="3"/>
  <c r="F32" i="3" s="1"/>
  <c r="D32" i="3"/>
  <c r="E31" i="3"/>
  <c r="D31" i="3"/>
  <c r="F31" i="3" s="1"/>
  <c r="E30" i="3"/>
  <c r="F30" i="3" s="1"/>
  <c r="D30" i="3"/>
  <c r="E29" i="3"/>
  <c r="D29" i="3"/>
  <c r="F29" i="3" s="1"/>
  <c r="E28" i="3"/>
  <c r="F28" i="3" s="1"/>
  <c r="D28" i="3"/>
  <c r="F27" i="3"/>
  <c r="E27" i="3"/>
  <c r="D27" i="3"/>
  <c r="E26" i="3"/>
  <c r="D26" i="3"/>
  <c r="E25" i="3"/>
  <c r="D25" i="3"/>
  <c r="F25" i="3" s="1"/>
  <c r="E24" i="3"/>
  <c r="D24" i="3"/>
  <c r="F24" i="3" s="1"/>
  <c r="E23" i="3"/>
  <c r="D23" i="3"/>
  <c r="F23" i="3" s="1"/>
  <c r="E22" i="3"/>
  <c r="F22" i="3" s="1"/>
  <c r="D22" i="3"/>
  <c r="E21" i="3"/>
  <c r="D21" i="3"/>
  <c r="F21" i="3" s="1"/>
  <c r="E20" i="3"/>
  <c r="F20" i="3" s="1"/>
  <c r="D20" i="3"/>
  <c r="E19" i="3"/>
  <c r="D19" i="3"/>
  <c r="F19" i="3" s="1"/>
  <c r="E18" i="3"/>
  <c r="D18" i="3"/>
  <c r="E17" i="3"/>
  <c r="D17" i="3"/>
  <c r="F17" i="3" s="1"/>
  <c r="E16" i="3"/>
  <c r="D16" i="3"/>
  <c r="F15" i="3"/>
  <c r="E15" i="3"/>
  <c r="D15" i="3"/>
  <c r="E14" i="3"/>
  <c r="D14" i="3"/>
  <c r="E13" i="3"/>
  <c r="D13" i="3"/>
  <c r="F13" i="3" s="1"/>
  <c r="F12" i="3"/>
  <c r="E12" i="3"/>
  <c r="D12" i="3"/>
  <c r="E11" i="3"/>
  <c r="D11" i="3"/>
  <c r="F11" i="3" s="1"/>
  <c r="E10" i="3"/>
  <c r="F10" i="3" s="1"/>
  <c r="D10" i="3"/>
  <c r="E9" i="3"/>
  <c r="D9" i="3"/>
  <c r="F9" i="3" s="1"/>
  <c r="E8" i="3"/>
  <c r="F8" i="3" s="1"/>
  <c r="D8" i="3"/>
  <c r="E7" i="3"/>
  <c r="D7" i="3"/>
  <c r="F7" i="3" s="1"/>
  <c r="E6" i="3"/>
  <c r="F6" i="3" s="1"/>
  <c r="D6" i="3"/>
  <c r="E5" i="3"/>
  <c r="D5" i="3"/>
  <c r="F5" i="3" s="1"/>
  <c r="E4" i="3"/>
  <c r="F4" i="3" s="1"/>
  <c r="D4" i="3"/>
  <c r="F3" i="3"/>
  <c r="E3" i="3"/>
  <c r="D3" i="3"/>
  <c r="E2" i="3"/>
  <c r="D2" i="3"/>
  <c r="F25" i="4" l="1"/>
  <c r="F18" i="11"/>
  <c r="F27" i="15"/>
  <c r="F34" i="5"/>
  <c r="D76" i="8"/>
  <c r="F64" i="3"/>
  <c r="F5" i="4"/>
  <c r="E76" i="7"/>
  <c r="F2" i="13"/>
  <c r="D76" i="13"/>
  <c r="E76" i="15"/>
  <c r="D76" i="17"/>
  <c r="F40" i="26"/>
  <c r="E76" i="26"/>
  <c r="F3" i="5"/>
  <c r="F44" i="7"/>
  <c r="F49" i="7"/>
  <c r="F26" i="8"/>
  <c r="E76" i="8"/>
  <c r="F64" i="9"/>
  <c r="F56" i="12"/>
  <c r="F19" i="6"/>
  <c r="F58" i="14"/>
  <c r="E76" i="9"/>
  <c r="F2" i="9"/>
  <c r="E76" i="3"/>
  <c r="F52" i="6"/>
  <c r="F18" i="8"/>
  <c r="F55" i="8"/>
  <c r="F64" i="19"/>
  <c r="D76" i="6"/>
  <c r="D76" i="14"/>
  <c r="F2" i="14"/>
  <c r="F16" i="3"/>
  <c r="F46" i="5"/>
  <c r="F51" i="5"/>
  <c r="F53" i="4"/>
  <c r="F24" i="6"/>
  <c r="F66" i="11"/>
  <c r="F40" i="3"/>
  <c r="F38" i="4"/>
  <c r="F67" i="6"/>
  <c r="F71" i="8"/>
  <c r="F39" i="9"/>
  <c r="F62" i="11"/>
  <c r="D76" i="21"/>
  <c r="F2" i="21"/>
  <c r="F64" i="17"/>
  <c r="D76" i="28"/>
  <c r="F2" i="28"/>
  <c r="F34" i="4"/>
  <c r="F12" i="5"/>
  <c r="F27" i="5"/>
  <c r="F5" i="6"/>
  <c r="F53" i="11"/>
  <c r="F46" i="12"/>
  <c r="F39" i="17"/>
  <c r="F63" i="33"/>
  <c r="F26" i="3"/>
  <c r="F50" i="3"/>
  <c r="F74" i="3"/>
  <c r="F30" i="4"/>
  <c r="F8" i="5"/>
  <c r="F60" i="5"/>
  <c r="F53" i="6"/>
  <c r="D76" i="7"/>
  <c r="F6" i="7"/>
  <c r="F58" i="7"/>
  <c r="F73" i="7"/>
  <c r="F31" i="8"/>
  <c r="F41" i="8"/>
  <c r="F40" i="9"/>
  <c r="F49" i="11"/>
  <c r="F8" i="14"/>
  <c r="F46" i="18"/>
  <c r="F23" i="19"/>
  <c r="E76" i="19"/>
  <c r="F5" i="20"/>
  <c r="F72" i="22"/>
  <c r="F56" i="26"/>
  <c r="F43" i="33"/>
  <c r="E76" i="16"/>
  <c r="F69" i="19"/>
  <c r="D76" i="23"/>
  <c r="F6" i="23"/>
  <c r="D76" i="3"/>
  <c r="F33" i="6"/>
  <c r="F10" i="7"/>
  <c r="F25" i="7"/>
  <c r="F52" i="10"/>
  <c r="F5" i="11"/>
  <c r="E76" i="11"/>
  <c r="F68" i="14"/>
  <c r="F8" i="17"/>
  <c r="F7" i="21"/>
  <c r="F41" i="26"/>
  <c r="F2" i="3"/>
  <c r="F26" i="4"/>
  <c r="F28" i="5"/>
  <c r="F56" i="5"/>
  <c r="F20" i="6"/>
  <c r="F61" i="8"/>
  <c r="D76" i="9"/>
  <c r="D76" i="11"/>
  <c r="F45" i="11"/>
  <c r="E76" i="13"/>
  <c r="F3" i="13"/>
  <c r="F69" i="14"/>
  <c r="F74" i="16"/>
  <c r="F40" i="17"/>
  <c r="F52" i="18"/>
  <c r="E76" i="21"/>
  <c r="F30" i="24"/>
  <c r="F50" i="24"/>
  <c r="F49" i="6"/>
  <c r="F42" i="3"/>
  <c r="F10" i="4"/>
  <c r="F58" i="4"/>
  <c r="F20" i="5"/>
  <c r="F2" i="6"/>
  <c r="F55" i="6"/>
  <c r="F18" i="7"/>
  <c r="F70" i="7"/>
  <c r="F23" i="8"/>
  <c r="F25" i="10"/>
  <c r="F29" i="11"/>
  <c r="F74" i="18"/>
  <c r="F61" i="23"/>
  <c r="F22" i="24"/>
  <c r="F66" i="24"/>
  <c r="E76" i="28"/>
  <c r="F60" i="7"/>
  <c r="F49" i="10"/>
  <c r="F72" i="5"/>
  <c r="F62" i="3"/>
  <c r="F30" i="5"/>
  <c r="F66" i="7"/>
  <c r="F25" i="11"/>
  <c r="F73" i="11"/>
  <c r="D76" i="32"/>
  <c r="F2" i="32"/>
  <c r="D76" i="29"/>
  <c r="E76" i="31"/>
  <c r="F18" i="4"/>
  <c r="F66" i="4"/>
  <c r="F43" i="5"/>
  <c r="F41" i="7"/>
  <c r="F12" i="9"/>
  <c r="F51" i="9"/>
  <c r="F37" i="11"/>
  <c r="F33" i="13"/>
  <c r="F19" i="15"/>
  <c r="F20" i="17"/>
  <c r="D76" i="18"/>
  <c r="F2" i="18"/>
  <c r="F67" i="21"/>
  <c r="F40" i="22"/>
  <c r="F6" i="24"/>
  <c r="E76" i="24"/>
  <c r="F44" i="25"/>
  <c r="E76" i="29"/>
  <c r="F14" i="4"/>
  <c r="F62" i="4"/>
  <c r="F24" i="5"/>
  <c r="F62" i="5"/>
  <c r="F45" i="6"/>
  <c r="F73" i="8"/>
  <c r="F27" i="9"/>
  <c r="F66" i="9"/>
  <c r="F33" i="11"/>
  <c r="F38" i="12"/>
  <c r="F59" i="13"/>
  <c r="F50" i="14"/>
  <c r="F31" i="17"/>
  <c r="F33" i="18"/>
  <c r="F14" i="19"/>
  <c r="F66" i="23"/>
  <c r="F74" i="28"/>
  <c r="F6" i="4"/>
  <c r="D76" i="5"/>
  <c r="F68" i="5"/>
  <c r="F28" i="7"/>
  <c r="F19" i="8"/>
  <c r="E76" i="12"/>
  <c r="F20" i="14"/>
  <c r="F45" i="14"/>
  <c r="F71" i="15"/>
  <c r="E76" i="4"/>
  <c r="F2" i="4"/>
  <c r="F50" i="4"/>
  <c r="E76" i="5"/>
  <c r="F41" i="6"/>
  <c r="F14" i="9"/>
  <c r="F2" i="10"/>
  <c r="E76" i="10"/>
  <c r="F21" i="11"/>
  <c r="F69" i="11"/>
  <c r="F73" i="17"/>
  <c r="F65" i="18"/>
  <c r="F46" i="20"/>
  <c r="F8" i="22"/>
  <c r="E76" i="22"/>
  <c r="F28" i="22"/>
  <c r="F26" i="23"/>
  <c r="F62" i="23"/>
  <c r="F14" i="5"/>
  <c r="F12" i="7"/>
  <c r="F18" i="3"/>
  <c r="F66" i="3"/>
  <c r="F7" i="6"/>
  <c r="F22" i="7"/>
  <c r="F14" i="3"/>
  <c r="F38" i="3"/>
  <c r="F54" i="4"/>
  <c r="F2" i="5"/>
  <c r="E76" i="6"/>
  <c r="D76" i="15"/>
  <c r="F2" i="17"/>
  <c r="E76" i="17"/>
  <c r="F2" i="25"/>
  <c r="D76" i="25"/>
  <c r="F7" i="15"/>
  <c r="F17" i="17"/>
  <c r="F18" i="20"/>
  <c r="D76" i="24"/>
  <c r="F2" i="24"/>
  <c r="F31" i="24"/>
  <c r="F39" i="25"/>
  <c r="F64" i="25"/>
  <c r="F36" i="26"/>
  <c r="F65" i="26"/>
  <c r="F70" i="28"/>
  <c r="F59" i="33"/>
  <c r="F2" i="33"/>
  <c r="D76" i="33"/>
  <c r="F4" i="5"/>
  <c r="F52" i="5"/>
  <c r="F29" i="6"/>
  <c r="F2" i="7"/>
  <c r="F50" i="7"/>
  <c r="F6" i="8"/>
  <c r="F61" i="10"/>
  <c r="F52" i="12"/>
  <c r="F12" i="13"/>
  <c r="F60" i="14"/>
  <c r="F42" i="15"/>
  <c r="F32" i="16"/>
  <c r="F6" i="19"/>
  <c r="F36" i="19"/>
  <c r="F42" i="20"/>
  <c r="F18" i="23"/>
  <c r="F35" i="25"/>
  <c r="E76" i="33"/>
  <c r="F7" i="33"/>
  <c r="D76" i="12"/>
  <c r="D76" i="19"/>
  <c r="E76" i="25"/>
  <c r="F3" i="25"/>
  <c r="F65" i="6"/>
  <c r="F38" i="7"/>
  <c r="F67" i="16"/>
  <c r="F54" i="23"/>
  <c r="F20" i="26"/>
  <c r="F40" i="5"/>
  <c r="F17" i="6"/>
  <c r="F43" i="8"/>
  <c r="F13" i="10"/>
  <c r="F69" i="13"/>
  <c r="F29" i="15"/>
  <c r="F10" i="16"/>
  <c r="D76" i="20"/>
  <c r="F38" i="20"/>
  <c r="F66" i="20"/>
  <c r="F36" i="5"/>
  <c r="F13" i="6"/>
  <c r="F61" i="6"/>
  <c r="F34" i="7"/>
  <c r="F3" i="8"/>
  <c r="F44" i="12"/>
  <c r="F64" i="12"/>
  <c r="F41" i="13"/>
  <c r="F43" i="16"/>
  <c r="F53" i="17"/>
  <c r="F38" i="19"/>
  <c r="E76" i="20"/>
  <c r="F2" i="20"/>
  <c r="F34" i="20"/>
  <c r="F14" i="23"/>
  <c r="F74" i="23"/>
  <c r="F19" i="24"/>
  <c r="D76" i="31"/>
  <c r="F68" i="12"/>
  <c r="F29" i="13"/>
  <c r="F43" i="13"/>
  <c r="E76" i="18"/>
  <c r="F56" i="19"/>
  <c r="F26" i="20"/>
  <c r="F74" i="20"/>
  <c r="F58" i="23"/>
  <c r="F4" i="25"/>
  <c r="E76" i="30"/>
  <c r="F13" i="31"/>
  <c r="F61" i="31"/>
  <c r="F15" i="8"/>
  <c r="F63" i="8"/>
  <c r="F60" i="12"/>
  <c r="F21" i="13"/>
  <c r="F49" i="13"/>
  <c r="E76" i="14"/>
  <c r="F34" i="14"/>
  <c r="F55" i="15"/>
  <c r="F5" i="17"/>
  <c r="F26" i="18"/>
  <c r="F43" i="19"/>
  <c r="F14" i="20"/>
  <c r="F62" i="20"/>
  <c r="F22" i="23"/>
  <c r="D76" i="26"/>
  <c r="F25" i="26"/>
  <c r="F72" i="26"/>
  <c r="F22" i="28"/>
  <c r="F28" i="26"/>
  <c r="F64" i="26"/>
  <c r="D76" i="10"/>
  <c r="F40" i="12"/>
  <c r="F17" i="13"/>
  <c r="F65" i="13"/>
  <c r="E76" i="23"/>
  <c r="F2" i="23"/>
  <c r="F50" i="23"/>
  <c r="F55" i="25"/>
  <c r="F16" i="26"/>
  <c r="F9" i="13"/>
  <c r="F57" i="13"/>
  <c r="F42" i="23"/>
  <c r="F47" i="25"/>
  <c r="F17" i="26"/>
  <c r="D76" i="30"/>
  <c r="F31" i="25"/>
  <c r="F4" i="26"/>
  <c r="F52" i="26"/>
  <c r="D76" i="22"/>
  <c r="F23" i="25"/>
  <c r="F71" i="25"/>
  <c r="F44" i="26"/>
  <c r="D76" i="27"/>
</calcChain>
</file>

<file path=xl/sharedStrings.xml><?xml version="1.0" encoding="utf-8"?>
<sst xmlns="http://schemas.openxmlformats.org/spreadsheetml/2006/main" count="1684" uniqueCount="1256">
  <si>
    <t>Timestamp</t>
  </si>
  <si>
    <t>Solar Irradiation( POA ) [W/m2]</t>
  </si>
  <si>
    <t>Daily AC Active Import Energy [kWh], MFM</t>
  </si>
  <si>
    <t>Expected Energy, MFM, kWh</t>
  </si>
  <si>
    <t>Actual Energy from MFM, kWh</t>
  </si>
  <si>
    <t>Diiference between expected energy and meter energy = Loss/ Gain, kWh</t>
  </si>
  <si>
    <t>Ambient Temp.(°C)</t>
  </si>
  <si>
    <t>Wind Speed [m/s]</t>
  </si>
  <si>
    <t>Module Temp.(°C)</t>
  </si>
  <si>
    <t>Cumulative POA</t>
  </si>
  <si>
    <t>Sum</t>
  </si>
  <si>
    <t>AVG</t>
  </si>
  <si>
    <t>POA &amp; WMS not working right now</t>
  </si>
  <si>
    <t>Average of B45 and B47</t>
  </si>
  <si>
    <t>Average of B51 and B53</t>
  </si>
  <si>
    <t>Average of B55 and B57</t>
  </si>
  <si>
    <t>13-03-2026 19:00</t>
  </si>
  <si>
    <t>13-03-2026 18:50</t>
  </si>
  <si>
    <t>13-03-2026 18:40</t>
  </si>
  <si>
    <t>13-03-2026 18:30</t>
  </si>
  <si>
    <t>13-03-2026 18:20</t>
  </si>
  <si>
    <t>13-03-2026 18:10</t>
  </si>
  <si>
    <t>13-03-2026 18:00</t>
  </si>
  <si>
    <t>13-03-2026 17:50</t>
  </si>
  <si>
    <t>13-03-2026 17:40</t>
  </si>
  <si>
    <t>13-03-2026 17:30</t>
  </si>
  <si>
    <t>13-03-2026 17:20</t>
  </si>
  <si>
    <t>13-03-2026 17:10</t>
  </si>
  <si>
    <t>13-03-2026 17:00</t>
  </si>
  <si>
    <t>13-03-2026 16:50</t>
  </si>
  <si>
    <t>13-03-2026 16:40</t>
  </si>
  <si>
    <t>13-03-2026 16:30</t>
  </si>
  <si>
    <t>13-03-2026 16:20</t>
  </si>
  <si>
    <t>13-03-2026 16:10</t>
  </si>
  <si>
    <t>13-03-2026 16:00</t>
  </si>
  <si>
    <t>13-03-2026 15:50</t>
  </si>
  <si>
    <t>13-03-2026 15:40</t>
  </si>
  <si>
    <t>13-03-2026 15:30</t>
  </si>
  <si>
    <t>13-03-2026 15:20</t>
  </si>
  <si>
    <t>13-03-2026 15:10</t>
  </si>
  <si>
    <t>13-03-2026 15:00</t>
  </si>
  <si>
    <t>13-03-2026 14:50</t>
  </si>
  <si>
    <t>13-03-2026 14:40</t>
  </si>
  <si>
    <t>13-03-2026 14:30</t>
  </si>
  <si>
    <t>13-03-2026 14:20</t>
  </si>
  <si>
    <t>13-03-2026 14:10</t>
  </si>
  <si>
    <t>13-03-2026 14:00</t>
  </si>
  <si>
    <t>13-03-2026 13:50</t>
  </si>
  <si>
    <t>13-03-2026 13:40</t>
  </si>
  <si>
    <t>13-03-2026 13:30</t>
  </si>
  <si>
    <t>13-03-2026 13:20</t>
  </si>
  <si>
    <t>13-03-2026 13:10</t>
  </si>
  <si>
    <t>13-03-2026 13:00</t>
  </si>
  <si>
    <t>13-03-2026 12:50</t>
  </si>
  <si>
    <t>13-03-2026 12:40</t>
  </si>
  <si>
    <t>13-03-2026 12:30</t>
  </si>
  <si>
    <t>13-03-2026 12:20</t>
  </si>
  <si>
    <t>13-03-2026 12:10</t>
  </si>
  <si>
    <t>13-03-2026 12:00</t>
  </si>
  <si>
    <t>13-03-2026 11:50</t>
  </si>
  <si>
    <t>13-03-2026 11:40</t>
  </si>
  <si>
    <t>13-03-2026 11:30</t>
  </si>
  <si>
    <t>13-03-2026 11:20</t>
  </si>
  <si>
    <t>13-03-2026 11:10</t>
  </si>
  <si>
    <t>13-03-2026 11:00</t>
  </si>
  <si>
    <t>13-03-2026 10:50</t>
  </si>
  <si>
    <t>13-03-2026 10:40</t>
  </si>
  <si>
    <t>13-03-2026 10:30</t>
  </si>
  <si>
    <t>13-03-2026 10:20</t>
  </si>
  <si>
    <t>13-03-2026 10:10</t>
  </si>
  <si>
    <t>13-03-2026 10:00</t>
  </si>
  <si>
    <t>13-03-2026 09:50</t>
  </si>
  <si>
    <t>13-03-2026 09:40</t>
  </si>
  <si>
    <t>13-03-2026 09:30</t>
  </si>
  <si>
    <t>13-03-2026 09:20</t>
  </si>
  <si>
    <t>13-03-2026 09:10</t>
  </si>
  <si>
    <t>13-03-2026 09:00</t>
  </si>
  <si>
    <t>13-03-2026 08:50</t>
  </si>
  <si>
    <t>13-03-2026 08:40</t>
  </si>
  <si>
    <t>13-03-2026 08:30</t>
  </si>
  <si>
    <t>13-03-2026 08:20</t>
  </si>
  <si>
    <t>13-03-2026 08:10</t>
  </si>
  <si>
    <t>13-03-2026 08:00</t>
  </si>
  <si>
    <t>13-03-2026 07:50</t>
  </si>
  <si>
    <t>13-03-2026 07:40</t>
  </si>
  <si>
    <t>13-03-2026 07:30</t>
  </si>
  <si>
    <t>13-03-2026 07:20</t>
  </si>
  <si>
    <t>13-03-2026 07:10</t>
  </si>
  <si>
    <t>13-03-2026 07:00</t>
  </si>
  <si>
    <t>14-03-2026 19:00</t>
  </si>
  <si>
    <t>14-03-2026 18:50</t>
  </si>
  <si>
    <t>14-03-2026 18:40</t>
  </si>
  <si>
    <t>14-03-2026 18:30</t>
  </si>
  <si>
    <t>14-03-2026 18:20</t>
  </si>
  <si>
    <t>14-03-2026 18:10</t>
  </si>
  <si>
    <t>14-03-2026 18:00</t>
  </si>
  <si>
    <t>14-03-2026 17:50</t>
  </si>
  <si>
    <t>14-03-2026 17:40</t>
  </si>
  <si>
    <t>14-03-2026 17:30</t>
  </si>
  <si>
    <t>14-03-2026 17:20</t>
  </si>
  <si>
    <t>14-03-2026 17:10</t>
  </si>
  <si>
    <t>14-03-2026 17:00</t>
  </si>
  <si>
    <t>14-03-2026 16:50</t>
  </si>
  <si>
    <t>14-03-2026 16:40</t>
  </si>
  <si>
    <t>14-03-2026 16:30</t>
  </si>
  <si>
    <t>14-03-2026 16:20</t>
  </si>
  <si>
    <t>14-03-2026 16:10</t>
  </si>
  <si>
    <t>14-03-2026 16:00</t>
  </si>
  <si>
    <t>14-03-2026 15:50</t>
  </si>
  <si>
    <t>14-03-2026 15:40</t>
  </si>
  <si>
    <t>14-03-2026 15:30</t>
  </si>
  <si>
    <t>14-03-2026 15:20</t>
  </si>
  <si>
    <t>14-03-2026 15:10</t>
  </si>
  <si>
    <t>14-03-2026 15:00</t>
  </si>
  <si>
    <t>14-03-2026 14:50</t>
  </si>
  <si>
    <t>14-03-2026 14:40</t>
  </si>
  <si>
    <t>14-03-2026 14:30</t>
  </si>
  <si>
    <t>14-03-2026 14:20</t>
  </si>
  <si>
    <t>14-03-2026 14:10</t>
  </si>
  <si>
    <t>14-03-2026 14:00</t>
  </si>
  <si>
    <t>14-03-2026 13:50</t>
  </si>
  <si>
    <t>14-03-2026 13:40</t>
  </si>
  <si>
    <t>14-03-2026 13:30</t>
  </si>
  <si>
    <t>14-03-2026 13:20</t>
  </si>
  <si>
    <t>14-03-2026 13:10</t>
  </si>
  <si>
    <t>14-03-2026 13:00</t>
  </si>
  <si>
    <t>14-03-2026 12:50</t>
  </si>
  <si>
    <t>14-03-2026 12:40</t>
  </si>
  <si>
    <t>14-03-2026 12:30</t>
  </si>
  <si>
    <t>14-03-2026 12:20</t>
  </si>
  <si>
    <t>14-03-2026 12:10</t>
  </si>
  <si>
    <t>14-03-2026 12:00</t>
  </si>
  <si>
    <t>14-03-2026 11:50</t>
  </si>
  <si>
    <t>14-03-2026 11:40</t>
  </si>
  <si>
    <t>14-03-2026 11:30</t>
  </si>
  <si>
    <t>14-03-2026 11:20</t>
  </si>
  <si>
    <t>14-03-2026 11:10</t>
  </si>
  <si>
    <t>14-03-2026 11:00</t>
  </si>
  <si>
    <t>14-03-2026 10:50</t>
  </si>
  <si>
    <t>14-03-2026 10:40</t>
  </si>
  <si>
    <t>14-03-2026 10:30</t>
  </si>
  <si>
    <t>14-03-2026 10:20</t>
  </si>
  <si>
    <t>14-03-2026 10:10</t>
  </si>
  <si>
    <t>14-03-2026 10:00</t>
  </si>
  <si>
    <t>14-03-2026 09:50</t>
  </si>
  <si>
    <t>14-03-2026 09:40</t>
  </si>
  <si>
    <t>14-03-2026 09:20</t>
  </si>
  <si>
    <t>14-03-2026 09:10</t>
  </si>
  <si>
    <t>14-03-2026 09:00</t>
  </si>
  <si>
    <t>14-03-2026 08:50</t>
  </si>
  <si>
    <t>14-03-2026 08:40</t>
  </si>
  <si>
    <t>14-03-2026 08:30</t>
  </si>
  <si>
    <t>14-03-2026 08:20</t>
  </si>
  <si>
    <t>14-03-2026 08:10</t>
  </si>
  <si>
    <t>14-03-2026 08:00</t>
  </si>
  <si>
    <t>14-03-2026 07:50</t>
  </si>
  <si>
    <t>14-03-2026 07:40</t>
  </si>
  <si>
    <t>14-03-2026 07:30</t>
  </si>
  <si>
    <t>14-03-2026 07:20</t>
  </si>
  <si>
    <t>14-03-2026 07:10</t>
  </si>
  <si>
    <t>14-03-2026 07:00</t>
  </si>
  <si>
    <t>15-03-2026 19:00</t>
  </si>
  <si>
    <t>15-03-2026 18:50</t>
  </si>
  <si>
    <t>15-03-2026 18:40</t>
  </si>
  <si>
    <t>15-03-2026 18:30</t>
  </si>
  <si>
    <t>15-03-2026 18:20</t>
  </si>
  <si>
    <t>15-03-2026 18:10</t>
  </si>
  <si>
    <t>15-03-2026 18:00</t>
  </si>
  <si>
    <t>15-03-2026 17:50</t>
  </si>
  <si>
    <t>15-03-2026 17:40</t>
  </si>
  <si>
    <t>15-03-2026 17:30</t>
  </si>
  <si>
    <t>15-03-2026 17:20</t>
  </si>
  <si>
    <t>15-03-2026 17:10</t>
  </si>
  <si>
    <t>15-03-2026 17:00</t>
  </si>
  <si>
    <t>15-03-2026 16:50</t>
  </si>
  <si>
    <t>15-03-2026 16:40</t>
  </si>
  <si>
    <t>15-03-2026 16:30</t>
  </si>
  <si>
    <t>15-03-2026 16:20</t>
  </si>
  <si>
    <t>15-03-2026 16:10</t>
  </si>
  <si>
    <t>15-03-2026 16:00</t>
  </si>
  <si>
    <t>15-03-2026 15:50</t>
  </si>
  <si>
    <t>15-03-2026 15:40</t>
  </si>
  <si>
    <t>15-03-2026 15:30</t>
  </si>
  <si>
    <t>15-03-2026 15:20</t>
  </si>
  <si>
    <t>15-03-2026 15:10</t>
  </si>
  <si>
    <t>15-03-2026 15:00</t>
  </si>
  <si>
    <t>15-03-2026 14:50</t>
  </si>
  <si>
    <t>15-03-2026 14:40</t>
  </si>
  <si>
    <t>15-03-2026 14:30</t>
  </si>
  <si>
    <t>15-03-2026 14:20</t>
  </si>
  <si>
    <t>15-03-2026 14:10</t>
  </si>
  <si>
    <t>15-03-2026 14:00</t>
  </si>
  <si>
    <t>15-03-2026 13:50</t>
  </si>
  <si>
    <t>15-03-2026 13:40</t>
  </si>
  <si>
    <t>15-03-2026 13:30</t>
  </si>
  <si>
    <t>15-03-2026 13:20</t>
  </si>
  <si>
    <t>15-03-2026 13:10</t>
  </si>
  <si>
    <t>15-03-2026 13:00</t>
  </si>
  <si>
    <t>15-03-2026 12:50</t>
  </si>
  <si>
    <t>15-03-2026 12:40</t>
  </si>
  <si>
    <t>15-03-2026 12:30</t>
  </si>
  <si>
    <t>15-03-2026 12:20</t>
  </si>
  <si>
    <t>15-03-2026 12:10</t>
  </si>
  <si>
    <t>15-03-2026 12:00</t>
  </si>
  <si>
    <t>15-03-2026 11:50</t>
  </si>
  <si>
    <t>15-03-2026 11:40</t>
  </si>
  <si>
    <t>15-03-2026 11:30</t>
  </si>
  <si>
    <t>15-03-2026 11:20</t>
  </si>
  <si>
    <t>15-03-2026 11:10</t>
  </si>
  <si>
    <t>15-03-2026 11:00</t>
  </si>
  <si>
    <t>15-03-2026 10:50</t>
  </si>
  <si>
    <t>15-03-2026 10:40</t>
  </si>
  <si>
    <t>15-03-2026 10:30</t>
  </si>
  <si>
    <t>15-03-2026 10:20</t>
  </si>
  <si>
    <t>15-03-2026 10:10</t>
  </si>
  <si>
    <t>15-03-2026 10:00</t>
  </si>
  <si>
    <t>15-03-2026 09:50</t>
  </si>
  <si>
    <t>15-03-2026 09:40</t>
  </si>
  <si>
    <t>15-03-2026 09:30</t>
  </si>
  <si>
    <t>15-03-2026 09:20</t>
  </si>
  <si>
    <t>15-03-2026 09:10</t>
  </si>
  <si>
    <t>15-03-2026 09:00</t>
  </si>
  <si>
    <t>15-03-2026 08:50</t>
  </si>
  <si>
    <t>15-03-2026 08:40</t>
  </si>
  <si>
    <t>15-03-2026 08:30</t>
  </si>
  <si>
    <t>15-03-2026 08:20</t>
  </si>
  <si>
    <t>15-03-2026 08:10</t>
  </si>
  <si>
    <t>15-03-2026 08:00</t>
  </si>
  <si>
    <t>15-03-2026 07:50</t>
  </si>
  <si>
    <t>15-03-2026 07:40</t>
  </si>
  <si>
    <t>15-03-2026 07:30</t>
  </si>
  <si>
    <t>15-03-2026 07:20</t>
  </si>
  <si>
    <t>15-03-2026 07:10</t>
  </si>
  <si>
    <t>15-03-2026 07:00</t>
  </si>
  <si>
    <t>16-03-2026 19:00</t>
  </si>
  <si>
    <t>16-03-2026 18:50</t>
  </si>
  <si>
    <t>16-03-2026 18:40</t>
  </si>
  <si>
    <t>16-03-2026 18:30</t>
  </si>
  <si>
    <t>16-03-2026 18:20</t>
  </si>
  <si>
    <t>16-03-2026 18:10</t>
  </si>
  <si>
    <t>16-03-2026 18:00</t>
  </si>
  <si>
    <t>16-03-2026 17:50</t>
  </si>
  <si>
    <t>16-03-2026 17:40</t>
  </si>
  <si>
    <t>16-03-2026 17:30</t>
  </si>
  <si>
    <t>16-03-2026 17:20</t>
  </si>
  <si>
    <t>16-03-2026 17:10</t>
  </si>
  <si>
    <t>16-03-2026 17:00</t>
  </si>
  <si>
    <t>16-03-2026 16:50</t>
  </si>
  <si>
    <t>16-03-2026 16:40</t>
  </si>
  <si>
    <t>16-03-2026 16:30</t>
  </si>
  <si>
    <t>16-03-2026 16:20</t>
  </si>
  <si>
    <t>16-03-2026 16:10</t>
  </si>
  <si>
    <t>16-03-2026 16:00</t>
  </si>
  <si>
    <t>16-03-2026 15:50</t>
  </si>
  <si>
    <t>16-03-2026 15:40</t>
  </si>
  <si>
    <t>16-03-2026 15:30</t>
  </si>
  <si>
    <t>16-03-2026 15:20</t>
  </si>
  <si>
    <t>16-03-2026 15:10</t>
  </si>
  <si>
    <t>16-03-2026 15:00</t>
  </si>
  <si>
    <t>16-03-2026 14:50</t>
  </si>
  <si>
    <t>16-03-2026 14:40</t>
  </si>
  <si>
    <t>16-03-2026 14:30</t>
  </si>
  <si>
    <t>16-03-2026 14:20</t>
  </si>
  <si>
    <t>16-03-2026 14:10</t>
  </si>
  <si>
    <t>16-03-2026 14:00</t>
  </si>
  <si>
    <t>16-03-2026 13:50</t>
  </si>
  <si>
    <t>16-03-2026 13:40</t>
  </si>
  <si>
    <t>16-03-2026 13:30</t>
  </si>
  <si>
    <t>16-03-2026 13:20</t>
  </si>
  <si>
    <t>16-03-2026 13:10</t>
  </si>
  <si>
    <t>16-03-2026 13:00</t>
  </si>
  <si>
    <t>16-03-2026 12:50</t>
  </si>
  <si>
    <t>16-03-2026 12:40</t>
  </si>
  <si>
    <t>16-03-2026 12:30</t>
  </si>
  <si>
    <t>16-03-2026 12:20</t>
  </si>
  <si>
    <t>16-03-2026 12:10</t>
  </si>
  <si>
    <t>16-03-2026 12:00</t>
  </si>
  <si>
    <t>16-03-2026 11:50</t>
  </si>
  <si>
    <t>16-03-2026 11:40</t>
  </si>
  <si>
    <t>16-03-2026 11:30</t>
  </si>
  <si>
    <t>16-03-2026 11:20</t>
  </si>
  <si>
    <t>16-03-2026 11:10</t>
  </si>
  <si>
    <t>16-03-2026 11:00</t>
  </si>
  <si>
    <t>16-03-2026 10:50</t>
  </si>
  <si>
    <t>16-03-2026 10:40</t>
  </si>
  <si>
    <t>16-03-2026 10:30</t>
  </si>
  <si>
    <t>16-03-2026 10:20</t>
  </si>
  <si>
    <t>16-03-2026 10:10</t>
  </si>
  <si>
    <t>16-03-2026 10:00</t>
  </si>
  <si>
    <t>16-03-2026 09:50</t>
  </si>
  <si>
    <t>16-03-2026 09:40</t>
  </si>
  <si>
    <t>16-03-2026 09:30</t>
  </si>
  <si>
    <t>16-03-2026 09:20</t>
  </si>
  <si>
    <t>16-03-2026 09:10</t>
  </si>
  <si>
    <t>16-03-2026 09:00</t>
  </si>
  <si>
    <t>16-03-2026 08:50</t>
  </si>
  <si>
    <t>16-03-2026 08:40</t>
  </si>
  <si>
    <t>16-03-2026 08:30</t>
  </si>
  <si>
    <t>16-03-2026 08:20</t>
  </si>
  <si>
    <t>16-03-2026 08:10</t>
  </si>
  <si>
    <t>16-03-2026 08:00</t>
  </si>
  <si>
    <t>16-03-2026 07:50</t>
  </si>
  <si>
    <t>16-03-2026 07:40</t>
  </si>
  <si>
    <t>16-03-2026 07:30</t>
  </si>
  <si>
    <t>16-03-2026 07:20</t>
  </si>
  <si>
    <t>16-03-2026 07:10</t>
  </si>
  <si>
    <t>16-03-2026 07:00</t>
  </si>
  <si>
    <t>17-03-2026 19:00</t>
  </si>
  <si>
    <t>17-03-2026 18:50</t>
  </si>
  <si>
    <t>17-03-2026 18:40</t>
  </si>
  <si>
    <t>17-03-2026 18:30</t>
  </si>
  <si>
    <t>17-03-2026 18:20</t>
  </si>
  <si>
    <t>17-03-2026 18:10</t>
  </si>
  <si>
    <t>17-03-2026 18:00</t>
  </si>
  <si>
    <t>17-03-2026 17:50</t>
  </si>
  <si>
    <t>17-03-2026 17:40</t>
  </si>
  <si>
    <t>17-03-2026 17:30</t>
  </si>
  <si>
    <t>17-03-2026 17:20</t>
  </si>
  <si>
    <t>17-03-2026 17:10</t>
  </si>
  <si>
    <t>17-03-2026 17:00</t>
  </si>
  <si>
    <t>17-03-2026 16:50</t>
  </si>
  <si>
    <t>17-03-2026 16:40</t>
  </si>
  <si>
    <t>17-03-2026 16:30</t>
  </si>
  <si>
    <t>17-03-2026 16:20</t>
  </si>
  <si>
    <t>17-03-2026 16:10</t>
  </si>
  <si>
    <t>17-03-2026 16:00</t>
  </si>
  <si>
    <t>17-03-2026 15:50</t>
  </si>
  <si>
    <t>17-03-2026 15:40</t>
  </si>
  <si>
    <t>17-03-2026 15:30</t>
  </si>
  <si>
    <t>17-03-2026 15:20</t>
  </si>
  <si>
    <t>17-03-2026 15:10</t>
  </si>
  <si>
    <t>17-03-2026 15:00</t>
  </si>
  <si>
    <t>17-03-2026 14:50</t>
  </si>
  <si>
    <t>17-03-2026 14:40</t>
  </si>
  <si>
    <t>17-03-2026 14:30</t>
  </si>
  <si>
    <t>17-03-2026 14:20</t>
  </si>
  <si>
    <t>17-03-2026 14:10</t>
  </si>
  <si>
    <t>17-03-2026 14:00</t>
  </si>
  <si>
    <t>17-03-2026 13:50</t>
  </si>
  <si>
    <t>17-03-2026 13:40</t>
  </si>
  <si>
    <t>17-03-2026 13:30</t>
  </si>
  <si>
    <t>17-03-2026 13:20</t>
  </si>
  <si>
    <t>17-03-2026 13:10</t>
  </si>
  <si>
    <t>17-03-2026 13:00</t>
  </si>
  <si>
    <t>17-03-2026 12:50</t>
  </si>
  <si>
    <t>17-03-2026 12:40</t>
  </si>
  <si>
    <t>17-03-2026 12:30</t>
  </si>
  <si>
    <t>17-03-2026 12:20</t>
  </si>
  <si>
    <t>17-03-2026 12:10</t>
  </si>
  <si>
    <t>17-03-2026 12:00</t>
  </si>
  <si>
    <t>17-03-2026 11:50</t>
  </si>
  <si>
    <t>17-03-2026 11:40</t>
  </si>
  <si>
    <t>17-03-2026 11:30</t>
  </si>
  <si>
    <t>17-03-2026 11:20</t>
  </si>
  <si>
    <t>17-03-2026 11:10</t>
  </si>
  <si>
    <t>17-03-2026 11:00</t>
  </si>
  <si>
    <t>17-03-2026 10:50</t>
  </si>
  <si>
    <t>17-03-2026 10:40</t>
  </si>
  <si>
    <t>17-03-2026 10:30</t>
  </si>
  <si>
    <t>17-03-2026 10:20</t>
  </si>
  <si>
    <t>17-03-2026 10:10</t>
  </si>
  <si>
    <t>17-03-2026 10:00</t>
  </si>
  <si>
    <t>17-03-2026 09:50</t>
  </si>
  <si>
    <t>17-03-2026 09:40</t>
  </si>
  <si>
    <t>17-03-2026 09:30</t>
  </si>
  <si>
    <t>17-03-2026 09:20</t>
  </si>
  <si>
    <t>17-03-2026 09:10</t>
  </si>
  <si>
    <t>17-03-2026 09:00</t>
  </si>
  <si>
    <t>17-03-2026 08:50</t>
  </si>
  <si>
    <t>17-03-2026 08:40</t>
  </si>
  <si>
    <t>17-03-2026 08:30</t>
  </si>
  <si>
    <t>17-03-2026 08:20</t>
  </si>
  <si>
    <t>17-03-2026 08:10</t>
  </si>
  <si>
    <t>17-03-2026 08:00</t>
  </si>
  <si>
    <t>17-03-2026 07:50</t>
  </si>
  <si>
    <t>17-03-2026 07:40</t>
  </si>
  <si>
    <t>17-03-2026 07:30</t>
  </si>
  <si>
    <t>17-03-2026 07:20</t>
  </si>
  <si>
    <t>17-03-2026 07:10</t>
  </si>
  <si>
    <t>17-03-2026 07:00</t>
  </si>
  <si>
    <t>18-03-2026 19:00</t>
  </si>
  <si>
    <t>18-03-2026 18:50</t>
  </si>
  <si>
    <t>18-03-2026 18:40</t>
  </si>
  <si>
    <t>18-03-2026 18:30</t>
  </si>
  <si>
    <t>18-03-2026 18:20</t>
  </si>
  <si>
    <t>18-03-2026 18:10</t>
  </si>
  <si>
    <t>18-03-2026 18:00</t>
  </si>
  <si>
    <t>18-03-2026 17:50</t>
  </si>
  <si>
    <t>18-03-2026 17:40</t>
  </si>
  <si>
    <t>18-03-2026 17:30</t>
  </si>
  <si>
    <t>18-03-2026 17:20</t>
  </si>
  <si>
    <t>18-03-2026 17:10</t>
  </si>
  <si>
    <t>18-03-2026 17:00</t>
  </si>
  <si>
    <t>18-03-2026 16:50</t>
  </si>
  <si>
    <t>18-03-2026 16:40</t>
  </si>
  <si>
    <t>18-03-2026 16:30</t>
  </si>
  <si>
    <t>18-03-2026 16:20</t>
  </si>
  <si>
    <t>18-03-2026 16:10</t>
  </si>
  <si>
    <t>18-03-2026 16:00</t>
  </si>
  <si>
    <t>18-03-2026 15:50</t>
  </si>
  <si>
    <t>18-03-2026 15:40</t>
  </si>
  <si>
    <t>18-03-2026 15:30</t>
  </si>
  <si>
    <t>18-03-2026 15:20</t>
  </si>
  <si>
    <t>18-03-2026 15:10</t>
  </si>
  <si>
    <t>18-03-2026 15:00</t>
  </si>
  <si>
    <t>18-03-2026 14:50</t>
  </si>
  <si>
    <t>18-03-2026 14:40</t>
  </si>
  <si>
    <t>18-03-2026 14:30</t>
  </si>
  <si>
    <t>18-03-2026 14:20</t>
  </si>
  <si>
    <t>18-03-2026 14:10</t>
  </si>
  <si>
    <t>18-03-2026 14:00</t>
  </si>
  <si>
    <t>18-03-2026 13:50</t>
  </si>
  <si>
    <t>18-03-2026 13:40</t>
  </si>
  <si>
    <t>18-03-2026 13:30</t>
  </si>
  <si>
    <t>18-03-2026 13:20</t>
  </si>
  <si>
    <t>18-03-2026 13:10</t>
  </si>
  <si>
    <t>18-03-2026 13:00</t>
  </si>
  <si>
    <t>18-03-2026 12:50</t>
  </si>
  <si>
    <t>18-03-2026 12:40</t>
  </si>
  <si>
    <t>18-03-2026 12:30</t>
  </si>
  <si>
    <t>18-03-2026 12:20</t>
  </si>
  <si>
    <t>18-03-2026 12:10</t>
  </si>
  <si>
    <t>18-03-2026 12:00</t>
  </si>
  <si>
    <t>18-03-2026 11:50</t>
  </si>
  <si>
    <t>18-03-2026 11:40</t>
  </si>
  <si>
    <t>18-03-2026 11:30</t>
  </si>
  <si>
    <t>18-03-2026 11:20</t>
  </si>
  <si>
    <t>18-03-2026 11:10</t>
  </si>
  <si>
    <t>18-03-2026 11:00</t>
  </si>
  <si>
    <t>18-03-2026 10:50</t>
  </si>
  <si>
    <t>18-03-2026 10:40</t>
  </si>
  <si>
    <t>18-03-2026 10:30</t>
  </si>
  <si>
    <t>18-03-2026 10:20</t>
  </si>
  <si>
    <t>18-03-2026 10:10</t>
  </si>
  <si>
    <t>18-03-2026 10:00</t>
  </si>
  <si>
    <t>18-03-2026 09:50</t>
  </si>
  <si>
    <t>18-03-2026 09:40</t>
  </si>
  <si>
    <t>18-03-2026 09:30</t>
  </si>
  <si>
    <t>18-03-2026 09:20</t>
  </si>
  <si>
    <t>18-03-2026 09:10</t>
  </si>
  <si>
    <t>18-03-2026 09:00</t>
  </si>
  <si>
    <t>18-03-2026 08:50</t>
  </si>
  <si>
    <t>18-03-2026 08:40</t>
  </si>
  <si>
    <t>18-03-2026 08:30</t>
  </si>
  <si>
    <t>18-03-2026 08:20</t>
  </si>
  <si>
    <t>18-03-2026 08:10</t>
  </si>
  <si>
    <t>18-03-2026 08:00</t>
  </si>
  <si>
    <t>18-03-2026 07:50</t>
  </si>
  <si>
    <t>18-03-2026 07:40</t>
  </si>
  <si>
    <t>18-03-2026 07:30</t>
  </si>
  <si>
    <t>18-03-2026 07:20</t>
  </si>
  <si>
    <t>18-03-2026 07:10</t>
  </si>
  <si>
    <t>19-03-2026 19:00</t>
  </si>
  <si>
    <t>19-03-2026 18:50</t>
  </si>
  <si>
    <t>19-03-2026 18:40</t>
  </si>
  <si>
    <t>19-03-2026 18:30</t>
  </si>
  <si>
    <t>19-03-2026 18:20</t>
  </si>
  <si>
    <t>19-03-2026 18:10</t>
  </si>
  <si>
    <t>19-03-2026 18:00</t>
  </si>
  <si>
    <t>19-03-2026 17:50</t>
  </si>
  <si>
    <t>19-03-2026 17:40</t>
  </si>
  <si>
    <t>19-03-2026 17:30</t>
  </si>
  <si>
    <t>19-03-2026 17:20</t>
  </si>
  <si>
    <t>19-03-2026 17:10</t>
  </si>
  <si>
    <t>19-03-2026 17:00</t>
  </si>
  <si>
    <t>19-03-2026 16:50</t>
  </si>
  <si>
    <t>19-03-2026 16:40</t>
  </si>
  <si>
    <t>19-03-2026 16:30</t>
  </si>
  <si>
    <t>19-03-2026 16:20</t>
  </si>
  <si>
    <t>19-03-2026 16:10</t>
  </si>
  <si>
    <t>19-03-2026 16:00</t>
  </si>
  <si>
    <t>19-03-2026 15:50</t>
  </si>
  <si>
    <t>19-03-2026 15:40</t>
  </si>
  <si>
    <t>19-03-2026 15:30</t>
  </si>
  <si>
    <t>19-03-2026 15:20</t>
  </si>
  <si>
    <t>19-03-2026 15:10</t>
  </si>
  <si>
    <t>19-03-2026 15:00</t>
  </si>
  <si>
    <t>19-03-2026 14:50</t>
  </si>
  <si>
    <t>19-03-2026 14:40</t>
  </si>
  <si>
    <t>19-03-2026 14:30</t>
  </si>
  <si>
    <t>19-03-2026 14:20</t>
  </si>
  <si>
    <t>19-03-2026 14:10</t>
  </si>
  <si>
    <t>19-03-2026 14:00</t>
  </si>
  <si>
    <t>19-03-2026 13:50</t>
  </si>
  <si>
    <t>19-03-2026 13:40</t>
  </si>
  <si>
    <t>19-03-2026 13:30</t>
  </si>
  <si>
    <t>19-03-2026 13:20</t>
  </si>
  <si>
    <t>19-03-2026 13:10</t>
  </si>
  <si>
    <t>19-03-2026 13:00</t>
  </si>
  <si>
    <t>19-03-2026 12:50</t>
  </si>
  <si>
    <t>19-03-2026 12:40</t>
  </si>
  <si>
    <t>19-03-2026 12:30</t>
  </si>
  <si>
    <t>19-03-2026 12:20</t>
  </si>
  <si>
    <t>19-03-2026 12:10</t>
  </si>
  <si>
    <t>19-03-2026 12:00</t>
  </si>
  <si>
    <t>19-03-2026 11:50</t>
  </si>
  <si>
    <t>19-03-2026 11:40</t>
  </si>
  <si>
    <t>19-03-2026 11:30</t>
  </si>
  <si>
    <t>19-03-2026 11:20</t>
  </si>
  <si>
    <t>19-03-2026 11:10</t>
  </si>
  <si>
    <t>19-03-2026 11:00</t>
  </si>
  <si>
    <t>19-03-2026 10:50</t>
  </si>
  <si>
    <t>19-03-2026 10:40</t>
  </si>
  <si>
    <t>19-03-2026 10:30</t>
  </si>
  <si>
    <t>19-03-2026 10:20</t>
  </si>
  <si>
    <t>19-03-2026 10:10</t>
  </si>
  <si>
    <t>19-03-2026 10:00</t>
  </si>
  <si>
    <t>19-03-2026 09:50</t>
  </si>
  <si>
    <t>19-03-2026 09:40</t>
  </si>
  <si>
    <t>19-03-2026 09:30</t>
  </si>
  <si>
    <t>19-03-2026 09:20</t>
  </si>
  <si>
    <t>19-03-2026 09:10</t>
  </si>
  <si>
    <t>19-03-2026 09:00</t>
  </si>
  <si>
    <t>19-03-2026 08:50</t>
  </si>
  <si>
    <t>19-03-2026 08:40</t>
  </si>
  <si>
    <t>19-03-2026 08:30</t>
  </si>
  <si>
    <t>19-03-2026 08:20</t>
  </si>
  <si>
    <t>19-03-2026 08:10</t>
  </si>
  <si>
    <t>19-03-2026 08:00</t>
  </si>
  <si>
    <t>19-03-2026 07:50</t>
  </si>
  <si>
    <t>19-03-2026 07:40</t>
  </si>
  <si>
    <t>19-03-2026 07:30</t>
  </si>
  <si>
    <t>19-03-2026 07:20</t>
  </si>
  <si>
    <t>19-03-2026 07:10</t>
  </si>
  <si>
    <t>19-03-2026 07:00</t>
  </si>
  <si>
    <t>WMS not working from 20th march 2026, 08:40 am, Logger damaged, need to replace</t>
  </si>
  <si>
    <t>22-03-2026 19:00</t>
  </si>
  <si>
    <t>22-03-2026 18:50</t>
  </si>
  <si>
    <t>22-03-2026 18:40</t>
  </si>
  <si>
    <t>22-03-2026 18:30</t>
  </si>
  <si>
    <t>22-03-2026 18:20</t>
  </si>
  <si>
    <t>22-03-2026 18:10</t>
  </si>
  <si>
    <t>22-03-2026 18:00</t>
  </si>
  <si>
    <t>22-03-2026 17:50</t>
  </si>
  <si>
    <t>22-03-2026 17:40</t>
  </si>
  <si>
    <t>22-03-2026 17:30</t>
  </si>
  <si>
    <t>22-03-2026 17:20</t>
  </si>
  <si>
    <t>22-03-2026 17:10</t>
  </si>
  <si>
    <t>22-03-2026 17:00</t>
  </si>
  <si>
    <t>22-03-2026 16:50</t>
  </si>
  <si>
    <t>22-03-2026 16:40</t>
  </si>
  <si>
    <t>22-03-2026 16:30</t>
  </si>
  <si>
    <t>22-03-2026 16:20</t>
  </si>
  <si>
    <t>22-03-2026 16:10</t>
  </si>
  <si>
    <t>22-03-2026 16:00</t>
  </si>
  <si>
    <t>22-03-2026 15:50</t>
  </si>
  <si>
    <t>22-03-2026 15:40</t>
  </si>
  <si>
    <t>22-03-2026 15:30</t>
  </si>
  <si>
    <t>22-03-2026 15:20</t>
  </si>
  <si>
    <t>22-03-2026 15:10</t>
  </si>
  <si>
    <t>22-03-2026 15:00</t>
  </si>
  <si>
    <t>22-03-2026 14:50</t>
  </si>
  <si>
    <t>22-03-2026 14:40</t>
  </si>
  <si>
    <t>22-03-2026 14:30</t>
  </si>
  <si>
    <t>22-03-2026 14:20</t>
  </si>
  <si>
    <t>22-03-2026 14:10</t>
  </si>
  <si>
    <t>22-03-2026 14:00</t>
  </si>
  <si>
    <t>22-03-2026 13:50</t>
  </si>
  <si>
    <t>22-03-2026 13:40</t>
  </si>
  <si>
    <t>22-03-2026 13:30</t>
  </si>
  <si>
    <t>22-03-2026 13:20</t>
  </si>
  <si>
    <t>22-03-2026 13:10</t>
  </si>
  <si>
    <t>22-03-2026 13:00</t>
  </si>
  <si>
    <t>22-03-2026 12:50</t>
  </si>
  <si>
    <t>22-03-2026 12:40</t>
  </si>
  <si>
    <t>22-03-2026 12:30</t>
  </si>
  <si>
    <t>22-03-2026 12:20</t>
  </si>
  <si>
    <t>22-03-2026 12:10</t>
  </si>
  <si>
    <t>22-03-2026 12:00</t>
  </si>
  <si>
    <t>22-03-2026 11:50</t>
  </si>
  <si>
    <t>22-03-2026 11:40</t>
  </si>
  <si>
    <t>22-03-2026 11:30</t>
  </si>
  <si>
    <t>22-03-2026 11:20</t>
  </si>
  <si>
    <t>22-03-2026 11:10</t>
  </si>
  <si>
    <t>22-03-2026 11:00</t>
  </si>
  <si>
    <t>22-03-2026 10:50</t>
  </si>
  <si>
    <t>22-03-2026 10:40</t>
  </si>
  <si>
    <t>22-03-2026 10:30</t>
  </si>
  <si>
    <t>22-03-2026 10:20</t>
  </si>
  <si>
    <t>22-03-2026 10:10</t>
  </si>
  <si>
    <t>22-03-2026 10:00</t>
  </si>
  <si>
    <t>22-03-2026 09:50</t>
  </si>
  <si>
    <t>22-03-2026 09:40</t>
  </si>
  <si>
    <t>22-03-2026 09:30</t>
  </si>
  <si>
    <t>22-03-2026 09:20</t>
  </si>
  <si>
    <t>22-03-2026 09:10</t>
  </si>
  <si>
    <t>22-03-2026 09:00</t>
  </si>
  <si>
    <t>22-03-2026 08:50</t>
  </si>
  <si>
    <t>22-03-2026 08:40</t>
  </si>
  <si>
    <t>22-03-2026 08:30</t>
  </si>
  <si>
    <t>22-03-2026 08:20</t>
  </si>
  <si>
    <t>22-03-2026 08:10</t>
  </si>
  <si>
    <t>22-03-2026 08:00</t>
  </si>
  <si>
    <t>22-03-2026 07:50</t>
  </si>
  <si>
    <t>22-03-2026 07:40</t>
  </si>
  <si>
    <t>22-03-2026 07:30</t>
  </si>
  <si>
    <t>22-03-2026 07:20</t>
  </si>
  <si>
    <t>22-03-2026 07:10</t>
  </si>
  <si>
    <t>22-03-2026 07:00</t>
  </si>
  <si>
    <t>23-03-2026 19:00</t>
  </si>
  <si>
    <t>23-03-2026 18:50</t>
  </si>
  <si>
    <t>23-03-2026 18:40</t>
  </si>
  <si>
    <t>23-03-2026 18:30</t>
  </si>
  <si>
    <t>23-03-2026 18:20</t>
  </si>
  <si>
    <t>23-03-2026 18:10</t>
  </si>
  <si>
    <t>23-03-2026 18:00</t>
  </si>
  <si>
    <t>23-03-2026 17:50</t>
  </si>
  <si>
    <t>23-03-2026 17:40</t>
  </si>
  <si>
    <t>23-03-2026 17:30</t>
  </si>
  <si>
    <t>23-03-2026 17:20</t>
  </si>
  <si>
    <t>23-03-2026 17:10</t>
  </si>
  <si>
    <t>23-03-2026 17:00</t>
  </si>
  <si>
    <t>23-03-2026 16:50</t>
  </si>
  <si>
    <t>23-03-2026 16:40</t>
  </si>
  <si>
    <t>23-03-2026 16:30</t>
  </si>
  <si>
    <t>23-03-2026 16:20</t>
  </si>
  <si>
    <t>23-03-2026 16:10</t>
  </si>
  <si>
    <t>23-03-2026 16:00</t>
  </si>
  <si>
    <t>23-03-2026 15:50</t>
  </si>
  <si>
    <t>23-03-2026 15:40</t>
  </si>
  <si>
    <t>23-03-2026 15:30</t>
  </si>
  <si>
    <t>23-03-2026 15:20</t>
  </si>
  <si>
    <t>23-03-2026 15:10</t>
  </si>
  <si>
    <t>23-03-2026 15:00</t>
  </si>
  <si>
    <t>23-03-2026 14:50</t>
  </si>
  <si>
    <t>23-03-2026 14:40</t>
  </si>
  <si>
    <t>23-03-2026 14:30</t>
  </si>
  <si>
    <t>23-03-2026 14:20</t>
  </si>
  <si>
    <t>23-03-2026 14:10</t>
  </si>
  <si>
    <t>23-03-2026 14:00</t>
  </si>
  <si>
    <t>23-03-2026 13:50</t>
  </si>
  <si>
    <t>23-03-2026 13:40</t>
  </si>
  <si>
    <t>23-03-2026 13:30</t>
  </si>
  <si>
    <t>23-03-2026 13:20</t>
  </si>
  <si>
    <t>23-03-2026 13:10</t>
  </si>
  <si>
    <t>23-03-2026 13:00</t>
  </si>
  <si>
    <t>23-03-2026 12:50</t>
  </si>
  <si>
    <t>23-03-2026 12:40</t>
  </si>
  <si>
    <t>23-03-2026 12:30</t>
  </si>
  <si>
    <t>23-03-2026 12:20</t>
  </si>
  <si>
    <t>23-03-2026 12:10</t>
  </si>
  <si>
    <t>23-03-2026 12:00</t>
  </si>
  <si>
    <t>23-03-2026 11:50</t>
  </si>
  <si>
    <t>23-03-2026 11:40</t>
  </si>
  <si>
    <t>23-03-2026 11:30</t>
  </si>
  <si>
    <t>23-03-2026 11:20</t>
  </si>
  <si>
    <t>23-03-2026 11:10</t>
  </si>
  <si>
    <t>23-03-2026 11:00</t>
  </si>
  <si>
    <t>23-03-2026 10:50</t>
  </si>
  <si>
    <t>23-03-2026 10:40</t>
  </si>
  <si>
    <t>23-03-2026 10:30</t>
  </si>
  <si>
    <t>23-03-2026 10:20</t>
  </si>
  <si>
    <t>23-03-2026 10:10</t>
  </si>
  <si>
    <t>23-03-2026 10:00</t>
  </si>
  <si>
    <t>23-03-2026 09:50</t>
  </si>
  <si>
    <t>23-03-2026 09:40</t>
  </si>
  <si>
    <t>23-03-2026 09:30</t>
  </si>
  <si>
    <t>23-03-2026 09:20</t>
  </si>
  <si>
    <t>23-03-2026 09:10</t>
  </si>
  <si>
    <t>23-03-2026 09:00</t>
  </si>
  <si>
    <t>23-03-2026 08:50</t>
  </si>
  <si>
    <t>23-03-2026 08:40</t>
  </si>
  <si>
    <t>23-03-2026 08:30</t>
  </si>
  <si>
    <t>23-03-2026 08:20</t>
  </si>
  <si>
    <t>23-03-2026 08:10</t>
  </si>
  <si>
    <t>23-03-2026 08:00</t>
  </si>
  <si>
    <t>23-03-2026 07:50</t>
  </si>
  <si>
    <t>23-03-2026 07:40</t>
  </si>
  <si>
    <t>23-03-2026 07:30</t>
  </si>
  <si>
    <t>23-03-2026 07:20</t>
  </si>
  <si>
    <t>23-03-2026 07:10</t>
  </si>
  <si>
    <t>23-03-2026 07:00</t>
  </si>
  <si>
    <t>24-03-2026 19:00</t>
  </si>
  <si>
    <t>24-03-2026 18:50</t>
  </si>
  <si>
    <t>24-03-2026 18:40</t>
  </si>
  <si>
    <t>24-03-2026 18:30</t>
  </si>
  <si>
    <t>24-03-2026 18:20</t>
  </si>
  <si>
    <t>24-03-2026 18:10</t>
  </si>
  <si>
    <t>24-03-2026 18:00</t>
  </si>
  <si>
    <t>24-03-2026 17:50</t>
  </si>
  <si>
    <t>24-03-2026 17:40</t>
  </si>
  <si>
    <t>24-03-2026 17:30</t>
  </si>
  <si>
    <t>24-03-2026 17:20</t>
  </si>
  <si>
    <t>24-03-2026 17:10</t>
  </si>
  <si>
    <t>24-03-2026 17:00</t>
  </si>
  <si>
    <t>24-03-2026 16:50</t>
  </si>
  <si>
    <t>24-03-2026 16:40</t>
  </si>
  <si>
    <t>24-03-2026 16:30</t>
  </si>
  <si>
    <t>24-03-2026 16:20</t>
  </si>
  <si>
    <t>24-03-2026 16:10</t>
  </si>
  <si>
    <t>24-03-2026 16:00</t>
  </si>
  <si>
    <t>24-03-2026 15:50</t>
  </si>
  <si>
    <t>24-03-2026 15:40</t>
  </si>
  <si>
    <t>24-03-2026 15:30</t>
  </si>
  <si>
    <t>24-03-2026 15:20</t>
  </si>
  <si>
    <t>24-03-2026 15:10</t>
  </si>
  <si>
    <t>24-03-2026 15:00</t>
  </si>
  <si>
    <t>24-03-2026 14:50</t>
  </si>
  <si>
    <t>24-03-2026 14:40</t>
  </si>
  <si>
    <t>24-03-2026 14:30</t>
  </si>
  <si>
    <t>24-03-2026 14:20</t>
  </si>
  <si>
    <t>24-03-2026 14:10</t>
  </si>
  <si>
    <t>24-03-2026 14:00</t>
  </si>
  <si>
    <t>24-03-2026 13:50</t>
  </si>
  <si>
    <t>24-03-2026 13:40</t>
  </si>
  <si>
    <t>24-03-2026 13:30</t>
  </si>
  <si>
    <t>24-03-2026 13:20</t>
  </si>
  <si>
    <t>24-03-2026 13:10</t>
  </si>
  <si>
    <t>24-03-2026 13:00</t>
  </si>
  <si>
    <t>24-03-2026 12:50</t>
  </si>
  <si>
    <t>24-03-2026 12:40</t>
  </si>
  <si>
    <t>24-03-2026 12:30</t>
  </si>
  <si>
    <t>24-03-2026 12:20</t>
  </si>
  <si>
    <t>24-03-2026 12:10</t>
  </si>
  <si>
    <t>24-03-2026 12:00</t>
  </si>
  <si>
    <t>24-03-2026 11:50</t>
  </si>
  <si>
    <t>24-03-2026 11:40</t>
  </si>
  <si>
    <t>24-03-2026 11:30</t>
  </si>
  <si>
    <t>24-03-2026 11:20</t>
  </si>
  <si>
    <t>24-03-2026 11:10</t>
  </si>
  <si>
    <t>24-03-2026 11:00</t>
  </si>
  <si>
    <t>24-03-2026 10:50</t>
  </si>
  <si>
    <t>24-03-2026 10:40</t>
  </si>
  <si>
    <t>24-03-2026 10:30</t>
  </si>
  <si>
    <t>24-03-2026 10:20</t>
  </si>
  <si>
    <t>24-03-2026 10:10</t>
  </si>
  <si>
    <t>24-03-2026 10:00</t>
  </si>
  <si>
    <t>24-03-2026 09:50</t>
  </si>
  <si>
    <t>24-03-2026 09:40</t>
  </si>
  <si>
    <t>24-03-2026 09:30</t>
  </si>
  <si>
    <t>24-03-2026 09:20</t>
  </si>
  <si>
    <t>24-03-2026 09:10</t>
  </si>
  <si>
    <t>24-03-2026 09:00</t>
  </si>
  <si>
    <t>24-03-2026 08:50</t>
  </si>
  <si>
    <t>24-03-2026 08:40</t>
  </si>
  <si>
    <t>24-03-2026 08:30</t>
  </si>
  <si>
    <t>24-03-2026 08:20</t>
  </si>
  <si>
    <t>24-03-2026 08:10</t>
  </si>
  <si>
    <t>24-03-2026 08:00</t>
  </si>
  <si>
    <t>24-03-2026 07:50</t>
  </si>
  <si>
    <t>24-03-2026 07:40</t>
  </si>
  <si>
    <t>24-03-2026 07:30</t>
  </si>
  <si>
    <t>24-03-2026 07:20</t>
  </si>
  <si>
    <t>24-03-2026 07:10</t>
  </si>
  <si>
    <t>24-03-2026 07:00</t>
  </si>
  <si>
    <t>25-03-2026 19:00</t>
  </si>
  <si>
    <t>25-03-2026 18:50</t>
  </si>
  <si>
    <t>25-03-2026 18:40</t>
  </si>
  <si>
    <t>25-03-2026 18:30</t>
  </si>
  <si>
    <t>25-03-2026 18:20</t>
  </si>
  <si>
    <t>25-03-2026 18:10</t>
  </si>
  <si>
    <t>25-03-2026 18:00</t>
  </si>
  <si>
    <t>25-03-2026 17:50</t>
  </si>
  <si>
    <t>25-03-2026 17:40</t>
  </si>
  <si>
    <t>25-03-2026 17:30</t>
  </si>
  <si>
    <t>25-03-2026 17:20</t>
  </si>
  <si>
    <t>25-03-2026 17:10</t>
  </si>
  <si>
    <t>25-03-2026 17:00</t>
  </si>
  <si>
    <t>25-03-2026 16:50</t>
  </si>
  <si>
    <t>25-03-2026 16:40</t>
  </si>
  <si>
    <t>25-03-2026 16:30</t>
  </si>
  <si>
    <t>25-03-2026 16:20</t>
  </si>
  <si>
    <t>25-03-2026 16:10</t>
  </si>
  <si>
    <t>25-03-2026 16:00</t>
  </si>
  <si>
    <t>25-03-2026 15:50</t>
  </si>
  <si>
    <t>25-03-2026 15:40</t>
  </si>
  <si>
    <t>25-03-2026 15:30</t>
  </si>
  <si>
    <t>25-03-2026 15:20</t>
  </si>
  <si>
    <t>25-03-2026 15:10</t>
  </si>
  <si>
    <t>25-03-2026 15:00</t>
  </si>
  <si>
    <t>25-03-2026 14:50</t>
  </si>
  <si>
    <t>25-03-2026 14:40</t>
  </si>
  <si>
    <t>25-03-2026 14:30</t>
  </si>
  <si>
    <t>25-03-2026 14:20</t>
  </si>
  <si>
    <t>25-03-2026 14:10</t>
  </si>
  <si>
    <t>25-03-2026 14:00</t>
  </si>
  <si>
    <t>25-03-2026 13:50</t>
  </si>
  <si>
    <t>25-03-2026 13:40</t>
  </si>
  <si>
    <t>25-03-2026 13:30</t>
  </si>
  <si>
    <t>25-03-2026 13:20</t>
  </si>
  <si>
    <t>25-03-2026 13:10</t>
  </si>
  <si>
    <t>25-03-2026 13:00</t>
  </si>
  <si>
    <t>25-03-2026 12:50</t>
  </si>
  <si>
    <t>25-03-2026 12:40</t>
  </si>
  <si>
    <t>25-03-2026 12:30</t>
  </si>
  <si>
    <t>25-03-2026 12:20</t>
  </si>
  <si>
    <t>25-03-2026 12:10</t>
  </si>
  <si>
    <t>25-03-2026 12:00</t>
  </si>
  <si>
    <t>25-03-2026 11:50</t>
  </si>
  <si>
    <t>25-03-2026 11:40</t>
  </si>
  <si>
    <t>25-03-2026 11:30</t>
  </si>
  <si>
    <t>25-03-2026 11:20</t>
  </si>
  <si>
    <t>25-03-2026 11:10</t>
  </si>
  <si>
    <t>25-03-2026 11:00</t>
  </si>
  <si>
    <t>25-03-2026 10:50</t>
  </si>
  <si>
    <t>25-03-2026 10:40</t>
  </si>
  <si>
    <t>25-03-2026 10:30</t>
  </si>
  <si>
    <t>25-03-2026 10:20</t>
  </si>
  <si>
    <t>25-03-2026 10:10</t>
  </si>
  <si>
    <t>25-03-2026 10:00</t>
  </si>
  <si>
    <t>25-03-2026 09:50</t>
  </si>
  <si>
    <t>25-03-2026 09:40</t>
  </si>
  <si>
    <t>25-03-2026 09:30</t>
  </si>
  <si>
    <t>25-03-2026 09:20</t>
  </si>
  <si>
    <t>25-03-2026 09:10</t>
  </si>
  <si>
    <t>25-03-2026 09:00</t>
  </si>
  <si>
    <t>25-03-2026 08:50</t>
  </si>
  <si>
    <t>25-03-2026 08:40</t>
  </si>
  <si>
    <t>25-03-2026 08:30</t>
  </si>
  <si>
    <t>25-03-2026 08:20</t>
  </si>
  <si>
    <t>25-03-2026 08:10</t>
  </si>
  <si>
    <t>25-03-2026 08:00</t>
  </si>
  <si>
    <t>25-03-2026 07:50</t>
  </si>
  <si>
    <t>25-03-2026 07:40</t>
  </si>
  <si>
    <t>25-03-2026 07:30</t>
  </si>
  <si>
    <t>25-03-2026 07:20</t>
  </si>
  <si>
    <t>25-03-2026 07:10</t>
  </si>
  <si>
    <t>25-03-2026 07:00</t>
  </si>
  <si>
    <t>26-03-2026 19:00</t>
  </si>
  <si>
    <t>26-03-2026 18:50</t>
  </si>
  <si>
    <t>26-03-2026 18:40</t>
  </si>
  <si>
    <t>26-03-2026 18:30</t>
  </si>
  <si>
    <t>26-03-2026 18:20</t>
  </si>
  <si>
    <t>26-03-2026 18:10</t>
  </si>
  <si>
    <t>26-03-2026 18:00</t>
  </si>
  <si>
    <t>26-03-2026 17:50</t>
  </si>
  <si>
    <t>26-03-2026 17:40</t>
  </si>
  <si>
    <t>26-03-2026 17:30</t>
  </si>
  <si>
    <t>26-03-2026 17:20</t>
  </si>
  <si>
    <t>26-03-2026 17:10</t>
  </si>
  <si>
    <t>26-03-2026 17:00</t>
  </si>
  <si>
    <t>26-03-2026 16:50</t>
  </si>
  <si>
    <t>26-03-2026 16:40</t>
  </si>
  <si>
    <t>26-03-2026 16:30</t>
  </si>
  <si>
    <t>26-03-2026 16:20</t>
  </si>
  <si>
    <t>26-03-2026 16:10</t>
  </si>
  <si>
    <t>26-03-2026 16:00</t>
  </si>
  <si>
    <t>26-03-2026 15:50</t>
  </si>
  <si>
    <t>26-03-2026 15:40</t>
  </si>
  <si>
    <t>26-03-2026 15:30</t>
  </si>
  <si>
    <t>26-03-2026 15:20</t>
  </si>
  <si>
    <t>26-03-2026 15:10</t>
  </si>
  <si>
    <t>26-03-2026 15:00</t>
  </si>
  <si>
    <t>26-03-2026 14:50</t>
  </si>
  <si>
    <t>26-03-2026 14:40</t>
  </si>
  <si>
    <t>26-03-2026 14:30</t>
  </si>
  <si>
    <t>26-03-2026 14:20</t>
  </si>
  <si>
    <t>26-03-2026 14:10</t>
  </si>
  <si>
    <t>26-03-2026 14:00</t>
  </si>
  <si>
    <t>26-03-2026 13:50</t>
  </si>
  <si>
    <t>26-03-2026 13:40</t>
  </si>
  <si>
    <t>26-03-2026 13:30</t>
  </si>
  <si>
    <t>26-03-2026 13:20</t>
  </si>
  <si>
    <t>26-03-2026 13:10</t>
  </si>
  <si>
    <t>26-03-2026 13:00</t>
  </si>
  <si>
    <t>26-03-2026 12:50</t>
  </si>
  <si>
    <t>26-03-2026 12:40</t>
  </si>
  <si>
    <t>26-03-2026 12:30</t>
  </si>
  <si>
    <t>26-03-2026 12:20</t>
  </si>
  <si>
    <t>26-03-2026 12:10</t>
  </si>
  <si>
    <t>26-03-2026 12:00</t>
  </si>
  <si>
    <t>26-03-2026 11:50</t>
  </si>
  <si>
    <t>26-03-2026 11:40</t>
  </si>
  <si>
    <t>26-03-2026 11:30</t>
  </si>
  <si>
    <t>26-03-2026 11:20</t>
  </si>
  <si>
    <t>26-03-2026 11:10</t>
  </si>
  <si>
    <t>26-03-2026 11:00</t>
  </si>
  <si>
    <t>26-03-2026 10:50</t>
  </si>
  <si>
    <t>26-03-2026 10:40</t>
  </si>
  <si>
    <t>26-03-2026 10:30</t>
  </si>
  <si>
    <t>26-03-2026 10:20</t>
  </si>
  <si>
    <t>26-03-2026 10:10</t>
  </si>
  <si>
    <t>26-03-2026 10:00</t>
  </si>
  <si>
    <t>Avg. of B56 &amp; B58</t>
  </si>
  <si>
    <t>26-03-2026 09:40</t>
  </si>
  <si>
    <t>26-03-2026 09:30</t>
  </si>
  <si>
    <t>26-03-2026 09:20</t>
  </si>
  <si>
    <t>26-03-2026 09:10</t>
  </si>
  <si>
    <t>26-03-2026 09:00</t>
  </si>
  <si>
    <t>26-03-2026 08:50</t>
  </si>
  <si>
    <t>26-03-2026 08:40</t>
  </si>
  <si>
    <t>26-03-2026 08:30</t>
  </si>
  <si>
    <t>26-03-2026 08:20</t>
  </si>
  <si>
    <t>26-03-2026 08:10</t>
  </si>
  <si>
    <t>26-03-2026 08:00</t>
  </si>
  <si>
    <t>26-03-2026 07:50</t>
  </si>
  <si>
    <t>26-03-2026 07:40</t>
  </si>
  <si>
    <t>26-03-2026 07:30</t>
  </si>
  <si>
    <t>26-03-2026 07:20</t>
  </si>
  <si>
    <t>26-03-2026 07:10</t>
  </si>
  <si>
    <t>26-03-2026 07:00</t>
  </si>
  <si>
    <t>27-03-2026 19:00</t>
  </si>
  <si>
    <t>27-03-2026 18:50</t>
  </si>
  <si>
    <t>27-03-2026 18:40</t>
  </si>
  <si>
    <t>27-03-2026 18:30</t>
  </si>
  <si>
    <t>27-03-2026 18:20</t>
  </si>
  <si>
    <t>27-03-2026 18:10</t>
  </si>
  <si>
    <t>27-03-2026 18:00</t>
  </si>
  <si>
    <t>27-03-2026 17:50</t>
  </si>
  <si>
    <t>27-03-2026 17:40</t>
  </si>
  <si>
    <t>27-03-2026 17:30</t>
  </si>
  <si>
    <t>27-03-2026 17:20</t>
  </si>
  <si>
    <t>27-03-2026 17:10</t>
  </si>
  <si>
    <t>27-03-2026 17:00</t>
  </si>
  <si>
    <t>27-03-2026 16:50</t>
  </si>
  <si>
    <t>27-03-2026 16:40</t>
  </si>
  <si>
    <t>27-03-2026 16:30</t>
  </si>
  <si>
    <t>27-03-2026 16:20</t>
  </si>
  <si>
    <t>27-03-2026 16:10</t>
  </si>
  <si>
    <t>27-03-2026 16:00</t>
  </si>
  <si>
    <t>27-03-2026 15:50</t>
  </si>
  <si>
    <t>27-03-2026 15:40</t>
  </si>
  <si>
    <t>27-03-2026 15:30</t>
  </si>
  <si>
    <t>27-03-2026 15:20</t>
  </si>
  <si>
    <t>27-03-2026 15:10</t>
  </si>
  <si>
    <t>27-03-2026 15:00</t>
  </si>
  <si>
    <t>27-03-2026 14:50</t>
  </si>
  <si>
    <t>27-03-2026 14:40</t>
  </si>
  <si>
    <t>27-03-2026 14:30</t>
  </si>
  <si>
    <t>27-03-2026 14:20</t>
  </si>
  <si>
    <t>27-03-2026 14:10</t>
  </si>
  <si>
    <t>27-03-2026 14:00</t>
  </si>
  <si>
    <t>27-03-2026 13:50</t>
  </si>
  <si>
    <t>27-03-2026 13:40</t>
  </si>
  <si>
    <t>27-03-2026 13:30</t>
  </si>
  <si>
    <t>27-03-2026 13:20</t>
  </si>
  <si>
    <t>27-03-2026 13:10</t>
  </si>
  <si>
    <t>27-03-2026 13:00</t>
  </si>
  <si>
    <t>27-03-2026 12:50</t>
  </si>
  <si>
    <t>27-03-2026 12:40</t>
  </si>
  <si>
    <t>27-03-2026 12:30</t>
  </si>
  <si>
    <t>27-03-2026 12:20</t>
  </si>
  <si>
    <t>27-03-2026 12:10</t>
  </si>
  <si>
    <t>27-03-2026 12:00</t>
  </si>
  <si>
    <t>27-03-2026 11:50</t>
  </si>
  <si>
    <t>27-03-2026 11:40</t>
  </si>
  <si>
    <t>27-03-2026 11:30</t>
  </si>
  <si>
    <t>27-03-2026 11:20</t>
  </si>
  <si>
    <t>27-03-2026 11:10</t>
  </si>
  <si>
    <t>27-03-2026 11:00</t>
  </si>
  <si>
    <t>27-03-2026 10:50</t>
  </si>
  <si>
    <t>27-03-2026 10:40</t>
  </si>
  <si>
    <t>27-03-2026 10:30</t>
  </si>
  <si>
    <t>27-03-2026 10:20</t>
  </si>
  <si>
    <t>27-03-2026 10:10</t>
  </si>
  <si>
    <t>27-03-2026 10:00</t>
  </si>
  <si>
    <t>27-03-2026 09:50</t>
  </si>
  <si>
    <t>27-03-2026 09:40</t>
  </si>
  <si>
    <t>27-03-2026 09:30</t>
  </si>
  <si>
    <t>27-03-2026 09:20</t>
  </si>
  <si>
    <t>27-03-2026 09:10</t>
  </si>
  <si>
    <t>27-03-2026 09:00</t>
  </si>
  <si>
    <t>27-03-2026 08:50</t>
  </si>
  <si>
    <t>27-03-2026 08:40</t>
  </si>
  <si>
    <t>27-03-2026 08:30</t>
  </si>
  <si>
    <t>27-03-2026 08:20</t>
  </si>
  <si>
    <t>27-03-2026 08:10</t>
  </si>
  <si>
    <t>27-03-2026 08:00</t>
  </si>
  <si>
    <t>27-03-2026 07:50</t>
  </si>
  <si>
    <t>27-03-2026 07:40</t>
  </si>
  <si>
    <t>27-03-2026 07:30</t>
  </si>
  <si>
    <t>27-03-2026 07:20</t>
  </si>
  <si>
    <t>27-03-2026 07:10</t>
  </si>
  <si>
    <t>27-03-2026 07:00</t>
  </si>
  <si>
    <t>28-03-2026 19:00</t>
  </si>
  <si>
    <t>28-03-2026 18:50</t>
  </si>
  <si>
    <t>28-03-2026 18:40</t>
  </si>
  <si>
    <t>28-03-2026 18:30</t>
  </si>
  <si>
    <t>28-03-2026 18:20</t>
  </si>
  <si>
    <t>28-03-2026 18:10</t>
  </si>
  <si>
    <t>28-03-2026 18:00</t>
  </si>
  <si>
    <t>28-03-2026 17:50</t>
  </si>
  <si>
    <t>28-03-2026 17:40</t>
  </si>
  <si>
    <t>28-03-2026 17:30</t>
  </si>
  <si>
    <t>28-03-2026 17:20</t>
  </si>
  <si>
    <t>28-03-2026 17:10</t>
  </si>
  <si>
    <t>28-03-2026 17:00</t>
  </si>
  <si>
    <t>28-03-2026 16:50</t>
  </si>
  <si>
    <t>28-03-2026 16:40</t>
  </si>
  <si>
    <t>28-03-2026 16:30</t>
  </si>
  <si>
    <t>28-03-2026 16:20</t>
  </si>
  <si>
    <t>28-03-2026 16:10</t>
  </si>
  <si>
    <t>28-03-2026 16:00</t>
  </si>
  <si>
    <t>28-03-2026 15:50</t>
  </si>
  <si>
    <t>28-03-2026 15:40</t>
  </si>
  <si>
    <t>28-03-2026 15:30</t>
  </si>
  <si>
    <t>28-03-2026 15:20</t>
  </si>
  <si>
    <t>28-03-2026 15:10</t>
  </si>
  <si>
    <t>28-03-2026 15:00</t>
  </si>
  <si>
    <t>28-03-2026 14:50</t>
  </si>
  <si>
    <t>28-03-2026 14:40</t>
  </si>
  <si>
    <t>28-03-2026 14:30</t>
  </si>
  <si>
    <t>28-03-2026 14:20</t>
  </si>
  <si>
    <t>28-03-2026 14:10</t>
  </si>
  <si>
    <t>28-03-2026 14:00</t>
  </si>
  <si>
    <t>28-03-2026 13:50</t>
  </si>
  <si>
    <t>28-03-2026 13:40</t>
  </si>
  <si>
    <t>28-03-2026 13:30</t>
  </si>
  <si>
    <t>28-03-2026 13:20</t>
  </si>
  <si>
    <t>28-03-2026 13:10</t>
  </si>
  <si>
    <t>28-03-2026 13:00</t>
  </si>
  <si>
    <t>28-03-2026 12:50</t>
  </si>
  <si>
    <t>28-03-2026 12:40</t>
  </si>
  <si>
    <t>28-03-2026 12:30</t>
  </si>
  <si>
    <t>28-03-2026 12:20</t>
  </si>
  <si>
    <t>28-03-2026 12:10</t>
  </si>
  <si>
    <t>28-03-2026 12:00</t>
  </si>
  <si>
    <t>28-03-2026 11:50</t>
  </si>
  <si>
    <t>28-03-2026 11:40</t>
  </si>
  <si>
    <t>28-03-2026 11:30</t>
  </si>
  <si>
    <t>28-03-2026 11:20</t>
  </si>
  <si>
    <t>28-03-2026 11:10</t>
  </si>
  <si>
    <t>28-03-2026 11:00</t>
  </si>
  <si>
    <t>28-03-2026 10:50</t>
  </si>
  <si>
    <t>28-03-2026 10:40</t>
  </si>
  <si>
    <t>28-03-2026 10:30</t>
  </si>
  <si>
    <t>28-03-2026 10:20</t>
  </si>
  <si>
    <t>28-03-2026 10:10</t>
  </si>
  <si>
    <t>28-03-2026 10:00</t>
  </si>
  <si>
    <t>28-03-2026 09:50</t>
  </si>
  <si>
    <t>28-03-2026 09:40</t>
  </si>
  <si>
    <t>28-03-2026 09:30</t>
  </si>
  <si>
    <t>28-03-2026 09:20</t>
  </si>
  <si>
    <t>28-03-2026 09:10</t>
  </si>
  <si>
    <t>28-03-2026 09:00</t>
  </si>
  <si>
    <t>28-03-2026 08:50</t>
  </si>
  <si>
    <t>28-03-2026 08:40</t>
  </si>
  <si>
    <t>28-03-2026 08:30</t>
  </si>
  <si>
    <t>28-03-2026 08:20</t>
  </si>
  <si>
    <t>28-03-2026 08:10</t>
  </si>
  <si>
    <t>28-03-2026 08:00</t>
  </si>
  <si>
    <t>28-03-2026 07:50</t>
  </si>
  <si>
    <t>28-03-2026 07:40</t>
  </si>
  <si>
    <t>28-03-2026 07:30</t>
  </si>
  <si>
    <t>28-03-2026 07:20</t>
  </si>
  <si>
    <t>28-03-2026 07:10</t>
  </si>
  <si>
    <t>28-03-2026 07:00</t>
  </si>
  <si>
    <t>29-03-2026 19:00</t>
  </si>
  <si>
    <t>29-03-2026 18:50</t>
  </si>
  <si>
    <t>29-03-2026 18:40</t>
  </si>
  <si>
    <t>29-03-2026 18:30</t>
  </si>
  <si>
    <t>29-03-2026 18:20</t>
  </si>
  <si>
    <t>29-03-2026 18:10</t>
  </si>
  <si>
    <t>29-03-2026 18:00</t>
  </si>
  <si>
    <t>29-03-2026 17:50</t>
  </si>
  <si>
    <t>29-03-2026 17:40</t>
  </si>
  <si>
    <t>29-03-2026 17:30</t>
  </si>
  <si>
    <t>29-03-2026 17:20</t>
  </si>
  <si>
    <t>29-03-2026 17:10</t>
  </si>
  <si>
    <t>29-03-2026 17:00</t>
  </si>
  <si>
    <t>29-03-2026 16:50</t>
  </si>
  <si>
    <t>29-03-2026 16:40</t>
  </si>
  <si>
    <t>29-03-2026 16:30</t>
  </si>
  <si>
    <t>29-03-2026 16:20</t>
  </si>
  <si>
    <t>29-03-2026 16:10</t>
  </si>
  <si>
    <t>29-03-2026 16:00</t>
  </si>
  <si>
    <t>29-03-2026 15:50</t>
  </si>
  <si>
    <t>29-03-2026 15:40</t>
  </si>
  <si>
    <t>29-03-2026 15:30</t>
  </si>
  <si>
    <t>29-03-2026 15:20</t>
  </si>
  <si>
    <t>29-03-2026 15:10</t>
  </si>
  <si>
    <t>29-03-2026 15:00</t>
  </si>
  <si>
    <t>29-03-2026 14:50</t>
  </si>
  <si>
    <t>29-03-2026 14:40</t>
  </si>
  <si>
    <t>29-03-2026 14:30</t>
  </si>
  <si>
    <t>29-03-2026 14:20</t>
  </si>
  <si>
    <t>29-03-2026 14:10</t>
  </si>
  <si>
    <t>29-03-2026 14:00</t>
  </si>
  <si>
    <t>29-03-2026 13:50</t>
  </si>
  <si>
    <t>29-03-2026 13:40</t>
  </si>
  <si>
    <t>29-03-2026 13:30</t>
  </si>
  <si>
    <t>29-03-2026 13:20</t>
  </si>
  <si>
    <t>29-03-2026 13:10</t>
  </si>
  <si>
    <t>29-03-2026 13:00</t>
  </si>
  <si>
    <t>29-03-2026 12:50</t>
  </si>
  <si>
    <t>29-03-2026 12:40</t>
  </si>
  <si>
    <t>29-03-2026 12:30</t>
  </si>
  <si>
    <t>29-03-2026 12:20</t>
  </si>
  <si>
    <t>29-03-2026 12:10</t>
  </si>
  <si>
    <t>29-03-2026 12:00</t>
  </si>
  <si>
    <t>29-03-2026 11:50</t>
  </si>
  <si>
    <t>29-03-2026 11:40</t>
  </si>
  <si>
    <t>29-03-2026 11:30</t>
  </si>
  <si>
    <t>29-03-2026 11:20</t>
  </si>
  <si>
    <t>29-03-2026 11:10</t>
  </si>
  <si>
    <t>29-03-2026 11:00</t>
  </si>
  <si>
    <t>29-03-2026 10:50</t>
  </si>
  <si>
    <t>29-03-2026 10:40</t>
  </si>
  <si>
    <t>29-03-2026 10:30</t>
  </si>
  <si>
    <t>29-03-2026 10:20</t>
  </si>
  <si>
    <t>29-03-2026 10:10</t>
  </si>
  <si>
    <t>29-03-2026 10:00</t>
  </si>
  <si>
    <t>29-03-2026 09:50</t>
  </si>
  <si>
    <t>29-03-2026 09:40</t>
  </si>
  <si>
    <t>29-03-2026 09:30</t>
  </si>
  <si>
    <t>29-03-2026 09:20</t>
  </si>
  <si>
    <t>29-03-2026 09:10</t>
  </si>
  <si>
    <t>29-03-2026 09:00</t>
  </si>
  <si>
    <t>29-03-2026 08:50</t>
  </si>
  <si>
    <t>29-03-2026 08:40</t>
  </si>
  <si>
    <t>29-03-2026 08:30</t>
  </si>
  <si>
    <t>29-03-2026 08:20</t>
  </si>
  <si>
    <t>29-03-2026 08:10</t>
  </si>
  <si>
    <t>29-03-2026 08:00</t>
  </si>
  <si>
    <t>29-03-2026 07:50</t>
  </si>
  <si>
    <t>29-03-2026 07:40</t>
  </si>
  <si>
    <t>29-03-2026 07:30</t>
  </si>
  <si>
    <t>29-03-2026 07:20</t>
  </si>
  <si>
    <t>29-03-2026 07:10</t>
  </si>
  <si>
    <t>29-03-2026 07:00</t>
  </si>
  <si>
    <t>30-03-2026 19:00</t>
  </si>
  <si>
    <t>30-03-2026 18:50</t>
  </si>
  <si>
    <t>30-03-2026 18:40</t>
  </si>
  <si>
    <t>30-03-2026 18:30</t>
  </si>
  <si>
    <t>30-03-2026 18:20</t>
  </si>
  <si>
    <t>30-03-2026 18:10</t>
  </si>
  <si>
    <t>30-03-2026 18:00</t>
  </si>
  <si>
    <t>30-03-2026 17:50</t>
  </si>
  <si>
    <t>30-03-2026 17:40</t>
  </si>
  <si>
    <t>30-03-2026 17:30</t>
  </si>
  <si>
    <t>30-03-2026 17:20</t>
  </si>
  <si>
    <t>30-03-2026 17:10</t>
  </si>
  <si>
    <t>30-03-2026 17:00</t>
  </si>
  <si>
    <t>30-03-2026 16:50</t>
  </si>
  <si>
    <t>30-03-2026 16:40</t>
  </si>
  <si>
    <t>30-03-2026 16:30</t>
  </si>
  <si>
    <t>30-03-2026 16:20</t>
  </si>
  <si>
    <t>30-03-2026 16:10</t>
  </si>
  <si>
    <t>30-03-2026 16:00</t>
  </si>
  <si>
    <t>30-03-2026 15:50</t>
  </si>
  <si>
    <t>30-03-2026 15:40</t>
  </si>
  <si>
    <t>30-03-2026 15:30</t>
  </si>
  <si>
    <t>30-03-2026 15:20</t>
  </si>
  <si>
    <t>30-03-2026 15:10</t>
  </si>
  <si>
    <t>30-03-2026 15:00</t>
  </si>
  <si>
    <t>30-03-2026 14:50</t>
  </si>
  <si>
    <t>30-03-2026 14:40</t>
  </si>
  <si>
    <t>30-03-2026 14:30</t>
  </si>
  <si>
    <t>30-03-2026 14:20</t>
  </si>
  <si>
    <t>30-03-2026 14:10</t>
  </si>
  <si>
    <t>30-03-2026 14:00</t>
  </si>
  <si>
    <t>30-03-2026 13:50</t>
  </si>
  <si>
    <t>30-03-2026 13:40</t>
  </si>
  <si>
    <t>30-03-2026 13:30</t>
  </si>
  <si>
    <t>30-03-2026 13:20</t>
  </si>
  <si>
    <t>30-03-2026 13:10</t>
  </si>
  <si>
    <t>30-03-2026 13:00</t>
  </si>
  <si>
    <t>30-03-2026 12:50</t>
  </si>
  <si>
    <t>30-03-2026 12:40</t>
  </si>
  <si>
    <t>30-03-2026 12:30</t>
  </si>
  <si>
    <t>30-03-2026 12:20</t>
  </si>
  <si>
    <t>30-03-2026 12:10</t>
  </si>
  <si>
    <t>30-03-2026 12:00</t>
  </si>
  <si>
    <t>30-03-2026 11:50</t>
  </si>
  <si>
    <t>30-03-2026 11:40</t>
  </si>
  <si>
    <t>30-03-2026 11:30</t>
  </si>
  <si>
    <t>30-03-2026 11:20</t>
  </si>
  <si>
    <t>30-03-2026 11:10</t>
  </si>
  <si>
    <t>30-03-2026 11:00</t>
  </si>
  <si>
    <t>30-03-2026 10:50</t>
  </si>
  <si>
    <t>30-03-2026 10:40</t>
  </si>
  <si>
    <t>30-03-2026 10:30</t>
  </si>
  <si>
    <t>30-03-2026 10:20</t>
  </si>
  <si>
    <t>30-03-2026 10:10</t>
  </si>
  <si>
    <t>30-03-2026 10:00</t>
  </si>
  <si>
    <t>30-03-2026 09:50</t>
  </si>
  <si>
    <t>30-03-2026 09:40</t>
  </si>
  <si>
    <t>30-03-2026 09:30</t>
  </si>
  <si>
    <t>30-03-2026 09:20</t>
  </si>
  <si>
    <t>30-03-2026 09:10</t>
  </si>
  <si>
    <t>30-03-2026 09:00</t>
  </si>
  <si>
    <t>30-03-2026 08:50</t>
  </si>
  <si>
    <t>30-03-2026 08:40</t>
  </si>
  <si>
    <t>30-03-2026 08:30</t>
  </si>
  <si>
    <t>30-03-2026 08:20</t>
  </si>
  <si>
    <t>30-03-2026 08:10</t>
  </si>
  <si>
    <t>30-03-2026 08:00</t>
  </si>
  <si>
    <t>30-03-2026 07:50</t>
  </si>
  <si>
    <t>30-03-2026 07:40</t>
  </si>
  <si>
    <t>30-03-2026 07:30</t>
  </si>
  <si>
    <t>30-03-2026 07:20</t>
  </si>
  <si>
    <t>30-03-2026 07:10</t>
  </si>
  <si>
    <t>30-03-2026 07:00</t>
  </si>
  <si>
    <t>31-03-2026 19:00</t>
  </si>
  <si>
    <t>31-03-2026 18:50</t>
  </si>
  <si>
    <t>31-03-2026 18:40</t>
  </si>
  <si>
    <t>31-03-2026 18:30</t>
  </si>
  <si>
    <t>31-03-2026 18:20</t>
  </si>
  <si>
    <t>31-03-2026 18:10</t>
  </si>
  <si>
    <t>31-03-2026 18:00</t>
  </si>
  <si>
    <t>31-03-2026 17:50</t>
  </si>
  <si>
    <t>31-03-2026 17:40</t>
  </si>
  <si>
    <t>31-03-2026 17:30</t>
  </si>
  <si>
    <t>31-03-2026 17:20</t>
  </si>
  <si>
    <t>31-03-2026 17:10</t>
  </si>
  <si>
    <t>31-03-2026 17:00</t>
  </si>
  <si>
    <t>31-03-2026 16:50</t>
  </si>
  <si>
    <t>31-03-2026 16:40</t>
  </si>
  <si>
    <t>31-03-2026 16:30</t>
  </si>
  <si>
    <t>31-03-2026 16:20</t>
  </si>
  <si>
    <t>31-03-2026 16:10</t>
  </si>
  <si>
    <t>31-03-2026 16:00</t>
  </si>
  <si>
    <t>31-03-2026 15:50</t>
  </si>
  <si>
    <t>31-03-2026 15:40</t>
  </si>
  <si>
    <t>31-03-2026 15:30</t>
  </si>
  <si>
    <t>31-03-2026 15:20</t>
  </si>
  <si>
    <t>31-03-2026 15:10</t>
  </si>
  <si>
    <t>31-03-2026 15:00</t>
  </si>
  <si>
    <t>31-03-2026 14:50</t>
  </si>
  <si>
    <t>31-03-2026 14:40</t>
  </si>
  <si>
    <t>31-03-2026 14:30</t>
  </si>
  <si>
    <t>31-03-2026 14:20</t>
  </si>
  <si>
    <t>31-03-2026 14:10</t>
  </si>
  <si>
    <t>31-03-2026 14:00</t>
  </si>
  <si>
    <t>AVG of 13:40 &amp; 14:00</t>
  </si>
  <si>
    <t>31-03-2026 13:40</t>
  </si>
  <si>
    <t>31-03-2026 13:30</t>
  </si>
  <si>
    <t>31-03-2026 13:20</t>
  </si>
  <si>
    <t>31-03-2026 13:10</t>
  </si>
  <si>
    <t>31-03-2026 13:00</t>
  </si>
  <si>
    <t>31-03-2026 12:50</t>
  </si>
  <si>
    <t>31-03-2026 12:40</t>
  </si>
  <si>
    <t>31-03-2026 12:30</t>
  </si>
  <si>
    <t>31-03-2026 12:20</t>
  </si>
  <si>
    <t>31-03-2026 12:10</t>
  </si>
  <si>
    <t>31-03-2026 12:00</t>
  </si>
  <si>
    <t>31-03-2026 11:50</t>
  </si>
  <si>
    <t>31-03-2026 11:40</t>
  </si>
  <si>
    <t>31-03-2026 11:30</t>
  </si>
  <si>
    <t>31-03-2026 11:20</t>
  </si>
  <si>
    <t>31-03-2026 11:10</t>
  </si>
  <si>
    <t>31-03-2026 11:00</t>
  </si>
  <si>
    <t>31-03-2026 10:50</t>
  </si>
  <si>
    <t>31-03-2026 10:40</t>
  </si>
  <si>
    <t>31-03-2026 10:30</t>
  </si>
  <si>
    <t>31-03-2026 10:20</t>
  </si>
  <si>
    <t>31-03-2026 10:10</t>
  </si>
  <si>
    <t>31-03-2026 10:00</t>
  </si>
  <si>
    <t>31-03-2026 09:50</t>
  </si>
  <si>
    <t>31-03-2026 09:40</t>
  </si>
  <si>
    <t>31-03-2026 09:30</t>
  </si>
  <si>
    <t>31-03-2026 09:20</t>
  </si>
  <si>
    <t>31-03-2026 09:10</t>
  </si>
  <si>
    <t>31-03-2026 09:00</t>
  </si>
  <si>
    <t>31-03-2026 08:50</t>
  </si>
  <si>
    <t>31-03-2026 08:40</t>
  </si>
  <si>
    <t>31-03-2026 08:30</t>
  </si>
  <si>
    <t>31-03-2026 08:20</t>
  </si>
  <si>
    <t>31-03-2026 08:10</t>
  </si>
  <si>
    <t>31-03-2026 08:00</t>
  </si>
  <si>
    <t>31-03-2026 07:50</t>
  </si>
  <si>
    <t>31-03-2026 07:40</t>
  </si>
  <si>
    <t>31-03-2026 07:30</t>
  </si>
  <si>
    <t>31-03-2026 07:20</t>
  </si>
  <si>
    <t>31-03-2026 07:10</t>
  </si>
  <si>
    <t>31-03-2026 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</si>
</sst>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"/>
  </numFmts>
  <fonts count="23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ptos Narrow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b/>
      <sz val="12"/>
      <color theme="0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4"/>
      <color theme="0"/>
      <name val="Aptos Narrow"/>
    </font>
    <font>
      <b/>
      <sz val="15"/>
      <color rgb="FF000000"/>
      <name val="Arial"/>
    </font>
    <font>
      <b/>
      <sz val="20"/>
      <color rgb="FF000000"/>
      <name val="Arial"/>
    </font>
    <font>
      <b/>
      <sz val="31"/>
      <color rgb="FF000000"/>
      <name val="Arial"/>
    </font>
    <font>
      <b/>
      <sz val="11"/>
      <color rgb="FFFFFFFF"/>
      <name val="Arial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b/>
      <sz val="26"/>
      <color rgb="FF000000"/>
      <name val="Arial"/>
    </font>
    <font>
      <b/>
      <sz val="11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A02B93"/>
        <bgColor rgb="FFA02B93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2" fontId="11" fillId="7" borderId="1" xfId="0" applyNumberFormat="1" applyFont="1" applyFill="1" applyBorder="1"/>
    <xf numFmtId="0" fontId="12" fillId="7" borderId="1" xfId="0" applyFont="1" applyFill="1" applyBorder="1" applyAlignment="1">
      <alignment horizontal="center"/>
    </xf>
    <xf numFmtId="0" fontId="11" fillId="7" borderId="1" xfId="0" applyFont="1" applyFill="1" applyBorder="1"/>
    <xf numFmtId="0" fontId="12" fillId="7" borderId="1" xfId="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0" xfId="0" applyFont="1"/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22" fontId="11" fillId="8" borderId="1" xfId="0" applyNumberFormat="1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wrapText="1"/>
    </xf>
    <xf numFmtId="0" fontId="13" fillId="8" borderId="1" xfId="0" applyFont="1" applyFill="1" applyBorder="1" applyAlignment="1">
      <alignment wrapText="1"/>
    </xf>
    <xf numFmtId="0" fontId="9" fillId="8" borderId="1" xfId="0" applyFont="1" applyFill="1" applyBorder="1"/>
    <xf numFmtId="0" fontId="9" fillId="0" borderId="0" xfId="0" applyFont="1"/>
    <xf numFmtId="0" fontId="17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164" fontId="18" fillId="4" borderId="0" xfId="0" applyNumberFormat="1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19" fillId="6" borderId="0" xfId="0" applyFont="1" applyFill="1" applyAlignment="1">
      <alignment horizontal="right"/>
    </xf>
    <xf numFmtId="164" fontId="18" fillId="4" borderId="0" xfId="0" applyNumberFormat="1" applyFont="1" applyFill="1"/>
    <xf numFmtId="0" fontId="18" fillId="4" borderId="0" xfId="0" applyFont="1" applyFill="1"/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20" fillId="4" borderId="0" xfId="0" applyFont="1" applyFill="1" applyAlignment="1">
      <alignment horizontal="right"/>
    </xf>
    <xf numFmtId="0" fontId="2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14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3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59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57" Type="http://customschemas.google.com/relationships/workbookmetadata" Target="metadata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23.0898437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46025.791666666664</v>
      </c>
      <c r="B2" s="4">
        <v>0</v>
      </c>
      <c r="C2" s="5">
        <v>17189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27.5</v>
      </c>
      <c r="H2" s="5">
        <v>0.55600000000000005</v>
      </c>
      <c r="I2" s="5">
        <v>32.14</v>
      </c>
    </row>
    <row r="3" spans="1:26" ht="15.75" customHeight="1">
      <c r="A3" s="3">
        <v>46025.784722222219</v>
      </c>
      <c r="B3" s="4">
        <v>0</v>
      </c>
      <c r="C3" s="5">
        <v>17189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5">
        <v>28.19</v>
      </c>
      <c r="H3" s="5">
        <v>0.55600000000000005</v>
      </c>
      <c r="I3" s="5">
        <v>33</v>
      </c>
    </row>
    <row r="4" spans="1:26" ht="15.75" customHeight="1">
      <c r="A4" s="3">
        <v>46025.777777777781</v>
      </c>
      <c r="B4" s="4">
        <v>0</v>
      </c>
      <c r="C4" s="5">
        <v>17189</v>
      </c>
      <c r="D4" s="6">
        <f t="shared" si="0"/>
        <v>0</v>
      </c>
      <c r="E4" s="7">
        <f t="shared" si="1"/>
        <v>2</v>
      </c>
      <c r="F4" s="8">
        <f t="shared" si="2"/>
        <v>2</v>
      </c>
      <c r="G4" s="5">
        <v>29.06</v>
      </c>
      <c r="H4" s="5">
        <v>0.55600000000000005</v>
      </c>
      <c r="I4" s="5">
        <v>34.729999999999997</v>
      </c>
    </row>
    <row r="5" spans="1:26" ht="15.75" customHeight="1">
      <c r="A5" s="3">
        <v>46025.770833333336</v>
      </c>
      <c r="B5" s="5">
        <v>6</v>
      </c>
      <c r="C5" s="5">
        <v>17187</v>
      </c>
      <c r="D5" s="6">
        <f t="shared" si="0"/>
        <v>2.7576755077123845</v>
      </c>
      <c r="E5" s="7">
        <f t="shared" si="1"/>
        <v>7</v>
      </c>
      <c r="F5" s="8">
        <f t="shared" si="2"/>
        <v>4.2423244922876151</v>
      </c>
      <c r="G5" s="5">
        <v>29.63</v>
      </c>
      <c r="H5" s="5">
        <v>0.55600000000000005</v>
      </c>
      <c r="I5" s="5">
        <v>37.31</v>
      </c>
    </row>
    <row r="6" spans="1:26" ht="15.75" customHeight="1">
      <c r="A6" s="3">
        <v>46025.763888888891</v>
      </c>
      <c r="B6" s="5">
        <v>20</v>
      </c>
      <c r="C6" s="5">
        <v>17180</v>
      </c>
      <c r="D6" s="6">
        <f t="shared" si="0"/>
        <v>9.1055083214564654</v>
      </c>
      <c r="E6" s="7">
        <f t="shared" si="1"/>
        <v>15</v>
      </c>
      <c r="F6" s="8">
        <f t="shared" si="2"/>
        <v>5.8944916785435346</v>
      </c>
      <c r="G6" s="5">
        <v>31</v>
      </c>
      <c r="H6" s="5">
        <v>0.88900000000000001</v>
      </c>
      <c r="I6" s="5">
        <v>39.89</v>
      </c>
    </row>
    <row r="7" spans="1:26" ht="15.75" customHeight="1">
      <c r="A7" s="3">
        <v>46025.756944444445</v>
      </c>
      <c r="B7" s="5">
        <v>37</v>
      </c>
      <c r="C7" s="5">
        <v>17165</v>
      </c>
      <c r="D7" s="6">
        <f t="shared" si="0"/>
        <v>16.720168989749048</v>
      </c>
      <c r="E7" s="7">
        <f t="shared" si="1"/>
        <v>25</v>
      </c>
      <c r="F7" s="8">
        <f t="shared" si="2"/>
        <v>8.2798310102509518</v>
      </c>
      <c r="G7" s="5">
        <v>31.06</v>
      </c>
      <c r="H7" s="5">
        <v>0.88900000000000001</v>
      </c>
      <c r="I7" s="5">
        <v>41.9</v>
      </c>
    </row>
    <row r="8" spans="1:26" ht="15.75" customHeight="1">
      <c r="A8" s="3">
        <v>46025.75</v>
      </c>
      <c r="B8" s="5">
        <v>54</v>
      </c>
      <c r="C8" s="5">
        <v>17140</v>
      </c>
      <c r="D8" s="6">
        <f t="shared" si="0"/>
        <v>24.219945123767488</v>
      </c>
      <c r="E8" s="7">
        <f t="shared" si="1"/>
        <v>37.650000000001455</v>
      </c>
      <c r="F8" s="8">
        <f t="shared" si="2"/>
        <v>13.430054876233967</v>
      </c>
      <c r="G8" s="5">
        <v>31.63</v>
      </c>
      <c r="H8" s="5">
        <v>0.55600000000000005</v>
      </c>
      <c r="I8" s="5">
        <v>43.91</v>
      </c>
    </row>
    <row r="9" spans="1:26" ht="15.75" customHeight="1">
      <c r="A9" s="3">
        <v>46025.743055555555</v>
      </c>
      <c r="B9" s="5">
        <v>103</v>
      </c>
      <c r="C9" s="5">
        <v>17102.349999999999</v>
      </c>
      <c r="D9" s="6">
        <f t="shared" si="0"/>
        <v>45.849270176362118</v>
      </c>
      <c r="E9" s="7">
        <f t="shared" si="1"/>
        <v>52.349999999998545</v>
      </c>
      <c r="F9" s="8">
        <f t="shared" si="2"/>
        <v>6.5007298236364264</v>
      </c>
      <c r="G9" s="5">
        <v>32.130000000000003</v>
      </c>
      <c r="H9" s="5">
        <v>0.55600000000000005</v>
      </c>
      <c r="I9" s="5">
        <v>45.92</v>
      </c>
    </row>
    <row r="10" spans="1:26" ht="15.75" customHeight="1">
      <c r="A10" s="3">
        <v>46025.736111111109</v>
      </c>
      <c r="B10" s="5">
        <v>141</v>
      </c>
      <c r="C10" s="5">
        <v>17050</v>
      </c>
      <c r="D10" s="6">
        <f t="shared" si="0"/>
        <v>62.491948901730886</v>
      </c>
      <c r="E10" s="7">
        <f t="shared" si="1"/>
        <v>69</v>
      </c>
      <c r="F10" s="8">
        <f t="shared" si="2"/>
        <v>6.5080510982691138</v>
      </c>
      <c r="G10" s="5">
        <v>32.31</v>
      </c>
      <c r="H10" s="5">
        <v>0.55600000000000005</v>
      </c>
      <c r="I10" s="5">
        <v>47.07</v>
      </c>
    </row>
    <row r="11" spans="1:26" ht="15.75" customHeight="1">
      <c r="A11" s="3">
        <v>46025.729166666664</v>
      </c>
      <c r="B11" s="5">
        <v>186</v>
      </c>
      <c r="C11" s="5">
        <v>16981</v>
      </c>
      <c r="D11" s="6">
        <f t="shared" si="0"/>
        <v>82.348637626925154</v>
      </c>
      <c r="E11" s="7">
        <f t="shared" si="1"/>
        <v>88.650000000001455</v>
      </c>
      <c r="F11" s="8">
        <f t="shared" si="2"/>
        <v>6.3013623730763015</v>
      </c>
      <c r="G11" s="5">
        <v>32.94</v>
      </c>
      <c r="H11" s="5">
        <v>1</v>
      </c>
      <c r="I11" s="5">
        <v>47.35</v>
      </c>
    </row>
    <row r="12" spans="1:26" ht="15.75" customHeight="1">
      <c r="A12" s="3">
        <v>46025.722222222219</v>
      </c>
      <c r="B12" s="5">
        <v>227</v>
      </c>
      <c r="C12" s="5">
        <v>16892.349999999999</v>
      </c>
      <c r="D12" s="6">
        <f t="shared" si="0"/>
        <v>100.50075667372047</v>
      </c>
      <c r="E12" s="7">
        <f t="shared" si="1"/>
        <v>107.34999999999854</v>
      </c>
      <c r="F12" s="8">
        <f t="shared" si="2"/>
        <v>6.8492433262780708</v>
      </c>
      <c r="G12" s="5">
        <v>32.69</v>
      </c>
      <c r="H12" s="5">
        <v>0.77800000000000002</v>
      </c>
      <c r="I12" s="5">
        <v>47.35</v>
      </c>
    </row>
    <row r="13" spans="1:26" ht="15.75" customHeight="1">
      <c r="A13" s="3">
        <v>46025.715277777781</v>
      </c>
      <c r="B13" s="5">
        <v>272</v>
      </c>
      <c r="C13" s="5">
        <v>16785</v>
      </c>
      <c r="D13" s="6">
        <f t="shared" si="0"/>
        <v>120.42381416410562</v>
      </c>
      <c r="E13" s="7">
        <f t="shared" si="1"/>
        <v>129</v>
      </c>
      <c r="F13" s="8">
        <f t="shared" si="2"/>
        <v>8.5761858358943783</v>
      </c>
      <c r="G13" s="5">
        <v>33.25</v>
      </c>
      <c r="H13" s="5">
        <v>0.66700000000000004</v>
      </c>
      <c r="I13" s="5">
        <v>47.35</v>
      </c>
    </row>
    <row r="14" spans="1:26" ht="15.75" customHeight="1">
      <c r="A14" s="3">
        <v>46025.708333333336</v>
      </c>
      <c r="B14" s="5">
        <v>319</v>
      </c>
      <c r="C14" s="5">
        <v>16656</v>
      </c>
      <c r="D14" s="6">
        <f t="shared" si="0"/>
        <v>141.23234087628563</v>
      </c>
      <c r="E14" s="7">
        <f t="shared" si="1"/>
        <v>151</v>
      </c>
      <c r="F14" s="8">
        <f t="shared" si="2"/>
        <v>9.7676591237143668</v>
      </c>
      <c r="G14" s="5">
        <v>32.880000000000003</v>
      </c>
      <c r="H14" s="5">
        <v>1.333</v>
      </c>
      <c r="I14" s="5">
        <v>47.35</v>
      </c>
    </row>
    <row r="15" spans="1:26" ht="15.75" customHeight="1">
      <c r="A15" s="3">
        <v>46025.701388888891</v>
      </c>
      <c r="B15" s="5">
        <v>365</v>
      </c>
      <c r="C15" s="5">
        <v>16505</v>
      </c>
      <c r="D15" s="6">
        <f t="shared" si="0"/>
        <v>161.42019139207036</v>
      </c>
      <c r="E15" s="7">
        <f t="shared" si="1"/>
        <v>168.64999999999964</v>
      </c>
      <c r="F15" s="8">
        <f t="shared" si="2"/>
        <v>7.2298086079292716</v>
      </c>
      <c r="G15" s="5">
        <v>33.56</v>
      </c>
      <c r="H15" s="5">
        <v>0.66700000000000004</v>
      </c>
      <c r="I15" s="5">
        <v>47.64</v>
      </c>
    </row>
    <row r="16" spans="1:26" ht="15.75" customHeight="1">
      <c r="A16" s="3">
        <v>46025.694444444445</v>
      </c>
      <c r="B16" s="5">
        <v>389</v>
      </c>
      <c r="C16" s="5">
        <v>16336.35</v>
      </c>
      <c r="D16" s="6">
        <f t="shared" si="0"/>
        <v>171.65483807670708</v>
      </c>
      <c r="E16" s="7">
        <f t="shared" si="1"/>
        <v>181.35000000000036</v>
      </c>
      <c r="F16" s="8">
        <f t="shared" si="2"/>
        <v>9.6951619232932842</v>
      </c>
      <c r="G16" s="5">
        <v>33.630000000000003</v>
      </c>
      <c r="H16" s="5">
        <v>0.77800000000000002</v>
      </c>
      <c r="I16" s="5">
        <v>48.22</v>
      </c>
    </row>
    <row r="17" spans="1:9" ht="15.75" customHeight="1">
      <c r="A17" s="3">
        <v>46025.6875</v>
      </c>
      <c r="B17" s="5">
        <v>449</v>
      </c>
      <c r="C17" s="5">
        <v>16155</v>
      </c>
      <c r="D17" s="6">
        <f t="shared" si="0"/>
        <v>198.13116271578789</v>
      </c>
      <c r="E17" s="7">
        <f t="shared" si="1"/>
        <v>208.64999999999964</v>
      </c>
      <c r="F17" s="8">
        <f t="shared" si="2"/>
        <v>10.518837284211742</v>
      </c>
      <c r="G17" s="5">
        <v>33.56</v>
      </c>
      <c r="H17" s="5">
        <v>1.222</v>
      </c>
      <c r="I17" s="5">
        <v>48.22</v>
      </c>
    </row>
    <row r="18" spans="1:9" ht="15.75" customHeight="1">
      <c r="A18" s="3">
        <v>46025.680555555555</v>
      </c>
      <c r="B18" s="5">
        <v>497</v>
      </c>
      <c r="C18" s="5">
        <v>15946.35</v>
      </c>
      <c r="D18" s="6">
        <f t="shared" si="0"/>
        <v>219.07828429726624</v>
      </c>
      <c r="E18" s="7">
        <f t="shared" si="1"/>
        <v>229</v>
      </c>
      <c r="F18" s="8">
        <f t="shared" si="2"/>
        <v>9.9217157027337635</v>
      </c>
      <c r="G18" s="5">
        <v>33.31</v>
      </c>
      <c r="H18" s="5">
        <v>0.66700000000000004</v>
      </c>
      <c r="I18" s="5">
        <v>48.5</v>
      </c>
    </row>
    <row r="19" spans="1:9" ht="15.75" customHeight="1">
      <c r="A19" s="3">
        <v>46025.673611111109</v>
      </c>
      <c r="B19" s="5">
        <v>537</v>
      </c>
      <c r="C19" s="5">
        <v>15717.35</v>
      </c>
      <c r="D19" s="6">
        <f t="shared" si="0"/>
        <v>236.71033937149295</v>
      </c>
      <c r="E19" s="7">
        <f t="shared" si="1"/>
        <v>243.35000000000036</v>
      </c>
      <c r="F19" s="8">
        <f t="shared" si="2"/>
        <v>6.6396606285074142</v>
      </c>
      <c r="G19" s="5">
        <v>33.06</v>
      </c>
      <c r="H19" s="5">
        <v>1.889</v>
      </c>
      <c r="I19" s="5">
        <v>48.5</v>
      </c>
    </row>
    <row r="20" spans="1:9" ht="15.75" customHeight="1">
      <c r="A20" s="3">
        <v>46025.666666666664</v>
      </c>
      <c r="B20" s="5">
        <v>577</v>
      </c>
      <c r="C20" s="5">
        <v>15474</v>
      </c>
      <c r="D20" s="6">
        <f t="shared" si="0"/>
        <v>254.34239444571952</v>
      </c>
      <c r="E20" s="7">
        <f t="shared" si="1"/>
        <v>263.64999999999964</v>
      </c>
      <c r="F20" s="8">
        <f t="shared" si="2"/>
        <v>9.3076055542801157</v>
      </c>
      <c r="G20" s="5">
        <v>33.69</v>
      </c>
      <c r="H20" s="5">
        <v>1.222</v>
      </c>
      <c r="I20" s="5">
        <v>48.5</v>
      </c>
    </row>
    <row r="21" spans="1:9" ht="15.75" customHeight="1">
      <c r="A21" s="3">
        <v>46025.659722222219</v>
      </c>
      <c r="B21" s="5">
        <v>615</v>
      </c>
      <c r="C21" s="5">
        <v>15210.35</v>
      </c>
      <c r="D21" s="6">
        <f t="shared" si="0"/>
        <v>271.38232755057811</v>
      </c>
      <c r="E21" s="7">
        <f t="shared" si="1"/>
        <v>276</v>
      </c>
      <c r="F21" s="8">
        <f t="shared" si="2"/>
        <v>4.6176724494218888</v>
      </c>
      <c r="G21" s="5">
        <v>33.56</v>
      </c>
      <c r="H21" s="5">
        <v>1.111</v>
      </c>
      <c r="I21" s="5">
        <v>48.22</v>
      </c>
    </row>
    <row r="22" spans="1:9" ht="15.75" customHeight="1">
      <c r="A22" s="3">
        <v>46025.652777777781</v>
      </c>
      <c r="B22" s="5">
        <v>651</v>
      </c>
      <c r="C22" s="5">
        <v>14934.35</v>
      </c>
      <c r="D22" s="6">
        <f t="shared" si="0"/>
        <v>286.96169633303884</v>
      </c>
      <c r="E22" s="7">
        <f t="shared" si="1"/>
        <v>292.35000000000036</v>
      </c>
      <c r="F22" s="8">
        <f t="shared" si="2"/>
        <v>5.3883036669615194</v>
      </c>
      <c r="G22" s="5">
        <v>33.19</v>
      </c>
      <c r="H22" s="5">
        <v>2</v>
      </c>
      <c r="I22" s="5">
        <v>48.5</v>
      </c>
    </row>
    <row r="23" spans="1:9" ht="15.75" customHeight="1">
      <c r="A23" s="3">
        <v>46025.645833333336</v>
      </c>
      <c r="B23" s="5">
        <v>684</v>
      </c>
      <c r="C23" s="5">
        <v>14642</v>
      </c>
      <c r="D23" s="6">
        <f t="shared" si="0"/>
        <v>301.50814176927594</v>
      </c>
      <c r="E23" s="7">
        <f t="shared" si="1"/>
        <v>305</v>
      </c>
      <c r="F23" s="8">
        <f t="shared" si="2"/>
        <v>3.4918582307240627</v>
      </c>
      <c r="G23" s="5">
        <v>33.25</v>
      </c>
      <c r="H23" s="5">
        <v>2.3330000000000002</v>
      </c>
      <c r="I23" s="5">
        <v>48.5</v>
      </c>
    </row>
    <row r="24" spans="1:9" ht="15.75" customHeight="1">
      <c r="A24" s="3">
        <v>46025.638888888891</v>
      </c>
      <c r="B24" s="5">
        <v>729</v>
      </c>
      <c r="C24" s="5">
        <v>14337</v>
      </c>
      <c r="D24" s="6">
        <f t="shared" si="0"/>
        <v>321.34420372778089</v>
      </c>
      <c r="E24" s="7">
        <f t="shared" si="1"/>
        <v>319</v>
      </c>
      <c r="F24" s="8">
        <f t="shared" si="2"/>
        <v>-2.3442037277808936</v>
      </c>
      <c r="G24" s="5">
        <v>33.19</v>
      </c>
      <c r="H24" s="5">
        <v>1.556</v>
      </c>
      <c r="I24" s="5">
        <v>48.5</v>
      </c>
    </row>
    <row r="25" spans="1:9" ht="15.75" customHeight="1">
      <c r="A25" s="3">
        <v>46025.631944444445</v>
      </c>
      <c r="B25" s="5">
        <v>750</v>
      </c>
      <c r="C25" s="5">
        <v>14018</v>
      </c>
      <c r="D25" s="6">
        <f t="shared" si="0"/>
        <v>330.23539924689135</v>
      </c>
      <c r="E25" s="7">
        <f t="shared" si="1"/>
        <v>329</v>
      </c>
      <c r="F25" s="8">
        <f t="shared" si="2"/>
        <v>-1.2353992468913475</v>
      </c>
      <c r="G25" s="5">
        <v>33.130000000000003</v>
      </c>
      <c r="H25" s="5">
        <v>1</v>
      </c>
      <c r="I25" s="5">
        <v>48.79</v>
      </c>
    </row>
    <row r="26" spans="1:9" ht="15.75" customHeight="1">
      <c r="A26" s="3">
        <v>46025.625</v>
      </c>
      <c r="B26" s="5">
        <v>776</v>
      </c>
      <c r="C26" s="5">
        <v>13689</v>
      </c>
      <c r="D26" s="6">
        <f t="shared" si="0"/>
        <v>341.30525106823671</v>
      </c>
      <c r="E26" s="7">
        <f t="shared" si="1"/>
        <v>340</v>
      </c>
      <c r="F26" s="8">
        <f t="shared" si="2"/>
        <v>-1.3052510682367142</v>
      </c>
      <c r="G26" s="5">
        <v>33.130000000000003</v>
      </c>
      <c r="H26" s="5">
        <v>1.556</v>
      </c>
      <c r="I26" s="5">
        <v>49.08</v>
      </c>
    </row>
    <row r="27" spans="1:9" ht="15.75" customHeight="1">
      <c r="A27" s="3">
        <v>46025.618055555555</v>
      </c>
      <c r="B27" s="5">
        <v>788</v>
      </c>
      <c r="C27" s="5">
        <v>13349</v>
      </c>
      <c r="D27" s="6">
        <f t="shared" si="0"/>
        <v>346.96732614206724</v>
      </c>
      <c r="E27" s="7">
        <f t="shared" si="1"/>
        <v>346.64999999999964</v>
      </c>
      <c r="F27" s="8">
        <f t="shared" si="2"/>
        <v>-0.3173261420675999</v>
      </c>
      <c r="G27" s="5">
        <v>32.31</v>
      </c>
      <c r="H27" s="5">
        <v>0.77800000000000002</v>
      </c>
      <c r="I27" s="5">
        <v>48.79</v>
      </c>
    </row>
    <row r="28" spans="1:9" ht="15.75" customHeight="1">
      <c r="A28" s="3">
        <v>46025.611111111109</v>
      </c>
      <c r="B28" s="5">
        <v>824</v>
      </c>
      <c r="C28" s="5">
        <v>13002.35</v>
      </c>
      <c r="D28" s="6">
        <f t="shared" si="0"/>
        <v>362.81862530591798</v>
      </c>
      <c r="E28" s="7">
        <f t="shared" si="1"/>
        <v>365.35000000000036</v>
      </c>
      <c r="F28" s="8">
        <f t="shared" si="2"/>
        <v>2.5313746940823876</v>
      </c>
      <c r="G28" s="5">
        <v>32.56</v>
      </c>
      <c r="H28" s="5">
        <v>0.66700000000000004</v>
      </c>
      <c r="I28" s="5">
        <v>48.79</v>
      </c>
    </row>
    <row r="29" spans="1:9" ht="15.75" customHeight="1">
      <c r="A29" s="3">
        <v>46025.604166666664</v>
      </c>
      <c r="B29" s="5">
        <v>896</v>
      </c>
      <c r="C29" s="5">
        <v>12637</v>
      </c>
      <c r="D29" s="6">
        <f t="shared" si="0"/>
        <v>394.52122363361957</v>
      </c>
      <c r="E29" s="7">
        <f t="shared" si="1"/>
        <v>383</v>
      </c>
      <c r="F29" s="8">
        <f t="shared" si="2"/>
        <v>-11.52122363361957</v>
      </c>
      <c r="G29" s="5">
        <v>32.69</v>
      </c>
      <c r="H29" s="5">
        <v>0.77800000000000002</v>
      </c>
      <c r="I29" s="5">
        <v>48.79</v>
      </c>
    </row>
    <row r="30" spans="1:9" ht="15.75" customHeight="1">
      <c r="A30" s="3">
        <v>46025.597222222219</v>
      </c>
      <c r="B30" s="5">
        <v>896</v>
      </c>
      <c r="C30" s="5">
        <v>12254</v>
      </c>
      <c r="D30" s="6">
        <f t="shared" si="0"/>
        <v>394.52122363361957</v>
      </c>
      <c r="E30" s="7">
        <f t="shared" si="1"/>
        <v>380</v>
      </c>
      <c r="F30" s="8">
        <f t="shared" si="2"/>
        <v>-14.52122363361957</v>
      </c>
      <c r="G30" s="5">
        <v>32.380000000000003</v>
      </c>
      <c r="H30" s="5">
        <v>3.556</v>
      </c>
      <c r="I30" s="5">
        <v>48.79</v>
      </c>
    </row>
    <row r="31" spans="1:9" ht="15.75" customHeight="1">
      <c r="A31" s="3">
        <v>46025.590277777781</v>
      </c>
      <c r="B31" s="5">
        <v>890</v>
      </c>
      <c r="C31" s="5">
        <v>11874</v>
      </c>
      <c r="D31" s="6">
        <f t="shared" si="0"/>
        <v>392.31322540154315</v>
      </c>
      <c r="E31" s="7">
        <f t="shared" si="1"/>
        <v>380</v>
      </c>
      <c r="F31" s="8">
        <f t="shared" si="2"/>
        <v>-12.31322540154315</v>
      </c>
      <c r="G31" s="5">
        <v>32</v>
      </c>
      <c r="H31" s="5">
        <v>2.1110000000000002</v>
      </c>
      <c r="I31" s="5">
        <v>48.5</v>
      </c>
    </row>
    <row r="32" spans="1:9" ht="15.75" customHeight="1">
      <c r="A32" s="3">
        <v>46025.583333333336</v>
      </c>
      <c r="B32" s="5">
        <v>877</v>
      </c>
      <c r="C32" s="5">
        <v>11494</v>
      </c>
      <c r="D32" s="6">
        <f t="shared" si="0"/>
        <v>386.58280750241954</v>
      </c>
      <c r="E32" s="7">
        <f t="shared" si="1"/>
        <v>384</v>
      </c>
      <c r="F32" s="8">
        <f t="shared" si="2"/>
        <v>-2.5828075024195414</v>
      </c>
      <c r="G32" s="5">
        <v>32</v>
      </c>
      <c r="H32" s="5">
        <v>0.88900000000000001</v>
      </c>
      <c r="I32" s="5">
        <v>48.5</v>
      </c>
    </row>
    <row r="33" spans="1:9" ht="15.75" customHeight="1">
      <c r="A33" s="3">
        <v>46025.576388888891</v>
      </c>
      <c r="B33" s="5">
        <v>935</v>
      </c>
      <c r="C33" s="5">
        <v>11110</v>
      </c>
      <c r="D33" s="6">
        <f t="shared" si="0"/>
        <v>412.14928736004816</v>
      </c>
      <c r="E33" s="7">
        <f t="shared" si="1"/>
        <v>400</v>
      </c>
      <c r="F33" s="8">
        <f t="shared" si="2"/>
        <v>-12.149287360048163</v>
      </c>
      <c r="G33" s="5">
        <v>31.19</v>
      </c>
      <c r="H33" s="5">
        <v>1.333</v>
      </c>
      <c r="I33" s="5">
        <v>48.5</v>
      </c>
    </row>
    <row r="34" spans="1:9" ht="15.75" customHeight="1">
      <c r="A34" s="3">
        <v>46025.569444444445</v>
      </c>
      <c r="B34" s="5">
        <v>951</v>
      </c>
      <c r="C34" s="5">
        <v>10710</v>
      </c>
      <c r="D34" s="6">
        <f t="shared" si="0"/>
        <v>419.20210938973884</v>
      </c>
      <c r="E34" s="7">
        <f t="shared" si="1"/>
        <v>403.64999999999964</v>
      </c>
      <c r="F34" s="8">
        <f t="shared" si="2"/>
        <v>-15.552109389739201</v>
      </c>
      <c r="G34" s="5">
        <v>31.25</v>
      </c>
      <c r="H34" s="5">
        <v>1.778</v>
      </c>
      <c r="I34" s="5">
        <v>48.5</v>
      </c>
    </row>
    <row r="35" spans="1:9" ht="15.75" customHeight="1">
      <c r="A35" s="3">
        <v>46025.5625</v>
      </c>
      <c r="B35" s="5">
        <v>949</v>
      </c>
      <c r="C35" s="5">
        <v>10306.35</v>
      </c>
      <c r="D35" s="6">
        <f t="shared" si="0"/>
        <v>417.85785851373322</v>
      </c>
      <c r="E35" s="7">
        <f t="shared" si="1"/>
        <v>404.35000000000036</v>
      </c>
      <c r="F35" s="8">
        <f t="shared" si="2"/>
        <v>-13.507858513732856</v>
      </c>
      <c r="G35" s="5">
        <v>31</v>
      </c>
      <c r="H35" s="5">
        <v>2.444</v>
      </c>
      <c r="I35" s="5">
        <v>48.79</v>
      </c>
    </row>
    <row r="36" spans="1:9" ht="15.75" customHeight="1">
      <c r="A36" s="3">
        <v>46025.555555555555</v>
      </c>
      <c r="B36" s="5">
        <v>962</v>
      </c>
      <c r="C36" s="5">
        <v>9902</v>
      </c>
      <c r="D36" s="6">
        <f t="shared" si="0"/>
        <v>424.05092453515118</v>
      </c>
      <c r="E36" s="7">
        <f t="shared" si="1"/>
        <v>408.64700000000084</v>
      </c>
      <c r="F36" s="8">
        <f t="shared" si="2"/>
        <v>-15.403924535150338</v>
      </c>
      <c r="G36" s="5">
        <v>31.13</v>
      </c>
      <c r="H36" s="5">
        <v>0.88900000000000001</v>
      </c>
      <c r="I36" s="5">
        <v>48.5</v>
      </c>
    </row>
    <row r="37" spans="1:9" ht="15.75" customHeight="1">
      <c r="A37" s="3">
        <v>46025.548611111109</v>
      </c>
      <c r="B37" s="5">
        <v>970</v>
      </c>
      <c r="C37" s="5">
        <v>9493.3529999999992</v>
      </c>
      <c r="D37" s="6">
        <f t="shared" si="0"/>
        <v>427.57733554999646</v>
      </c>
      <c r="E37" s="7">
        <f t="shared" si="1"/>
        <v>413.35299999999916</v>
      </c>
      <c r="F37" s="8">
        <f t="shared" si="2"/>
        <v>-14.224335549997306</v>
      </c>
      <c r="G37" s="5">
        <v>30.63</v>
      </c>
      <c r="H37" s="5">
        <v>1.889</v>
      </c>
      <c r="I37" s="5">
        <v>48.5</v>
      </c>
    </row>
    <row r="38" spans="1:9" ht="15.75" customHeight="1">
      <c r="A38" s="3">
        <v>46025.541666666664</v>
      </c>
      <c r="B38" s="5">
        <v>977</v>
      </c>
      <c r="C38" s="5">
        <v>9080</v>
      </c>
      <c r="D38" s="6">
        <f t="shared" si="0"/>
        <v>430.66294518798628</v>
      </c>
      <c r="E38" s="7">
        <f t="shared" si="1"/>
        <v>413</v>
      </c>
      <c r="F38" s="8">
        <f t="shared" si="2"/>
        <v>-17.662945187986281</v>
      </c>
      <c r="G38" s="5">
        <v>30.44</v>
      </c>
      <c r="H38" s="5">
        <v>3.1110000000000002</v>
      </c>
      <c r="I38" s="5">
        <v>48.5</v>
      </c>
    </row>
    <row r="39" spans="1:9" ht="15.75" customHeight="1">
      <c r="A39" s="3">
        <v>46025.534722222219</v>
      </c>
      <c r="B39" s="5">
        <v>975</v>
      </c>
      <c r="C39" s="5">
        <v>8667</v>
      </c>
      <c r="D39" s="6">
        <f t="shared" si="0"/>
        <v>429.30601902095873</v>
      </c>
      <c r="E39" s="7">
        <f t="shared" si="1"/>
        <v>412.64700000000084</v>
      </c>
      <c r="F39" s="8">
        <f t="shared" si="2"/>
        <v>-16.659019020957885</v>
      </c>
      <c r="G39" s="5">
        <v>30.13</v>
      </c>
      <c r="H39" s="5">
        <v>2.444</v>
      </c>
      <c r="I39" s="5">
        <v>48.79</v>
      </c>
    </row>
    <row r="40" spans="1:9" ht="15.75" customHeight="1">
      <c r="A40" s="3">
        <v>46025.527777777781</v>
      </c>
      <c r="B40" s="5">
        <v>970</v>
      </c>
      <c r="C40" s="5">
        <v>8254.3529999999992</v>
      </c>
      <c r="D40" s="6">
        <f t="shared" si="0"/>
        <v>427.57733554999646</v>
      </c>
      <c r="E40" s="7">
        <f t="shared" si="1"/>
        <v>412.35299999999916</v>
      </c>
      <c r="F40" s="8">
        <f t="shared" si="2"/>
        <v>-15.224335549997306</v>
      </c>
      <c r="G40" s="5">
        <v>29.87</v>
      </c>
      <c r="H40" s="5">
        <v>1.222</v>
      </c>
      <c r="I40" s="5">
        <v>48.5</v>
      </c>
    </row>
    <row r="41" spans="1:9" ht="15.75" customHeight="1">
      <c r="A41" s="3">
        <v>46025.520833333336</v>
      </c>
      <c r="B41" s="5">
        <v>966</v>
      </c>
      <c r="C41" s="5">
        <v>7842</v>
      </c>
      <c r="D41" s="6">
        <f t="shared" si="0"/>
        <v>425.81413004257382</v>
      </c>
      <c r="E41" s="7">
        <f t="shared" si="1"/>
        <v>411</v>
      </c>
      <c r="F41" s="8">
        <f t="shared" si="2"/>
        <v>-14.814130042573822</v>
      </c>
      <c r="G41" s="5">
        <v>30.37</v>
      </c>
      <c r="H41" s="5">
        <v>3</v>
      </c>
      <c r="I41" s="5">
        <v>48.5</v>
      </c>
    </row>
    <row r="42" spans="1:9" ht="15.75" customHeight="1">
      <c r="A42" s="3">
        <v>46025.513888888891</v>
      </c>
      <c r="B42" s="5">
        <v>958</v>
      </c>
      <c r="C42" s="5">
        <v>7431</v>
      </c>
      <c r="D42" s="6">
        <f t="shared" si="0"/>
        <v>422.28771902772849</v>
      </c>
      <c r="E42" s="7">
        <f t="shared" si="1"/>
        <v>409</v>
      </c>
      <c r="F42" s="8">
        <f t="shared" si="2"/>
        <v>-13.287719027728485</v>
      </c>
      <c r="G42" s="5">
        <v>29.31</v>
      </c>
      <c r="H42" s="5">
        <v>0.88900000000000001</v>
      </c>
      <c r="I42" s="5">
        <v>48.5</v>
      </c>
    </row>
    <row r="43" spans="1:9" ht="15.75" customHeight="1">
      <c r="A43" s="3">
        <v>46025.506944444445</v>
      </c>
      <c r="B43" s="5">
        <v>951</v>
      </c>
      <c r="C43" s="5">
        <v>7022</v>
      </c>
      <c r="D43" s="6">
        <f t="shared" si="0"/>
        <v>418.7384862450582</v>
      </c>
      <c r="E43" s="7">
        <f t="shared" si="1"/>
        <v>404.64699999999993</v>
      </c>
      <c r="F43" s="8">
        <f t="shared" si="2"/>
        <v>-14.091486245058263</v>
      </c>
      <c r="G43" s="5">
        <v>29.87</v>
      </c>
      <c r="H43" s="5">
        <v>0.77800000000000002</v>
      </c>
      <c r="I43" s="5">
        <v>48.79</v>
      </c>
    </row>
    <row r="44" spans="1:9" ht="15.75" customHeight="1">
      <c r="A44" s="3">
        <v>46025.5</v>
      </c>
      <c r="B44" s="5">
        <v>937</v>
      </c>
      <c r="C44" s="5">
        <v>6617.3530000000001</v>
      </c>
      <c r="D44" s="6">
        <f t="shared" si="0"/>
        <v>412.57409212578301</v>
      </c>
      <c r="E44" s="7">
        <f t="shared" si="1"/>
        <v>400.35300000000007</v>
      </c>
      <c r="F44" s="8">
        <f t="shared" si="2"/>
        <v>-12.221092125782945</v>
      </c>
      <c r="G44" s="5">
        <v>29.56</v>
      </c>
      <c r="H44" s="5">
        <v>1.667</v>
      </c>
      <c r="I44" s="5">
        <v>48.79</v>
      </c>
    </row>
    <row r="45" spans="1:9" ht="15.75" customHeight="1">
      <c r="A45" s="3">
        <v>46025.493055555555</v>
      </c>
      <c r="B45" s="5">
        <v>926</v>
      </c>
      <c r="C45" s="5">
        <v>6217</v>
      </c>
      <c r="D45" s="6">
        <f t="shared" si="0"/>
        <v>408.18207496834719</v>
      </c>
      <c r="E45" s="7">
        <f t="shared" si="1"/>
        <v>397</v>
      </c>
      <c r="F45" s="8">
        <f t="shared" si="2"/>
        <v>-11.182074968347194</v>
      </c>
      <c r="G45" s="5">
        <v>29.13</v>
      </c>
      <c r="H45" s="5">
        <v>0.55600000000000005</v>
      </c>
      <c r="I45" s="5">
        <v>48.5</v>
      </c>
    </row>
    <row r="46" spans="1:9" ht="15.75" customHeight="1">
      <c r="A46" s="3">
        <v>46025.486111111109</v>
      </c>
      <c r="B46" s="5">
        <v>908</v>
      </c>
      <c r="C46" s="5">
        <v>5820</v>
      </c>
      <c r="D46" s="6">
        <f t="shared" si="0"/>
        <v>399.80499002156984</v>
      </c>
      <c r="E46" s="7">
        <f t="shared" si="1"/>
        <v>392</v>
      </c>
      <c r="F46" s="8">
        <f t="shared" si="2"/>
        <v>-7.8049900215698358</v>
      </c>
      <c r="G46" s="5">
        <v>28.13</v>
      </c>
      <c r="H46" s="5">
        <v>3.444</v>
      </c>
      <c r="I46" s="5">
        <v>48.79</v>
      </c>
    </row>
    <row r="47" spans="1:9" ht="15.75" customHeight="1">
      <c r="A47" s="3">
        <v>46025.479166666664</v>
      </c>
      <c r="B47" s="5">
        <v>895</v>
      </c>
      <c r="C47" s="5">
        <v>5428</v>
      </c>
      <c r="D47" s="6">
        <f t="shared" si="0"/>
        <v>394.08090976795705</v>
      </c>
      <c r="E47" s="7">
        <f t="shared" si="1"/>
        <v>385</v>
      </c>
      <c r="F47" s="8">
        <f t="shared" si="2"/>
        <v>-9.0809097679570527</v>
      </c>
      <c r="G47" s="5">
        <v>28.81</v>
      </c>
      <c r="H47" s="5">
        <v>2.1110000000000002</v>
      </c>
      <c r="I47" s="5">
        <v>48.79</v>
      </c>
    </row>
    <row r="48" spans="1:9" ht="15.75" customHeight="1">
      <c r="A48" s="3">
        <v>46025.472222222219</v>
      </c>
      <c r="B48" s="5">
        <v>873</v>
      </c>
      <c r="C48" s="5">
        <v>5043</v>
      </c>
      <c r="D48" s="6">
        <f t="shared" si="0"/>
        <v>384.81960199499684</v>
      </c>
      <c r="E48" s="7">
        <f t="shared" si="1"/>
        <v>378</v>
      </c>
      <c r="F48" s="8">
        <f t="shared" si="2"/>
        <v>-6.8196019949968445</v>
      </c>
      <c r="G48" s="5">
        <v>27.63</v>
      </c>
      <c r="H48" s="5">
        <v>3.222</v>
      </c>
      <c r="I48" s="5">
        <v>48.5</v>
      </c>
    </row>
    <row r="49" spans="1:9" ht="15.75" customHeight="1">
      <c r="A49" s="3">
        <v>46025.465277777781</v>
      </c>
      <c r="B49" s="5">
        <v>851</v>
      </c>
      <c r="C49" s="5">
        <v>4665</v>
      </c>
      <c r="D49" s="6">
        <f t="shared" si="0"/>
        <v>375.12197170417215</v>
      </c>
      <c r="E49" s="7">
        <f t="shared" si="1"/>
        <v>370</v>
      </c>
      <c r="F49" s="8">
        <f t="shared" si="2"/>
        <v>-5.1219717041721537</v>
      </c>
      <c r="G49" s="5">
        <v>28.25</v>
      </c>
      <c r="H49" s="5">
        <v>0.77800000000000002</v>
      </c>
      <c r="I49" s="5">
        <v>48.5</v>
      </c>
    </row>
    <row r="50" spans="1:9" ht="15.75" customHeight="1">
      <c r="A50" s="3">
        <v>46025.458333333336</v>
      </c>
      <c r="B50" s="5">
        <v>828</v>
      </c>
      <c r="C50" s="5">
        <v>4295</v>
      </c>
      <c r="D50" s="6">
        <f t="shared" si="0"/>
        <v>364.5798807685681</v>
      </c>
      <c r="E50" s="7">
        <f t="shared" si="1"/>
        <v>361.64699999999993</v>
      </c>
      <c r="F50" s="8">
        <f t="shared" si="2"/>
        <v>-2.9328807685681682</v>
      </c>
      <c r="G50" s="5">
        <v>27.88</v>
      </c>
      <c r="H50" s="5">
        <v>1.778</v>
      </c>
      <c r="I50" s="5">
        <v>48.79</v>
      </c>
    </row>
    <row r="51" spans="1:9" ht="15.75" customHeight="1">
      <c r="A51" s="3">
        <v>46025.451388888891</v>
      </c>
      <c r="B51" s="5">
        <v>803</v>
      </c>
      <c r="C51" s="5">
        <v>3933.3530000000001</v>
      </c>
      <c r="D51" s="6">
        <f t="shared" si="0"/>
        <v>353.57203412700511</v>
      </c>
      <c r="E51" s="7">
        <f t="shared" si="1"/>
        <v>350.35300000000007</v>
      </c>
      <c r="F51" s="8">
        <f t="shared" si="2"/>
        <v>-3.2190341270050453</v>
      </c>
      <c r="G51" s="5">
        <v>26.94</v>
      </c>
      <c r="H51" s="5">
        <v>2.778</v>
      </c>
      <c r="I51" s="5">
        <v>48.79</v>
      </c>
    </row>
    <row r="52" spans="1:9" ht="15.75" customHeight="1">
      <c r="A52" s="3">
        <v>46025.444444444445</v>
      </c>
      <c r="B52" s="5">
        <v>776</v>
      </c>
      <c r="C52" s="5">
        <v>3583</v>
      </c>
      <c r="D52" s="6">
        <f t="shared" si="0"/>
        <v>341.68355975411703</v>
      </c>
      <c r="E52" s="7">
        <f t="shared" si="1"/>
        <v>341.64699999999993</v>
      </c>
      <c r="F52" s="8">
        <f t="shared" si="2"/>
        <v>-3.655975411709278E-2</v>
      </c>
      <c r="G52" s="5">
        <v>27.06</v>
      </c>
      <c r="H52" s="5">
        <v>2.6669999999999998</v>
      </c>
      <c r="I52" s="5">
        <v>48.79</v>
      </c>
    </row>
    <row r="53" spans="1:9" ht="15.75" customHeight="1">
      <c r="A53" s="3">
        <v>46025.4375</v>
      </c>
      <c r="B53" s="5">
        <v>746</v>
      </c>
      <c r="C53" s="5">
        <v>3241.3530000000001</v>
      </c>
      <c r="D53" s="6">
        <f t="shared" si="0"/>
        <v>328.8378271343272</v>
      </c>
      <c r="E53" s="7">
        <f t="shared" si="1"/>
        <v>326.35300000000007</v>
      </c>
      <c r="F53" s="8">
        <f t="shared" si="2"/>
        <v>-2.4848271343271335</v>
      </c>
      <c r="G53" s="5">
        <v>27.19</v>
      </c>
      <c r="H53" s="5">
        <v>4</v>
      </c>
      <c r="I53" s="5">
        <v>48.5</v>
      </c>
    </row>
    <row r="54" spans="1:9" ht="15.75" customHeight="1">
      <c r="A54" s="3">
        <v>46025.430555555555</v>
      </c>
      <c r="B54" s="5">
        <v>712</v>
      </c>
      <c r="C54" s="5">
        <v>2915</v>
      </c>
      <c r="D54" s="6">
        <f t="shared" si="0"/>
        <v>313.85058032123447</v>
      </c>
      <c r="E54" s="7">
        <f t="shared" si="1"/>
        <v>315</v>
      </c>
      <c r="F54" s="8">
        <f t="shared" si="2"/>
        <v>1.1494196787655255</v>
      </c>
      <c r="G54" s="5">
        <v>26.94</v>
      </c>
      <c r="H54" s="5">
        <v>4.444</v>
      </c>
      <c r="I54" s="5">
        <v>48.5</v>
      </c>
    </row>
    <row r="55" spans="1:9" ht="15.75" customHeight="1">
      <c r="A55" s="3">
        <v>46025.423611111109</v>
      </c>
      <c r="B55" s="5">
        <v>679</v>
      </c>
      <c r="C55" s="5">
        <v>2600</v>
      </c>
      <c r="D55" s="6">
        <f t="shared" si="0"/>
        <v>299.30413488499761</v>
      </c>
      <c r="E55" s="7">
        <f t="shared" si="1"/>
        <v>300.64699999999993</v>
      </c>
      <c r="F55" s="8">
        <f t="shared" si="2"/>
        <v>1.3428651150023256</v>
      </c>
      <c r="G55" s="5">
        <v>26.81</v>
      </c>
      <c r="H55" s="5">
        <v>5.444</v>
      </c>
      <c r="I55" s="5">
        <v>48.5</v>
      </c>
    </row>
    <row r="56" spans="1:9" ht="15.75" customHeight="1">
      <c r="A56" s="3">
        <v>46025.416666666664</v>
      </c>
      <c r="B56" s="5">
        <v>643</v>
      </c>
      <c r="C56" s="5">
        <v>2299.3530000000001</v>
      </c>
      <c r="D56" s="6">
        <f t="shared" si="0"/>
        <v>283.43528531819351</v>
      </c>
      <c r="E56" s="7">
        <f t="shared" si="1"/>
        <v>283.35300000000007</v>
      </c>
      <c r="F56" s="8">
        <f t="shared" si="2"/>
        <v>-8.2285318193441981E-2</v>
      </c>
      <c r="G56" s="5">
        <v>25.93</v>
      </c>
      <c r="H56" s="5">
        <v>5.1109999999999998</v>
      </c>
      <c r="I56" s="5">
        <v>48.5</v>
      </c>
    </row>
    <row r="57" spans="1:9" ht="15.75" customHeight="1">
      <c r="A57" s="3">
        <v>46025.409722222219</v>
      </c>
      <c r="B57" s="5">
        <v>604</v>
      </c>
      <c r="C57" s="5">
        <v>2016</v>
      </c>
      <c r="D57" s="6">
        <f t="shared" si="0"/>
        <v>266.24403162082262</v>
      </c>
      <c r="E57" s="7">
        <f t="shared" si="1"/>
        <v>268</v>
      </c>
      <c r="F57" s="8">
        <f t="shared" si="2"/>
        <v>1.755968379177375</v>
      </c>
      <c r="G57" s="5">
        <v>26.31</v>
      </c>
      <c r="H57" s="5">
        <v>3.8889999999999998</v>
      </c>
      <c r="I57" s="5">
        <v>48.5</v>
      </c>
    </row>
    <row r="58" spans="1:9" ht="15.75" customHeight="1">
      <c r="A58" s="3">
        <v>46025.402777777781</v>
      </c>
      <c r="B58" s="5">
        <v>568</v>
      </c>
      <c r="C58" s="5">
        <v>1748</v>
      </c>
      <c r="D58" s="6">
        <f t="shared" si="0"/>
        <v>250.37518205401855</v>
      </c>
      <c r="E58" s="7">
        <f t="shared" si="1"/>
        <v>250</v>
      </c>
      <c r="F58" s="8">
        <f t="shared" si="2"/>
        <v>-0.37518205401855198</v>
      </c>
      <c r="G58" s="5">
        <v>25.93</v>
      </c>
      <c r="H58" s="5">
        <v>3.8889999999999998</v>
      </c>
      <c r="I58" s="5">
        <v>48.5</v>
      </c>
    </row>
    <row r="59" spans="1:9" ht="15.75" customHeight="1">
      <c r="A59" s="3">
        <v>46025.395833333336</v>
      </c>
      <c r="B59" s="5">
        <v>528</v>
      </c>
      <c r="C59" s="5">
        <v>1498</v>
      </c>
      <c r="D59" s="6">
        <f t="shared" si="0"/>
        <v>232.7431269797919</v>
      </c>
      <c r="E59" s="7">
        <f t="shared" si="1"/>
        <v>232.64699999999993</v>
      </c>
      <c r="F59" s="8">
        <f t="shared" si="2"/>
        <v>-9.6126979791961276E-2</v>
      </c>
      <c r="G59" s="5">
        <v>25.68</v>
      </c>
      <c r="H59" s="5">
        <v>1.222</v>
      </c>
      <c r="I59" s="5">
        <v>48.5</v>
      </c>
    </row>
    <row r="60" spans="1:9" ht="15.75" customHeight="1">
      <c r="A60" s="3">
        <v>46025.388888888891</v>
      </c>
      <c r="B60" s="5">
        <v>487</v>
      </c>
      <c r="C60" s="5">
        <v>1265.3530000000001</v>
      </c>
      <c r="D60" s="6">
        <f t="shared" si="0"/>
        <v>215.37433755599528</v>
      </c>
      <c r="E60" s="7">
        <f t="shared" si="1"/>
        <v>213</v>
      </c>
      <c r="F60" s="8">
        <f t="shared" si="2"/>
        <v>-2.3743375559952824</v>
      </c>
      <c r="G60" s="5">
        <v>25.18</v>
      </c>
      <c r="H60" s="5">
        <v>3.3330000000000002</v>
      </c>
      <c r="I60" s="5">
        <v>47.64</v>
      </c>
    </row>
    <row r="61" spans="1:9" ht="15.75" customHeight="1">
      <c r="A61" s="3">
        <v>46025.381944444445</v>
      </c>
      <c r="B61" s="5">
        <v>445</v>
      </c>
      <c r="C61" s="5">
        <v>1052.3530000000001</v>
      </c>
      <c r="D61" s="6">
        <f t="shared" si="0"/>
        <v>198.08665270370042</v>
      </c>
      <c r="E61" s="7">
        <f t="shared" si="1"/>
        <v>193.35300000000007</v>
      </c>
      <c r="F61" s="8">
        <f t="shared" si="2"/>
        <v>-4.7336527037003577</v>
      </c>
      <c r="G61" s="5">
        <v>25</v>
      </c>
      <c r="H61" s="5">
        <v>2.8889999999999998</v>
      </c>
      <c r="I61" s="5">
        <v>45.92</v>
      </c>
    </row>
    <row r="62" spans="1:9" ht="15.75" customHeight="1">
      <c r="A62" s="3">
        <v>46025.375</v>
      </c>
      <c r="B62" s="5">
        <v>402</v>
      </c>
      <c r="C62" s="5">
        <v>859</v>
      </c>
      <c r="D62" s="6">
        <f t="shared" si="0"/>
        <v>180.50001542102436</v>
      </c>
      <c r="E62" s="7">
        <f t="shared" si="1"/>
        <v>174</v>
      </c>
      <c r="F62" s="8">
        <f t="shared" si="2"/>
        <v>-6.5000154210243579</v>
      </c>
      <c r="G62" s="5">
        <v>24.63</v>
      </c>
      <c r="H62" s="5">
        <v>2.778</v>
      </c>
      <c r="I62" s="5">
        <v>43.62</v>
      </c>
    </row>
    <row r="63" spans="1:9" ht="15.75" customHeight="1">
      <c r="A63" s="3">
        <v>46025.368055555555</v>
      </c>
      <c r="B63" s="5">
        <v>359</v>
      </c>
      <c r="C63" s="5">
        <v>685</v>
      </c>
      <c r="D63" s="6">
        <f t="shared" si="0"/>
        <v>162.74984334914433</v>
      </c>
      <c r="E63" s="7">
        <f t="shared" si="1"/>
        <v>152</v>
      </c>
      <c r="F63" s="8">
        <f t="shared" si="2"/>
        <v>-10.749843349144328</v>
      </c>
      <c r="G63" s="5">
        <v>24.13</v>
      </c>
      <c r="H63" s="5">
        <v>2.556</v>
      </c>
      <c r="I63" s="5">
        <v>41.04</v>
      </c>
    </row>
    <row r="64" spans="1:9" ht="15.75" customHeight="1">
      <c r="A64" s="3">
        <v>46025.361111111109</v>
      </c>
      <c r="B64" s="5">
        <v>316</v>
      </c>
      <c r="C64" s="5">
        <v>533</v>
      </c>
      <c r="D64" s="6">
        <f t="shared" si="0"/>
        <v>144.32387989918107</v>
      </c>
      <c r="E64" s="7">
        <f t="shared" si="1"/>
        <v>132</v>
      </c>
      <c r="F64" s="8">
        <f t="shared" si="2"/>
        <v>-12.323879899181065</v>
      </c>
      <c r="G64" s="5">
        <v>23.88</v>
      </c>
      <c r="H64" s="5">
        <v>2.556</v>
      </c>
      <c r="I64" s="5">
        <v>39.03</v>
      </c>
    </row>
    <row r="65" spans="1:26" ht="15.75" customHeight="1">
      <c r="A65" s="3">
        <v>46025.354166666664</v>
      </c>
      <c r="B65" s="5">
        <v>273</v>
      </c>
      <c r="C65" s="5">
        <v>401</v>
      </c>
      <c r="D65" s="6">
        <f t="shared" si="0"/>
        <v>125.73582738286258</v>
      </c>
      <c r="E65" s="7">
        <f t="shared" si="1"/>
        <v>110</v>
      </c>
      <c r="F65" s="8">
        <f t="shared" si="2"/>
        <v>-15.735827382862581</v>
      </c>
      <c r="G65" s="5">
        <v>23.56</v>
      </c>
      <c r="H65" s="5">
        <v>2.444</v>
      </c>
      <c r="I65" s="5">
        <v>36.74</v>
      </c>
    </row>
    <row r="66" spans="1:26" ht="15.75" customHeight="1">
      <c r="A66" s="3">
        <v>46025.347222222219</v>
      </c>
      <c r="B66" s="5">
        <v>230</v>
      </c>
      <c r="C66" s="5">
        <v>291</v>
      </c>
      <c r="D66" s="6">
        <f t="shared" si="0"/>
        <v>106.82057080229008</v>
      </c>
      <c r="E66" s="7">
        <f t="shared" si="1"/>
        <v>91</v>
      </c>
      <c r="F66" s="8">
        <f t="shared" si="2"/>
        <v>-15.820570802290078</v>
      </c>
      <c r="G66" s="5">
        <v>22.88</v>
      </c>
      <c r="H66" s="5">
        <v>1.444</v>
      </c>
      <c r="I66" s="5">
        <v>34.44</v>
      </c>
    </row>
    <row r="67" spans="1:26" ht="15.75" customHeight="1">
      <c r="A67" s="3">
        <v>46025.340277777781</v>
      </c>
      <c r="B67" s="5">
        <v>188</v>
      </c>
      <c r="C67" s="5">
        <v>200</v>
      </c>
      <c r="D67" s="6">
        <f t="shared" si="0"/>
        <v>88.401389281437361</v>
      </c>
      <c r="E67" s="7">
        <f t="shared" si="1"/>
        <v>71</v>
      </c>
      <c r="F67" s="8">
        <f t="shared" si="2"/>
        <v>-17.401389281437361</v>
      </c>
      <c r="G67" s="5">
        <v>21.69</v>
      </c>
      <c r="H67" s="5">
        <v>0.66700000000000004</v>
      </c>
      <c r="I67" s="5">
        <v>31</v>
      </c>
    </row>
    <row r="68" spans="1:26" ht="15.75" customHeight="1">
      <c r="A68" s="3">
        <v>46025.333333333336</v>
      </c>
      <c r="B68" s="5">
        <v>147</v>
      </c>
      <c r="C68" s="5">
        <v>129</v>
      </c>
      <c r="D68" s="6">
        <f t="shared" si="0"/>
        <v>69.903254962624928</v>
      </c>
      <c r="E68" s="7">
        <f t="shared" si="1"/>
        <v>53</v>
      </c>
      <c r="F68" s="8">
        <f t="shared" si="2"/>
        <v>-16.903254962624928</v>
      </c>
      <c r="G68" s="5">
        <v>20.88</v>
      </c>
      <c r="H68" s="5">
        <v>0.55600000000000005</v>
      </c>
      <c r="I68" s="5">
        <v>27.84</v>
      </c>
    </row>
    <row r="69" spans="1:26" ht="15.75" customHeight="1">
      <c r="A69" s="3">
        <v>46025.326388888891</v>
      </c>
      <c r="B69" s="5">
        <v>108</v>
      </c>
      <c r="C69" s="5">
        <v>76</v>
      </c>
      <c r="D69" s="6">
        <f t="shared" si="0"/>
        <v>51.82590764488652</v>
      </c>
      <c r="E69" s="7">
        <f t="shared" si="1"/>
        <v>36.646999999999998</v>
      </c>
      <c r="F69" s="8">
        <f t="shared" si="2"/>
        <v>-15.178907644886522</v>
      </c>
      <c r="G69" s="5">
        <v>20.5</v>
      </c>
      <c r="H69" s="5">
        <v>0.77800000000000002</v>
      </c>
      <c r="I69" s="5">
        <v>25.26</v>
      </c>
    </row>
    <row r="70" spans="1:26" ht="15.75" customHeight="1">
      <c r="A70" s="3">
        <v>46025.319444444445</v>
      </c>
      <c r="B70" s="5">
        <v>73</v>
      </c>
      <c r="C70" s="5">
        <v>39.353000000000002</v>
      </c>
      <c r="D70" s="6">
        <f t="shared" si="0"/>
        <v>35.277138464821839</v>
      </c>
      <c r="E70" s="7">
        <f t="shared" si="1"/>
        <v>23</v>
      </c>
      <c r="F70" s="8">
        <f t="shared" si="2"/>
        <v>-12.277138464821839</v>
      </c>
      <c r="G70" s="5">
        <v>20.25</v>
      </c>
      <c r="H70" s="5">
        <v>0.66700000000000004</v>
      </c>
      <c r="I70" s="5">
        <v>23.25</v>
      </c>
    </row>
    <row r="71" spans="1:26" ht="15.75" customHeight="1">
      <c r="A71" s="3">
        <v>46025.3125</v>
      </c>
      <c r="B71" s="5">
        <v>40</v>
      </c>
      <c r="C71" s="5">
        <v>16.353000000000002</v>
      </c>
      <c r="D71" s="6">
        <f t="shared" si="0"/>
        <v>19.387767798779318</v>
      </c>
      <c r="E71" s="7">
        <f t="shared" si="1"/>
        <v>12.000000000000002</v>
      </c>
      <c r="F71" s="8">
        <f t="shared" si="2"/>
        <v>-7.3877677987793167</v>
      </c>
      <c r="G71" s="5">
        <v>20.25</v>
      </c>
      <c r="H71" s="5">
        <v>1.111</v>
      </c>
      <c r="I71" s="5">
        <v>22.39</v>
      </c>
    </row>
    <row r="72" spans="1:26" ht="15.75" customHeight="1">
      <c r="A72" s="3">
        <v>46025.305555555555</v>
      </c>
      <c r="B72" s="5">
        <v>18</v>
      </c>
      <c r="C72" s="5">
        <v>4.3529999999999998</v>
      </c>
      <c r="D72" s="6">
        <f t="shared" si="0"/>
        <v>8.7508211138805052</v>
      </c>
      <c r="E72" s="7">
        <f t="shared" si="1"/>
        <v>4.3529999999999998</v>
      </c>
      <c r="F72" s="8">
        <f t="shared" si="2"/>
        <v>-4.3978211138805055</v>
      </c>
      <c r="G72" s="5">
        <v>20.190000000000001</v>
      </c>
      <c r="H72" s="5">
        <v>0.55600000000000005</v>
      </c>
      <c r="I72" s="5">
        <v>21.52</v>
      </c>
    </row>
    <row r="73" spans="1:26" ht="15.75" customHeight="1">
      <c r="A73" s="3">
        <v>46025.298611111109</v>
      </c>
      <c r="B73" s="5">
        <v>5</v>
      </c>
      <c r="C73" s="5">
        <v>0</v>
      </c>
      <c r="D73" s="6">
        <f t="shared" si="0"/>
        <v>2.4355747010220412</v>
      </c>
      <c r="E73" s="7">
        <f t="shared" si="1"/>
        <v>0</v>
      </c>
      <c r="F73" s="8">
        <f t="shared" si="2"/>
        <v>-2.4355747010220412</v>
      </c>
      <c r="G73" s="5">
        <v>20.190000000000001</v>
      </c>
      <c r="H73" s="5">
        <v>0.55600000000000005</v>
      </c>
      <c r="I73" s="5">
        <v>20.95</v>
      </c>
    </row>
    <row r="74" spans="1:26" ht="15.75" customHeight="1">
      <c r="A74" s="3">
        <v>46025.291666666664</v>
      </c>
      <c r="B74" s="5">
        <v>0</v>
      </c>
      <c r="C74" s="5">
        <v>0</v>
      </c>
      <c r="D74" s="6">
        <f t="shared" si="0"/>
        <v>0</v>
      </c>
      <c r="E74" s="7">
        <f t="shared" si="1"/>
        <v>0</v>
      </c>
      <c r="F74" s="8">
        <f t="shared" si="2"/>
        <v>0</v>
      </c>
      <c r="G74" s="5">
        <v>20.63</v>
      </c>
      <c r="H74" s="5">
        <v>0.55600000000000005</v>
      </c>
      <c r="I74" s="5">
        <v>21.81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6.5811666666666664</v>
      </c>
      <c r="C76" s="11"/>
      <c r="D76" s="16">
        <f>SUM(D2:D75)</f>
        <v>17451.455143026371</v>
      </c>
      <c r="E76" s="15">
        <f>SUM(E1:E74)</f>
        <v>17189</v>
      </c>
      <c r="F76" s="11"/>
      <c r="G76" s="17">
        <f t="shared" ref="G76:I76" si="3">AVERAGE(G1:G74)</f>
        <v>28.844931506849331</v>
      </c>
      <c r="H76" s="17">
        <f t="shared" si="3"/>
        <v>1.7048219178082196</v>
      </c>
      <c r="I76" s="17">
        <f t="shared" si="3"/>
        <v>44.015890410958896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46056.791666666664</v>
      </c>
      <c r="B2" s="41" t="s">
        <v>12</v>
      </c>
      <c r="C2" s="5">
        <v>17226</v>
      </c>
      <c r="D2" s="6" t="e">
        <f t="shared" ref="D2:D74" si="0">( B2/1000)*(10/60)*3159.1*(1-0.0035*(I2-25))*0.9459*0.9857*0.9784</f>
        <v>#VALUE!</v>
      </c>
      <c r="E2" s="7">
        <f t="shared" ref="E2:E74" si="1">(C2-C3)</f>
        <v>0</v>
      </c>
      <c r="F2" s="8" t="e">
        <f t="shared" ref="F2:F74" si="2">E2-D2</f>
        <v>#VALUE!</v>
      </c>
      <c r="G2" s="42" t="s">
        <v>12</v>
      </c>
      <c r="H2" s="40"/>
      <c r="I2" s="40"/>
    </row>
    <row r="3" spans="1:26" ht="15.75" customHeight="1">
      <c r="A3" s="3">
        <v>46056.784722222219</v>
      </c>
      <c r="B3" s="40"/>
      <c r="C3" s="5">
        <v>17226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40"/>
      <c r="H3" s="40"/>
      <c r="I3" s="40"/>
    </row>
    <row r="4" spans="1:26" ht="15.75" customHeight="1">
      <c r="A4" s="3">
        <v>46056.777777777781</v>
      </c>
      <c r="B4" s="40"/>
      <c r="C4" s="5">
        <v>17226</v>
      </c>
      <c r="D4" s="6">
        <f t="shared" si="0"/>
        <v>0</v>
      </c>
      <c r="E4" s="7">
        <f t="shared" si="1"/>
        <v>3</v>
      </c>
      <c r="F4" s="8">
        <f t="shared" si="2"/>
        <v>3</v>
      </c>
      <c r="G4" s="40"/>
      <c r="H4" s="40"/>
      <c r="I4" s="40"/>
    </row>
    <row r="5" spans="1:26" ht="15.75" customHeight="1">
      <c r="A5" s="3">
        <v>46056.770833333336</v>
      </c>
      <c r="B5" s="40"/>
      <c r="C5" s="5">
        <v>17223</v>
      </c>
      <c r="D5" s="6">
        <f t="shared" si="0"/>
        <v>0</v>
      </c>
      <c r="E5" s="7">
        <f t="shared" si="1"/>
        <v>8.6500000000014552</v>
      </c>
      <c r="F5" s="8">
        <f t="shared" si="2"/>
        <v>8.6500000000014552</v>
      </c>
      <c r="G5" s="40"/>
      <c r="H5" s="40"/>
      <c r="I5" s="40"/>
    </row>
    <row r="6" spans="1:26" ht="15.75" customHeight="1">
      <c r="A6" s="3">
        <v>46056.763888888891</v>
      </c>
      <c r="B6" s="40"/>
      <c r="C6" s="5">
        <v>17214.349999999999</v>
      </c>
      <c r="D6" s="6">
        <f t="shared" si="0"/>
        <v>0</v>
      </c>
      <c r="E6" s="7">
        <f t="shared" si="1"/>
        <v>16.349999999998545</v>
      </c>
      <c r="F6" s="8">
        <f t="shared" si="2"/>
        <v>16.349999999998545</v>
      </c>
      <c r="G6" s="40"/>
      <c r="H6" s="40"/>
      <c r="I6" s="40"/>
    </row>
    <row r="7" spans="1:26" ht="15.75" customHeight="1">
      <c r="B7" s="40"/>
      <c r="C7" s="5">
        <v>17198</v>
      </c>
      <c r="D7" s="6">
        <f t="shared" si="0"/>
        <v>0</v>
      </c>
      <c r="E7" s="7">
        <f t="shared" si="1"/>
        <v>27</v>
      </c>
      <c r="F7" s="8">
        <f t="shared" si="2"/>
        <v>27</v>
      </c>
      <c r="G7" s="40"/>
      <c r="H7" s="40"/>
      <c r="I7" s="40"/>
    </row>
    <row r="8" spans="1:26" ht="15.75" customHeight="1">
      <c r="B8" s="40"/>
      <c r="C8" s="5">
        <v>17171</v>
      </c>
      <c r="D8" s="6">
        <f t="shared" si="0"/>
        <v>0</v>
      </c>
      <c r="E8" s="7">
        <f t="shared" si="1"/>
        <v>42</v>
      </c>
      <c r="F8" s="8">
        <f t="shared" si="2"/>
        <v>42</v>
      </c>
      <c r="G8" s="40"/>
      <c r="H8" s="40"/>
      <c r="I8" s="40"/>
    </row>
    <row r="9" spans="1:26" ht="15.75" customHeight="1">
      <c r="B9" s="40"/>
      <c r="C9" s="5">
        <v>17129</v>
      </c>
      <c r="D9" s="6">
        <f t="shared" si="0"/>
        <v>0</v>
      </c>
      <c r="E9" s="7">
        <f t="shared" si="1"/>
        <v>58</v>
      </c>
      <c r="F9" s="8">
        <f t="shared" si="2"/>
        <v>58</v>
      </c>
      <c r="G9" s="40"/>
      <c r="H9" s="40"/>
      <c r="I9" s="40"/>
    </row>
    <row r="10" spans="1:26" ht="15.75" customHeight="1">
      <c r="B10" s="40"/>
      <c r="C10" s="5">
        <v>17071</v>
      </c>
      <c r="D10" s="6">
        <f t="shared" si="0"/>
        <v>0</v>
      </c>
      <c r="E10" s="7">
        <f t="shared" si="1"/>
        <v>74.650000000001455</v>
      </c>
      <c r="F10" s="8">
        <f t="shared" si="2"/>
        <v>74.650000000001455</v>
      </c>
      <c r="G10" s="40"/>
      <c r="H10" s="40"/>
      <c r="I10" s="40"/>
    </row>
    <row r="11" spans="1:26" ht="15.75" customHeight="1">
      <c r="B11" s="40"/>
      <c r="C11" s="5">
        <v>16996.349999999999</v>
      </c>
      <c r="D11" s="6">
        <f t="shared" si="0"/>
        <v>0</v>
      </c>
      <c r="E11" s="7">
        <f t="shared" si="1"/>
        <v>93.349999999998545</v>
      </c>
      <c r="F11" s="8">
        <f t="shared" si="2"/>
        <v>93.349999999998545</v>
      </c>
      <c r="G11" s="40"/>
      <c r="H11" s="40"/>
      <c r="I11" s="40"/>
    </row>
    <row r="12" spans="1:26" ht="15.75" customHeight="1">
      <c r="A12" s="3">
        <v>46056.722222222219</v>
      </c>
      <c r="B12" s="40"/>
      <c r="C12" s="5">
        <v>16903</v>
      </c>
      <c r="D12" s="6">
        <f t="shared" si="0"/>
        <v>0</v>
      </c>
      <c r="E12" s="7">
        <f t="shared" si="1"/>
        <v>112</v>
      </c>
      <c r="F12" s="8">
        <f t="shared" si="2"/>
        <v>112</v>
      </c>
      <c r="G12" s="40"/>
      <c r="H12" s="40"/>
      <c r="I12" s="40"/>
    </row>
    <row r="13" spans="1:26" ht="15.75" customHeight="1">
      <c r="A13" s="3">
        <v>46056.715277777781</v>
      </c>
      <c r="B13" s="40"/>
      <c r="C13" s="5">
        <v>16791</v>
      </c>
      <c r="D13" s="6">
        <f t="shared" si="0"/>
        <v>0</v>
      </c>
      <c r="E13" s="7">
        <f t="shared" si="1"/>
        <v>132</v>
      </c>
      <c r="F13" s="8">
        <f t="shared" si="2"/>
        <v>132</v>
      </c>
      <c r="G13" s="40"/>
      <c r="H13" s="40"/>
      <c r="I13" s="40"/>
    </row>
    <row r="14" spans="1:26" ht="15.75" customHeight="1">
      <c r="A14" s="3">
        <v>46056.708333333336</v>
      </c>
      <c r="B14" s="40"/>
      <c r="C14" s="5">
        <v>16659</v>
      </c>
      <c r="D14" s="6">
        <f t="shared" si="0"/>
        <v>0</v>
      </c>
      <c r="E14" s="7">
        <f t="shared" si="1"/>
        <v>153</v>
      </c>
      <c r="F14" s="8">
        <f t="shared" si="2"/>
        <v>153</v>
      </c>
      <c r="G14" s="40"/>
      <c r="H14" s="40"/>
      <c r="I14" s="40"/>
    </row>
    <row r="15" spans="1:26" ht="15.75" customHeight="1">
      <c r="A15" s="3">
        <v>46056.701388888891</v>
      </c>
      <c r="B15" s="40"/>
      <c r="C15" s="5">
        <v>16506</v>
      </c>
      <c r="D15" s="6">
        <f t="shared" si="0"/>
        <v>0</v>
      </c>
      <c r="E15" s="7">
        <f t="shared" si="1"/>
        <v>174</v>
      </c>
      <c r="F15" s="8">
        <f t="shared" si="2"/>
        <v>174</v>
      </c>
      <c r="G15" s="40"/>
      <c r="H15" s="40"/>
      <c r="I15" s="40"/>
    </row>
    <row r="16" spans="1:26" ht="15.75" customHeight="1">
      <c r="A16" s="3">
        <v>46056.694444444445</v>
      </c>
      <c r="B16" s="40"/>
      <c r="C16" s="5">
        <v>16332</v>
      </c>
      <c r="D16" s="6">
        <f t="shared" si="0"/>
        <v>0</v>
      </c>
      <c r="E16" s="7">
        <f t="shared" si="1"/>
        <v>192.64999999999964</v>
      </c>
      <c r="F16" s="8">
        <f t="shared" si="2"/>
        <v>192.64999999999964</v>
      </c>
      <c r="G16" s="40"/>
      <c r="H16" s="40"/>
      <c r="I16" s="40"/>
    </row>
    <row r="17" spans="1:9" ht="15.75" customHeight="1">
      <c r="A17" s="3">
        <v>46056.6875</v>
      </c>
      <c r="B17" s="40"/>
      <c r="C17" s="5">
        <v>16139.35</v>
      </c>
      <c r="D17" s="6">
        <f t="shared" si="0"/>
        <v>0</v>
      </c>
      <c r="E17" s="7">
        <f t="shared" si="1"/>
        <v>211</v>
      </c>
      <c r="F17" s="8">
        <f t="shared" si="2"/>
        <v>211</v>
      </c>
      <c r="G17" s="40"/>
      <c r="H17" s="40"/>
      <c r="I17" s="40"/>
    </row>
    <row r="18" spans="1:9" ht="15.75" customHeight="1">
      <c r="A18" s="3">
        <v>46056.680555555555</v>
      </c>
      <c r="B18" s="40"/>
      <c r="C18" s="5">
        <v>15928.35</v>
      </c>
      <c r="D18" s="6">
        <f t="shared" si="0"/>
        <v>0</v>
      </c>
      <c r="E18" s="7">
        <f t="shared" si="1"/>
        <v>226</v>
      </c>
      <c r="F18" s="8">
        <f t="shared" si="2"/>
        <v>226</v>
      </c>
      <c r="G18" s="40"/>
      <c r="H18" s="40"/>
      <c r="I18" s="40"/>
    </row>
    <row r="19" spans="1:9" ht="15.75" customHeight="1">
      <c r="A19" s="3">
        <v>46056.673611111109</v>
      </c>
      <c r="B19" s="40"/>
      <c r="C19" s="5">
        <v>15702.35</v>
      </c>
      <c r="D19" s="6">
        <f t="shared" si="0"/>
        <v>0</v>
      </c>
      <c r="E19" s="7">
        <f t="shared" si="1"/>
        <v>244.35000000000036</v>
      </c>
      <c r="F19" s="8">
        <f t="shared" si="2"/>
        <v>244.35000000000036</v>
      </c>
      <c r="G19" s="40"/>
      <c r="H19" s="40"/>
      <c r="I19" s="40"/>
    </row>
    <row r="20" spans="1:9" ht="15.75" customHeight="1">
      <c r="A20" s="3">
        <v>46056.666666666664</v>
      </c>
      <c r="B20" s="40"/>
      <c r="C20" s="5">
        <v>15458</v>
      </c>
      <c r="D20" s="6">
        <f t="shared" si="0"/>
        <v>0</v>
      </c>
      <c r="E20" s="7">
        <f t="shared" si="1"/>
        <v>264</v>
      </c>
      <c r="F20" s="8">
        <f t="shared" si="2"/>
        <v>264</v>
      </c>
      <c r="G20" s="40"/>
      <c r="H20" s="40"/>
      <c r="I20" s="40"/>
    </row>
    <row r="21" spans="1:9" ht="15.75" customHeight="1">
      <c r="A21" s="3">
        <v>46056.659722222219</v>
      </c>
      <c r="B21" s="40"/>
      <c r="C21" s="5">
        <v>15194</v>
      </c>
      <c r="D21" s="6">
        <f t="shared" si="0"/>
        <v>0</v>
      </c>
      <c r="E21" s="7">
        <f t="shared" si="1"/>
        <v>279</v>
      </c>
      <c r="F21" s="8">
        <f t="shared" si="2"/>
        <v>279</v>
      </c>
      <c r="G21" s="40"/>
      <c r="H21" s="40"/>
      <c r="I21" s="40"/>
    </row>
    <row r="22" spans="1:9" ht="15.75" customHeight="1">
      <c r="A22" s="3">
        <v>46056.652777777781</v>
      </c>
      <c r="B22" s="40"/>
      <c r="C22" s="5">
        <v>14915</v>
      </c>
      <c r="D22" s="6">
        <f t="shared" si="0"/>
        <v>0</v>
      </c>
      <c r="E22" s="7">
        <f t="shared" si="1"/>
        <v>290</v>
      </c>
      <c r="F22" s="8">
        <f t="shared" si="2"/>
        <v>290</v>
      </c>
      <c r="G22" s="40"/>
      <c r="H22" s="40"/>
      <c r="I22" s="40"/>
    </row>
    <row r="23" spans="1:9" ht="15.75" customHeight="1">
      <c r="A23" s="3">
        <v>46056.645833333336</v>
      </c>
      <c r="B23" s="40"/>
      <c r="C23" s="5">
        <v>14625</v>
      </c>
      <c r="D23" s="6">
        <f t="shared" si="0"/>
        <v>0</v>
      </c>
      <c r="E23" s="7">
        <f t="shared" si="1"/>
        <v>304</v>
      </c>
      <c r="F23" s="8">
        <f t="shared" si="2"/>
        <v>304</v>
      </c>
      <c r="G23" s="40"/>
      <c r="H23" s="40"/>
      <c r="I23" s="40"/>
    </row>
    <row r="24" spans="1:9" ht="15.75" customHeight="1">
      <c r="A24" s="3">
        <v>46056.638888888891</v>
      </c>
      <c r="B24" s="40"/>
      <c r="C24" s="5">
        <v>14321</v>
      </c>
      <c r="D24" s="6">
        <f t="shared" si="0"/>
        <v>0</v>
      </c>
      <c r="E24" s="7">
        <f t="shared" si="1"/>
        <v>317.64999999999964</v>
      </c>
      <c r="F24" s="8">
        <f t="shared" si="2"/>
        <v>317.64999999999964</v>
      </c>
      <c r="G24" s="40"/>
      <c r="H24" s="40"/>
      <c r="I24" s="40"/>
    </row>
    <row r="25" spans="1:9" ht="15.75" customHeight="1">
      <c r="A25" s="3">
        <v>46056.631944444445</v>
      </c>
      <c r="B25" s="40"/>
      <c r="C25" s="5">
        <v>14003.35</v>
      </c>
      <c r="D25" s="6">
        <f t="shared" si="0"/>
        <v>0</v>
      </c>
      <c r="E25" s="7">
        <f t="shared" si="1"/>
        <v>327.35000000000036</v>
      </c>
      <c r="F25" s="8">
        <f t="shared" si="2"/>
        <v>327.35000000000036</v>
      </c>
      <c r="G25" s="40"/>
      <c r="H25" s="40"/>
      <c r="I25" s="40"/>
    </row>
    <row r="26" spans="1:9" ht="15.75" customHeight="1">
      <c r="A26" s="3">
        <v>46056.625</v>
      </c>
      <c r="B26" s="40"/>
      <c r="C26" s="5">
        <v>13676</v>
      </c>
      <c r="D26" s="6">
        <f t="shared" si="0"/>
        <v>0</v>
      </c>
      <c r="E26" s="7">
        <f t="shared" si="1"/>
        <v>341</v>
      </c>
      <c r="F26" s="8">
        <f t="shared" si="2"/>
        <v>341</v>
      </c>
      <c r="G26" s="40"/>
      <c r="H26" s="40"/>
      <c r="I26" s="40"/>
    </row>
    <row r="27" spans="1:9" ht="15.75" customHeight="1">
      <c r="A27" s="3">
        <v>46056.618055555555</v>
      </c>
      <c r="B27" s="40"/>
      <c r="C27" s="5">
        <v>13335</v>
      </c>
      <c r="D27" s="6">
        <f t="shared" si="0"/>
        <v>0</v>
      </c>
      <c r="E27" s="7">
        <f t="shared" si="1"/>
        <v>351</v>
      </c>
      <c r="F27" s="8">
        <f t="shared" si="2"/>
        <v>351</v>
      </c>
      <c r="G27" s="40"/>
      <c r="H27" s="40"/>
      <c r="I27" s="40"/>
    </row>
    <row r="28" spans="1:9" ht="15.75" customHeight="1">
      <c r="A28" s="3">
        <v>46056.611111111109</v>
      </c>
      <c r="B28" s="40"/>
      <c r="C28" s="5">
        <v>12984</v>
      </c>
      <c r="D28" s="6">
        <f t="shared" si="0"/>
        <v>0</v>
      </c>
      <c r="E28" s="7">
        <f t="shared" si="1"/>
        <v>359</v>
      </c>
      <c r="F28" s="8">
        <f t="shared" si="2"/>
        <v>359</v>
      </c>
      <c r="G28" s="40"/>
      <c r="H28" s="40"/>
      <c r="I28" s="40"/>
    </row>
    <row r="29" spans="1:9" ht="15.75" customHeight="1">
      <c r="A29" s="3">
        <v>46056.604166666664</v>
      </c>
      <c r="B29" s="40"/>
      <c r="C29" s="5">
        <v>12625</v>
      </c>
      <c r="D29" s="6">
        <f t="shared" si="0"/>
        <v>0</v>
      </c>
      <c r="E29" s="7">
        <f t="shared" si="1"/>
        <v>367.64999999999964</v>
      </c>
      <c r="F29" s="8">
        <f t="shared" si="2"/>
        <v>367.64999999999964</v>
      </c>
      <c r="G29" s="40"/>
      <c r="H29" s="40"/>
      <c r="I29" s="40"/>
    </row>
    <row r="30" spans="1:9" ht="15.75" customHeight="1">
      <c r="A30" s="3">
        <v>46056.597222222219</v>
      </c>
      <c r="B30" s="40"/>
      <c r="C30" s="5">
        <v>12257.35</v>
      </c>
      <c r="D30" s="6">
        <f t="shared" si="0"/>
        <v>0</v>
      </c>
      <c r="E30" s="7">
        <f t="shared" si="1"/>
        <v>374</v>
      </c>
      <c r="F30" s="8">
        <f t="shared" si="2"/>
        <v>374</v>
      </c>
      <c r="G30" s="40"/>
      <c r="H30" s="40"/>
      <c r="I30" s="40"/>
    </row>
    <row r="31" spans="1:9" ht="15.75" customHeight="1">
      <c r="A31" s="3">
        <v>46056.590277777781</v>
      </c>
      <c r="B31" s="40"/>
      <c r="C31" s="5">
        <v>11883.35</v>
      </c>
      <c r="D31" s="6">
        <f t="shared" si="0"/>
        <v>0</v>
      </c>
      <c r="E31" s="7">
        <f t="shared" si="1"/>
        <v>379.35000000000036</v>
      </c>
      <c r="F31" s="8">
        <f t="shared" si="2"/>
        <v>379.35000000000036</v>
      </c>
      <c r="G31" s="40"/>
      <c r="H31" s="40"/>
      <c r="I31" s="40"/>
    </row>
    <row r="32" spans="1:9" ht="15.75" customHeight="1">
      <c r="A32" s="3">
        <v>46056.583333333336</v>
      </c>
      <c r="B32" s="40"/>
      <c r="C32" s="5">
        <v>11504</v>
      </c>
      <c r="D32" s="6">
        <f t="shared" si="0"/>
        <v>0</v>
      </c>
      <c r="E32" s="7">
        <f t="shared" si="1"/>
        <v>389.64999999999964</v>
      </c>
      <c r="F32" s="8">
        <f t="shared" si="2"/>
        <v>389.64999999999964</v>
      </c>
      <c r="G32" s="40"/>
      <c r="H32" s="40"/>
      <c r="I32" s="40"/>
    </row>
    <row r="33" spans="1:9" ht="15.75" customHeight="1">
      <c r="A33" s="3">
        <v>46056.576388888891</v>
      </c>
      <c r="B33" s="40"/>
      <c r="C33" s="5">
        <v>11114.35</v>
      </c>
      <c r="D33" s="6">
        <f t="shared" si="0"/>
        <v>0</v>
      </c>
      <c r="E33" s="7">
        <f t="shared" si="1"/>
        <v>399</v>
      </c>
      <c r="F33" s="8">
        <f t="shared" si="2"/>
        <v>399</v>
      </c>
      <c r="G33" s="40"/>
      <c r="H33" s="40"/>
      <c r="I33" s="40"/>
    </row>
    <row r="34" spans="1:9" ht="15.75" customHeight="1">
      <c r="A34" s="3">
        <v>46056.569444444445</v>
      </c>
      <c r="B34" s="40"/>
      <c r="C34" s="5">
        <v>10715.35</v>
      </c>
      <c r="D34" s="6">
        <f t="shared" si="0"/>
        <v>0</v>
      </c>
      <c r="E34" s="7">
        <f t="shared" si="1"/>
        <v>407.35000000000036</v>
      </c>
      <c r="F34" s="8">
        <f t="shared" si="2"/>
        <v>407.35000000000036</v>
      </c>
      <c r="G34" s="40"/>
      <c r="H34" s="40"/>
      <c r="I34" s="40"/>
    </row>
    <row r="35" spans="1:9" ht="15.75" customHeight="1">
      <c r="A35" s="3">
        <v>46056.5625</v>
      </c>
      <c r="B35" s="40"/>
      <c r="C35" s="5">
        <v>10308</v>
      </c>
      <c r="D35" s="6">
        <f t="shared" si="0"/>
        <v>0</v>
      </c>
      <c r="E35" s="7">
        <f t="shared" si="1"/>
        <v>405</v>
      </c>
      <c r="F35" s="8">
        <f t="shared" si="2"/>
        <v>405</v>
      </c>
      <c r="G35" s="40"/>
      <c r="H35" s="40"/>
      <c r="I35" s="40"/>
    </row>
    <row r="36" spans="1:9" ht="15.75" customHeight="1">
      <c r="A36" s="3">
        <v>46056.555555555555</v>
      </c>
      <c r="B36" s="40"/>
      <c r="C36" s="5">
        <v>9903</v>
      </c>
      <c r="D36" s="6">
        <f t="shared" si="0"/>
        <v>0</v>
      </c>
      <c r="E36" s="7">
        <f t="shared" si="1"/>
        <v>406</v>
      </c>
      <c r="F36" s="8">
        <f t="shared" si="2"/>
        <v>406</v>
      </c>
      <c r="G36" s="40"/>
      <c r="H36" s="40"/>
      <c r="I36" s="40"/>
    </row>
    <row r="37" spans="1:9" ht="15.75" customHeight="1">
      <c r="A37" s="3">
        <v>46056.548611111109</v>
      </c>
      <c r="B37" s="40"/>
      <c r="C37" s="5">
        <v>9497</v>
      </c>
      <c r="D37" s="6">
        <f t="shared" si="0"/>
        <v>0</v>
      </c>
      <c r="E37" s="7">
        <f t="shared" si="1"/>
        <v>409</v>
      </c>
      <c r="F37" s="8">
        <f t="shared" si="2"/>
        <v>409</v>
      </c>
      <c r="G37" s="40"/>
      <c r="H37" s="40"/>
      <c r="I37" s="40"/>
    </row>
    <row r="38" spans="1:9" ht="15.75" customHeight="1">
      <c r="A38" s="3">
        <v>46056.541666666664</v>
      </c>
      <c r="B38" s="40"/>
      <c r="C38" s="5">
        <v>9088</v>
      </c>
      <c r="D38" s="6">
        <f t="shared" si="0"/>
        <v>0</v>
      </c>
      <c r="E38" s="7">
        <f t="shared" si="1"/>
        <v>408</v>
      </c>
      <c r="F38" s="8">
        <f t="shared" si="2"/>
        <v>408</v>
      </c>
      <c r="G38" s="40"/>
      <c r="H38" s="40"/>
      <c r="I38" s="40"/>
    </row>
    <row r="39" spans="1:9" ht="15.75" customHeight="1">
      <c r="A39" s="3">
        <v>46056.534722222219</v>
      </c>
      <c r="B39" s="40"/>
      <c r="C39" s="5">
        <v>8680</v>
      </c>
      <c r="D39" s="6">
        <f t="shared" si="0"/>
        <v>0</v>
      </c>
      <c r="E39" s="7">
        <f t="shared" si="1"/>
        <v>410.64700000000084</v>
      </c>
      <c r="F39" s="8">
        <f t="shared" si="2"/>
        <v>410.64700000000084</v>
      </c>
      <c r="G39" s="40"/>
      <c r="H39" s="40"/>
      <c r="I39" s="40"/>
    </row>
    <row r="40" spans="1:9" ht="15.75" customHeight="1">
      <c r="A40" s="3">
        <v>46056.527777777781</v>
      </c>
      <c r="B40" s="40"/>
      <c r="C40" s="5">
        <v>8269.3529999999992</v>
      </c>
      <c r="D40" s="6">
        <f t="shared" si="0"/>
        <v>0</v>
      </c>
      <c r="E40" s="7">
        <f t="shared" si="1"/>
        <v>409.35299999999916</v>
      </c>
      <c r="F40" s="8">
        <f t="shared" si="2"/>
        <v>409.35299999999916</v>
      </c>
      <c r="G40" s="40"/>
      <c r="H40" s="40"/>
      <c r="I40" s="40"/>
    </row>
    <row r="41" spans="1:9" ht="15.75" customHeight="1">
      <c r="A41" s="3">
        <v>46056.520833333336</v>
      </c>
      <c r="B41" s="40"/>
      <c r="C41" s="5">
        <v>7860</v>
      </c>
      <c r="D41" s="6">
        <f t="shared" si="0"/>
        <v>0</v>
      </c>
      <c r="E41" s="7">
        <f t="shared" si="1"/>
        <v>408</v>
      </c>
      <c r="F41" s="8">
        <f t="shared" si="2"/>
        <v>408</v>
      </c>
      <c r="G41" s="40"/>
      <c r="H41" s="40"/>
      <c r="I41" s="40"/>
    </row>
    <row r="42" spans="1:9" ht="15.75" customHeight="1">
      <c r="A42" s="3">
        <v>46056.513888888891</v>
      </c>
      <c r="B42" s="40"/>
      <c r="C42" s="5">
        <v>7452</v>
      </c>
      <c r="D42" s="6">
        <f t="shared" si="0"/>
        <v>0</v>
      </c>
      <c r="E42" s="7">
        <f t="shared" si="1"/>
        <v>406</v>
      </c>
      <c r="F42" s="8">
        <f t="shared" si="2"/>
        <v>406</v>
      </c>
      <c r="G42" s="40"/>
      <c r="H42" s="40"/>
      <c r="I42" s="40"/>
    </row>
    <row r="43" spans="1:9" ht="15.75" customHeight="1">
      <c r="A43" s="3">
        <v>46056.506944444445</v>
      </c>
      <c r="B43" s="40"/>
      <c r="C43" s="5">
        <v>7046</v>
      </c>
      <c r="D43" s="6">
        <f t="shared" si="0"/>
        <v>0</v>
      </c>
      <c r="E43" s="7">
        <f t="shared" si="1"/>
        <v>404</v>
      </c>
      <c r="F43" s="8">
        <f t="shared" si="2"/>
        <v>404</v>
      </c>
      <c r="G43" s="40"/>
      <c r="H43" s="40"/>
      <c r="I43" s="40"/>
    </row>
    <row r="44" spans="1:9" ht="15.75" customHeight="1">
      <c r="A44" s="3">
        <v>46056.5</v>
      </c>
      <c r="B44" s="40"/>
      <c r="C44" s="5">
        <v>6642</v>
      </c>
      <c r="D44" s="6">
        <f t="shared" si="0"/>
        <v>0</v>
      </c>
      <c r="E44" s="7">
        <f t="shared" si="1"/>
        <v>400.64699999999993</v>
      </c>
      <c r="F44" s="8">
        <f t="shared" si="2"/>
        <v>400.64699999999993</v>
      </c>
      <c r="G44" s="40"/>
      <c r="H44" s="40"/>
      <c r="I44" s="40"/>
    </row>
    <row r="45" spans="1:9" ht="15.75" customHeight="1">
      <c r="A45" s="3">
        <v>46056.493055555555</v>
      </c>
      <c r="B45" s="40"/>
      <c r="C45" s="5">
        <v>6241.3530000000001</v>
      </c>
      <c r="D45" s="6">
        <f t="shared" si="0"/>
        <v>0</v>
      </c>
      <c r="E45" s="7">
        <f t="shared" si="1"/>
        <v>397</v>
      </c>
      <c r="F45" s="8">
        <f t="shared" si="2"/>
        <v>397</v>
      </c>
      <c r="G45" s="40"/>
      <c r="H45" s="40"/>
      <c r="I45" s="40"/>
    </row>
    <row r="46" spans="1:9" ht="15.75" customHeight="1">
      <c r="A46" s="3">
        <v>46056.486111111109</v>
      </c>
      <c r="B46" s="40"/>
      <c r="C46" s="5">
        <v>5844.3530000000001</v>
      </c>
      <c r="D46" s="6">
        <f t="shared" si="0"/>
        <v>0</v>
      </c>
      <c r="E46" s="7">
        <f t="shared" si="1"/>
        <v>393.35300000000007</v>
      </c>
      <c r="F46" s="8">
        <f t="shared" si="2"/>
        <v>393.35300000000007</v>
      </c>
      <c r="G46" s="40"/>
      <c r="H46" s="40"/>
      <c r="I46" s="40"/>
    </row>
    <row r="47" spans="1:9" ht="15.75" customHeight="1">
      <c r="A47" s="3">
        <v>46056.479166666664</v>
      </c>
      <c r="B47" s="40"/>
      <c r="C47" s="5">
        <v>5451</v>
      </c>
      <c r="D47" s="6">
        <f t="shared" si="0"/>
        <v>0</v>
      </c>
      <c r="E47" s="7">
        <f t="shared" si="1"/>
        <v>382.64699999999993</v>
      </c>
      <c r="F47" s="8">
        <f t="shared" si="2"/>
        <v>382.64699999999993</v>
      </c>
      <c r="G47" s="40"/>
      <c r="H47" s="40"/>
      <c r="I47" s="40"/>
    </row>
    <row r="48" spans="1:9" ht="15.75" customHeight="1">
      <c r="A48" s="3">
        <v>46056.472222222219</v>
      </c>
      <c r="B48" s="40"/>
      <c r="C48" s="5">
        <v>5068.3530000000001</v>
      </c>
      <c r="D48" s="6">
        <f t="shared" si="0"/>
        <v>0</v>
      </c>
      <c r="E48" s="7">
        <f t="shared" si="1"/>
        <v>375.35300000000007</v>
      </c>
      <c r="F48" s="8">
        <f t="shared" si="2"/>
        <v>375.35300000000007</v>
      </c>
      <c r="G48" s="40"/>
      <c r="H48" s="40"/>
      <c r="I48" s="40"/>
    </row>
    <row r="49" spans="1:9" ht="15.75" customHeight="1">
      <c r="A49" s="3">
        <v>46056.465277777781</v>
      </c>
      <c r="B49" s="40"/>
      <c r="C49" s="5">
        <v>4693</v>
      </c>
      <c r="D49" s="6">
        <f t="shared" si="0"/>
        <v>0</v>
      </c>
      <c r="E49" s="7">
        <f t="shared" si="1"/>
        <v>367</v>
      </c>
      <c r="F49" s="8">
        <f t="shared" si="2"/>
        <v>367</v>
      </c>
      <c r="G49" s="40"/>
      <c r="H49" s="40"/>
      <c r="I49" s="40"/>
    </row>
    <row r="50" spans="1:9" ht="15.75" customHeight="1">
      <c r="A50" s="3">
        <v>46056.458333333336</v>
      </c>
      <c r="B50" s="40"/>
      <c r="C50" s="5">
        <v>4326</v>
      </c>
      <c r="D50" s="6">
        <f t="shared" si="0"/>
        <v>0</v>
      </c>
      <c r="E50" s="7">
        <f t="shared" si="1"/>
        <v>359</v>
      </c>
      <c r="F50" s="8">
        <f t="shared" si="2"/>
        <v>359</v>
      </c>
      <c r="G50" s="40"/>
      <c r="H50" s="40"/>
      <c r="I50" s="40"/>
    </row>
    <row r="51" spans="1:9" ht="15.75" customHeight="1">
      <c r="A51" s="3">
        <v>46056.451388888891</v>
      </c>
      <c r="B51" s="40"/>
      <c r="C51" s="5">
        <v>3967</v>
      </c>
      <c r="D51" s="6">
        <f t="shared" si="0"/>
        <v>0</v>
      </c>
      <c r="E51" s="7">
        <f t="shared" si="1"/>
        <v>351</v>
      </c>
      <c r="F51" s="8">
        <f t="shared" si="2"/>
        <v>351</v>
      </c>
      <c r="G51" s="40"/>
      <c r="H51" s="40"/>
      <c r="I51" s="40"/>
    </row>
    <row r="52" spans="1:9" ht="15.75" customHeight="1">
      <c r="A52" s="3">
        <v>46056.444444444445</v>
      </c>
      <c r="B52" s="40"/>
      <c r="C52" s="5">
        <v>3616</v>
      </c>
      <c r="D52" s="6">
        <f t="shared" si="0"/>
        <v>0</v>
      </c>
      <c r="E52" s="7">
        <f t="shared" si="1"/>
        <v>337.64699999999993</v>
      </c>
      <c r="F52" s="8">
        <f t="shared" si="2"/>
        <v>337.64699999999993</v>
      </c>
      <c r="G52" s="40"/>
      <c r="H52" s="40"/>
      <c r="I52" s="40"/>
    </row>
    <row r="53" spans="1:9" ht="15.75" customHeight="1">
      <c r="A53" s="3">
        <v>46056.4375</v>
      </c>
      <c r="B53" s="40"/>
      <c r="C53" s="5">
        <v>3278.3530000000001</v>
      </c>
      <c r="D53" s="6">
        <f t="shared" si="0"/>
        <v>0</v>
      </c>
      <c r="E53" s="7">
        <f t="shared" si="1"/>
        <v>327.35300000000007</v>
      </c>
      <c r="F53" s="8">
        <f t="shared" si="2"/>
        <v>327.35300000000007</v>
      </c>
      <c r="G53" s="40"/>
      <c r="H53" s="40"/>
      <c r="I53" s="40"/>
    </row>
    <row r="54" spans="1:9" ht="15.75" customHeight="1">
      <c r="A54" s="3">
        <v>46056.430555555555</v>
      </c>
      <c r="B54" s="40"/>
      <c r="C54" s="5">
        <v>2951</v>
      </c>
      <c r="D54" s="6">
        <f t="shared" si="0"/>
        <v>0</v>
      </c>
      <c r="E54" s="7">
        <f t="shared" si="1"/>
        <v>313.64699999999993</v>
      </c>
      <c r="F54" s="8">
        <f t="shared" si="2"/>
        <v>313.64699999999993</v>
      </c>
      <c r="G54" s="40"/>
      <c r="H54" s="40"/>
      <c r="I54" s="40"/>
    </row>
    <row r="55" spans="1:9" ht="15.75" customHeight="1">
      <c r="A55" s="3">
        <v>46056.423611111109</v>
      </c>
      <c r="B55" s="40"/>
      <c r="C55" s="5">
        <v>2637.3530000000001</v>
      </c>
      <c r="D55" s="6">
        <f t="shared" si="0"/>
        <v>0</v>
      </c>
      <c r="E55" s="7">
        <f t="shared" si="1"/>
        <v>300.35300000000007</v>
      </c>
      <c r="F55" s="8">
        <f t="shared" si="2"/>
        <v>300.35300000000007</v>
      </c>
      <c r="G55" s="40"/>
      <c r="H55" s="40"/>
      <c r="I55" s="40"/>
    </row>
    <row r="56" spans="1:9" ht="15.75" customHeight="1">
      <c r="A56" s="3">
        <v>46056.416666666664</v>
      </c>
      <c r="B56" s="40"/>
      <c r="C56" s="5">
        <v>2337</v>
      </c>
      <c r="D56" s="6">
        <f t="shared" si="0"/>
        <v>0</v>
      </c>
      <c r="E56" s="7">
        <f t="shared" si="1"/>
        <v>284</v>
      </c>
      <c r="F56" s="8">
        <f t="shared" si="2"/>
        <v>284</v>
      </c>
      <c r="G56" s="40"/>
      <c r="H56" s="40"/>
      <c r="I56" s="40"/>
    </row>
    <row r="57" spans="1:9" ht="15.75" customHeight="1">
      <c r="A57" s="3">
        <v>46056.409722222219</v>
      </c>
      <c r="B57" s="40"/>
      <c r="C57" s="5">
        <v>2053</v>
      </c>
      <c r="D57" s="6">
        <f t="shared" si="0"/>
        <v>0</v>
      </c>
      <c r="E57" s="7">
        <f t="shared" si="1"/>
        <v>269</v>
      </c>
      <c r="F57" s="8">
        <f t="shared" si="2"/>
        <v>269</v>
      </c>
      <c r="G57" s="40"/>
      <c r="H57" s="40"/>
      <c r="I57" s="40"/>
    </row>
    <row r="58" spans="1:9" ht="15.75" customHeight="1">
      <c r="A58" s="3">
        <v>46056.402777777781</v>
      </c>
      <c r="B58" s="40"/>
      <c r="C58" s="5">
        <v>1784</v>
      </c>
      <c r="D58" s="6">
        <f t="shared" si="0"/>
        <v>0</v>
      </c>
      <c r="E58" s="7">
        <f t="shared" si="1"/>
        <v>252</v>
      </c>
      <c r="F58" s="8">
        <f t="shared" si="2"/>
        <v>252</v>
      </c>
      <c r="G58" s="40"/>
      <c r="H58" s="40"/>
      <c r="I58" s="40"/>
    </row>
    <row r="59" spans="1:9" ht="15.75" customHeight="1">
      <c r="A59" s="3">
        <v>46056.395833333336</v>
      </c>
      <c r="B59" s="40"/>
      <c r="C59" s="5">
        <v>1532</v>
      </c>
      <c r="D59" s="6">
        <f t="shared" si="0"/>
        <v>0</v>
      </c>
      <c r="E59" s="7">
        <f t="shared" si="1"/>
        <v>234.64699999999993</v>
      </c>
      <c r="F59" s="8">
        <f t="shared" si="2"/>
        <v>234.64699999999993</v>
      </c>
      <c r="G59" s="40"/>
      <c r="H59" s="40"/>
      <c r="I59" s="40"/>
    </row>
    <row r="60" spans="1:9" ht="15.75" customHeight="1">
      <c r="A60" s="3">
        <v>46056.388888888891</v>
      </c>
      <c r="B60" s="40"/>
      <c r="C60" s="5">
        <v>1297.3530000000001</v>
      </c>
      <c r="D60" s="6">
        <f t="shared" si="0"/>
        <v>0</v>
      </c>
      <c r="E60" s="7">
        <f t="shared" si="1"/>
        <v>215.35300000000007</v>
      </c>
      <c r="F60" s="8">
        <f t="shared" si="2"/>
        <v>215.35300000000007</v>
      </c>
      <c r="G60" s="40"/>
      <c r="H60" s="40"/>
      <c r="I60" s="40"/>
    </row>
    <row r="61" spans="1:9" ht="15.75" customHeight="1">
      <c r="A61" s="3">
        <v>46056.381944444445</v>
      </c>
      <c r="B61" s="40"/>
      <c r="C61" s="5">
        <v>1082</v>
      </c>
      <c r="D61" s="6">
        <f t="shared" si="0"/>
        <v>0</v>
      </c>
      <c r="E61" s="7">
        <f t="shared" si="1"/>
        <v>196</v>
      </c>
      <c r="F61" s="8">
        <f t="shared" si="2"/>
        <v>196</v>
      </c>
      <c r="G61" s="40"/>
      <c r="H61" s="40"/>
      <c r="I61" s="40"/>
    </row>
    <row r="62" spans="1:9" ht="15.75" customHeight="1">
      <c r="A62" s="3">
        <v>46056.375</v>
      </c>
      <c r="B62" s="40"/>
      <c r="C62" s="5">
        <v>886</v>
      </c>
      <c r="D62" s="6">
        <f t="shared" si="0"/>
        <v>0</v>
      </c>
      <c r="E62" s="7">
        <f t="shared" si="1"/>
        <v>176.64700000000005</v>
      </c>
      <c r="F62" s="8">
        <f t="shared" si="2"/>
        <v>176.64700000000005</v>
      </c>
      <c r="G62" s="40"/>
      <c r="H62" s="40"/>
      <c r="I62" s="40"/>
    </row>
    <row r="63" spans="1:9" ht="15.75" customHeight="1">
      <c r="A63" s="3">
        <v>46056.368055555555</v>
      </c>
      <c r="B63" s="5">
        <v>368</v>
      </c>
      <c r="C63" s="5">
        <v>709.35299999999995</v>
      </c>
      <c r="D63" s="6">
        <f t="shared" si="0"/>
        <v>165.05444084345251</v>
      </c>
      <c r="E63" s="7">
        <f t="shared" si="1"/>
        <v>155.35299999999995</v>
      </c>
      <c r="F63" s="8">
        <f t="shared" si="2"/>
        <v>-9.7014408434525592</v>
      </c>
      <c r="G63" s="5">
        <v>24.63</v>
      </c>
      <c r="H63" s="5">
        <v>1.778</v>
      </c>
      <c r="I63" s="5">
        <v>43.91</v>
      </c>
    </row>
    <row r="64" spans="1:9" ht="15.75" customHeight="1">
      <c r="A64" s="3">
        <v>46056.361111111109</v>
      </c>
      <c r="B64" s="5">
        <v>325</v>
      </c>
      <c r="C64" s="5">
        <v>554</v>
      </c>
      <c r="D64" s="6">
        <f t="shared" si="0"/>
        <v>147.96451022366753</v>
      </c>
      <c r="E64" s="7">
        <f t="shared" si="1"/>
        <v>135</v>
      </c>
      <c r="F64" s="8">
        <f t="shared" si="2"/>
        <v>-12.964510223667531</v>
      </c>
      <c r="G64" s="5">
        <v>23.81</v>
      </c>
      <c r="H64" s="5">
        <v>1</v>
      </c>
      <c r="I64" s="5">
        <v>39.89</v>
      </c>
    </row>
    <row r="65" spans="1:26" ht="15.75" customHeight="1">
      <c r="A65" s="3">
        <v>46056.354166666664</v>
      </c>
      <c r="B65" s="5">
        <v>281</v>
      </c>
      <c r="C65" s="5">
        <v>419</v>
      </c>
      <c r="D65" s="6">
        <f t="shared" si="0"/>
        <v>130.237613809344</v>
      </c>
      <c r="E65" s="7">
        <f t="shared" si="1"/>
        <v>113</v>
      </c>
      <c r="F65" s="8">
        <f t="shared" si="2"/>
        <v>-17.237613809343998</v>
      </c>
      <c r="G65" s="5">
        <v>22.81</v>
      </c>
      <c r="H65" s="5">
        <v>0.55600000000000005</v>
      </c>
      <c r="I65" s="5">
        <v>35.01</v>
      </c>
    </row>
    <row r="66" spans="1:26" ht="15.75" customHeight="1">
      <c r="A66" s="3">
        <v>46056.347222222219</v>
      </c>
      <c r="B66" s="5">
        <v>240</v>
      </c>
      <c r="C66" s="5">
        <v>306</v>
      </c>
      <c r="D66" s="6">
        <f t="shared" si="0"/>
        <v>114.24476589064028</v>
      </c>
      <c r="E66" s="7">
        <f t="shared" si="1"/>
        <v>94</v>
      </c>
      <c r="F66" s="8">
        <f t="shared" si="2"/>
        <v>-20.244765890640281</v>
      </c>
      <c r="G66" s="5">
        <v>22.13</v>
      </c>
      <c r="H66" s="5">
        <v>0.55600000000000005</v>
      </c>
      <c r="I66" s="5">
        <v>27.55</v>
      </c>
    </row>
    <row r="67" spans="1:26" ht="15.75" customHeight="1">
      <c r="A67" s="3">
        <v>46056.340277777781</v>
      </c>
      <c r="B67" s="5">
        <v>196</v>
      </c>
      <c r="C67" s="5">
        <v>212</v>
      </c>
      <c r="D67" s="6">
        <f t="shared" si="0"/>
        <v>95.286718795587717</v>
      </c>
      <c r="E67" s="7">
        <f t="shared" si="1"/>
        <v>74</v>
      </c>
      <c r="F67" s="8">
        <f t="shared" si="2"/>
        <v>-21.286718795587717</v>
      </c>
      <c r="G67" s="5">
        <v>20.5</v>
      </c>
      <c r="H67" s="5">
        <v>1</v>
      </c>
      <c r="I67" s="5">
        <v>21.52</v>
      </c>
    </row>
    <row r="68" spans="1:26" ht="15.75" customHeight="1">
      <c r="A68" s="3">
        <v>46056.333333333336</v>
      </c>
      <c r="B68" s="5">
        <v>153</v>
      </c>
      <c r="C68" s="5">
        <v>138</v>
      </c>
      <c r="D68" s="6">
        <f t="shared" si="0"/>
        <v>75.11758342624718</v>
      </c>
      <c r="E68" s="7">
        <f t="shared" si="1"/>
        <v>55.647000000000006</v>
      </c>
      <c r="F68" s="8">
        <f t="shared" si="2"/>
        <v>-19.470583426247174</v>
      </c>
      <c r="G68" s="5">
        <v>18.690000000000001</v>
      </c>
      <c r="H68" s="5">
        <v>0.55600000000000005</v>
      </c>
      <c r="I68" s="5">
        <v>18.66</v>
      </c>
    </row>
    <row r="69" spans="1:26" ht="15.75" customHeight="1">
      <c r="A69" s="3">
        <v>46056.326388888891</v>
      </c>
      <c r="B69" s="5">
        <v>113</v>
      </c>
      <c r="C69" s="5">
        <v>82.352999999999994</v>
      </c>
      <c r="D69" s="6">
        <f t="shared" si="0"/>
        <v>55.315632842064488</v>
      </c>
      <c r="E69" s="7">
        <f t="shared" si="1"/>
        <v>38.352999999999994</v>
      </c>
      <c r="F69" s="8">
        <f t="shared" si="2"/>
        <v>-16.962632842064494</v>
      </c>
      <c r="G69" s="5">
        <v>17.5</v>
      </c>
      <c r="H69" s="5">
        <v>0.55600000000000005</v>
      </c>
      <c r="I69" s="5">
        <v>19.52</v>
      </c>
    </row>
    <row r="70" spans="1:26" ht="15.75" customHeight="1">
      <c r="A70" s="3">
        <v>46056.319444444445</v>
      </c>
      <c r="B70" s="5">
        <v>76</v>
      </c>
      <c r="C70" s="5">
        <v>44</v>
      </c>
      <c r="D70" s="6">
        <f t="shared" si="0"/>
        <v>37.387411115702982</v>
      </c>
      <c r="E70" s="7">
        <f t="shared" si="1"/>
        <v>24</v>
      </c>
      <c r="F70" s="8">
        <f t="shared" si="2"/>
        <v>-13.387411115702982</v>
      </c>
      <c r="G70" s="5">
        <v>16.75</v>
      </c>
      <c r="H70" s="5">
        <v>0.55600000000000005</v>
      </c>
      <c r="I70" s="5">
        <v>18.079999999999998</v>
      </c>
    </row>
    <row r="71" spans="1:26" ht="15.75" customHeight="1">
      <c r="A71" s="3">
        <v>46056.3125</v>
      </c>
      <c r="B71" s="5">
        <v>43</v>
      </c>
      <c r="C71" s="5">
        <v>20</v>
      </c>
      <c r="D71" s="6">
        <f t="shared" si="0"/>
        <v>21.21556974006014</v>
      </c>
      <c r="E71" s="7">
        <f t="shared" si="1"/>
        <v>14</v>
      </c>
      <c r="F71" s="8">
        <f t="shared" si="2"/>
        <v>-7.2155697400601397</v>
      </c>
      <c r="G71" s="5">
        <v>16.690000000000001</v>
      </c>
      <c r="H71" s="5">
        <v>0.55600000000000005</v>
      </c>
      <c r="I71" s="5">
        <v>17.22</v>
      </c>
    </row>
    <row r="72" spans="1:26" ht="15.75" customHeight="1">
      <c r="A72" s="3">
        <v>46056.305555555555</v>
      </c>
      <c r="B72" s="5">
        <v>21</v>
      </c>
      <c r="C72" s="5">
        <v>6</v>
      </c>
      <c r="D72" s="6">
        <f t="shared" si="0"/>
        <v>10.361092198634024</v>
      </c>
      <c r="E72" s="7">
        <f t="shared" si="1"/>
        <v>5</v>
      </c>
      <c r="F72" s="8">
        <f t="shared" si="2"/>
        <v>-5.3610921986340241</v>
      </c>
      <c r="G72" s="5">
        <v>16.75</v>
      </c>
      <c r="H72" s="5">
        <v>0.55600000000000005</v>
      </c>
      <c r="I72" s="5">
        <v>17.22</v>
      </c>
    </row>
    <row r="73" spans="1:26" ht="15.75" customHeight="1">
      <c r="A73" s="3">
        <v>46056.298611111109</v>
      </c>
      <c r="B73" s="5">
        <v>7</v>
      </c>
      <c r="C73" s="5">
        <v>1</v>
      </c>
      <c r="D73" s="6">
        <f t="shared" si="0"/>
        <v>3.4571099778966867</v>
      </c>
      <c r="E73" s="7">
        <f t="shared" si="1"/>
        <v>1</v>
      </c>
      <c r="F73" s="8">
        <f t="shared" si="2"/>
        <v>-2.4571099778966867</v>
      </c>
      <c r="G73" s="5">
        <v>16.690000000000001</v>
      </c>
      <c r="H73" s="5">
        <v>0.55600000000000005</v>
      </c>
      <c r="I73" s="5">
        <v>16.93</v>
      </c>
    </row>
    <row r="74" spans="1:26" ht="15.75" customHeight="1">
      <c r="A74" s="3">
        <v>46056.291666666664</v>
      </c>
      <c r="B74" s="5">
        <v>0</v>
      </c>
      <c r="C74" s="5">
        <v>0</v>
      </c>
      <c r="D74" s="6">
        <f t="shared" si="0"/>
        <v>0</v>
      </c>
      <c r="E74" s="7">
        <f t="shared" si="1"/>
        <v>0</v>
      </c>
      <c r="F74" s="8">
        <f t="shared" si="2"/>
        <v>0</v>
      </c>
      <c r="G74" s="5">
        <v>17.25</v>
      </c>
      <c r="H74" s="5">
        <v>0.55600000000000005</v>
      </c>
      <c r="I74" s="5">
        <v>16.93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0.30383333333333334</v>
      </c>
      <c r="C76" s="11"/>
      <c r="D76" s="16" t="e">
        <f>SUM(D2:D75)</f>
        <v>#VALUE!</v>
      </c>
      <c r="E76" s="15">
        <f>SUM(E1:E74)</f>
        <v>17226</v>
      </c>
      <c r="F76" s="11"/>
      <c r="G76" s="17">
        <f t="shared" ref="G76:I76" si="3">AVERAGE(G1:G74)</f>
        <v>19.516666666666666</v>
      </c>
      <c r="H76" s="17">
        <f t="shared" si="3"/>
        <v>0.73183333333333334</v>
      </c>
      <c r="I76" s="17">
        <f t="shared" si="3"/>
        <v>24.370000000000005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mergeCells count="2">
    <mergeCell ref="B2:B62"/>
    <mergeCell ref="G2:I62"/>
  </mergeCells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9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3" t="s">
        <v>12</v>
      </c>
      <c r="B2" s="40"/>
      <c r="C2" s="5">
        <v>17140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43" t="s">
        <v>12</v>
      </c>
      <c r="H2" s="40"/>
      <c r="I2" s="40"/>
    </row>
    <row r="3" spans="1:26" ht="15.75" customHeight="1">
      <c r="A3" s="40"/>
      <c r="B3" s="40"/>
      <c r="C3" s="5">
        <v>17140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40"/>
      <c r="H3" s="40"/>
      <c r="I3" s="40"/>
    </row>
    <row r="4" spans="1:26" ht="15.75" customHeight="1">
      <c r="A4" s="40"/>
      <c r="B4" s="40"/>
      <c r="C4" s="5">
        <v>17140</v>
      </c>
      <c r="D4" s="6">
        <f t="shared" si="0"/>
        <v>0</v>
      </c>
      <c r="E4" s="7">
        <f t="shared" si="1"/>
        <v>0</v>
      </c>
      <c r="F4" s="8">
        <f t="shared" si="2"/>
        <v>0</v>
      </c>
      <c r="G4" s="40"/>
      <c r="H4" s="40"/>
      <c r="I4" s="40"/>
    </row>
    <row r="5" spans="1:26" ht="15.75" customHeight="1">
      <c r="A5" s="40"/>
      <c r="B5" s="40"/>
      <c r="C5" s="5">
        <v>17140</v>
      </c>
      <c r="D5" s="6">
        <f t="shared" si="0"/>
        <v>0</v>
      </c>
      <c r="E5" s="7">
        <f t="shared" si="1"/>
        <v>0</v>
      </c>
      <c r="F5" s="8">
        <f t="shared" si="2"/>
        <v>0</v>
      </c>
      <c r="G5" s="40"/>
      <c r="H5" s="40"/>
      <c r="I5" s="40"/>
    </row>
    <row r="6" spans="1:26" ht="15.75" customHeight="1">
      <c r="A6" s="40"/>
      <c r="B6" s="40"/>
      <c r="C6" s="5">
        <v>17140</v>
      </c>
      <c r="D6" s="6">
        <f t="shared" si="0"/>
        <v>0</v>
      </c>
      <c r="E6" s="7">
        <f t="shared" si="1"/>
        <v>0</v>
      </c>
      <c r="F6" s="8">
        <f t="shared" si="2"/>
        <v>0</v>
      </c>
      <c r="G6" s="40"/>
      <c r="H6" s="40"/>
      <c r="I6" s="40"/>
    </row>
    <row r="7" spans="1:26" ht="15.75" customHeight="1">
      <c r="A7" s="40"/>
      <c r="B7" s="40"/>
      <c r="C7" s="5">
        <v>17140</v>
      </c>
      <c r="D7" s="6">
        <f t="shared" si="0"/>
        <v>0</v>
      </c>
      <c r="E7" s="7">
        <f t="shared" si="1"/>
        <v>0</v>
      </c>
      <c r="F7" s="8">
        <f t="shared" si="2"/>
        <v>0</v>
      </c>
      <c r="G7" s="40"/>
      <c r="H7" s="40"/>
      <c r="I7" s="40"/>
    </row>
    <row r="8" spans="1:26" ht="15.75" customHeight="1">
      <c r="A8" s="40"/>
      <c r="B8" s="40"/>
      <c r="C8" s="5">
        <v>17140</v>
      </c>
      <c r="D8" s="6">
        <f t="shared" si="0"/>
        <v>0</v>
      </c>
      <c r="E8" s="7">
        <f t="shared" si="1"/>
        <v>0</v>
      </c>
      <c r="F8" s="8">
        <f t="shared" si="2"/>
        <v>0</v>
      </c>
      <c r="G8" s="40"/>
      <c r="H8" s="40"/>
      <c r="I8" s="40"/>
    </row>
    <row r="9" spans="1:26" ht="15.75" customHeight="1">
      <c r="A9" s="40"/>
      <c r="B9" s="40"/>
      <c r="C9" s="5">
        <v>17140</v>
      </c>
      <c r="D9" s="6">
        <f t="shared" si="0"/>
        <v>0</v>
      </c>
      <c r="E9" s="7">
        <f t="shared" si="1"/>
        <v>0</v>
      </c>
      <c r="F9" s="8">
        <f t="shared" si="2"/>
        <v>0</v>
      </c>
      <c r="G9" s="40"/>
      <c r="H9" s="40"/>
      <c r="I9" s="40"/>
    </row>
    <row r="10" spans="1:26" ht="15.75" customHeight="1">
      <c r="A10" s="40"/>
      <c r="B10" s="40"/>
      <c r="C10" s="5">
        <v>17140</v>
      </c>
      <c r="D10" s="6">
        <f t="shared" si="0"/>
        <v>0</v>
      </c>
      <c r="E10" s="7">
        <f t="shared" si="1"/>
        <v>0</v>
      </c>
      <c r="F10" s="8">
        <f t="shared" si="2"/>
        <v>0</v>
      </c>
      <c r="G10" s="40"/>
      <c r="H10" s="40"/>
      <c r="I10" s="40"/>
    </row>
    <row r="11" spans="1:26" ht="15.75" customHeight="1">
      <c r="A11" s="40"/>
      <c r="B11" s="40"/>
      <c r="C11" s="5">
        <v>17140</v>
      </c>
      <c r="D11" s="6">
        <f t="shared" si="0"/>
        <v>0</v>
      </c>
      <c r="E11" s="7">
        <f t="shared" si="1"/>
        <v>0</v>
      </c>
      <c r="F11" s="8">
        <f t="shared" si="2"/>
        <v>0</v>
      </c>
      <c r="G11" s="40"/>
      <c r="H11" s="40"/>
      <c r="I11" s="40"/>
    </row>
    <row r="12" spans="1:26" ht="15.75" customHeight="1">
      <c r="A12" s="40"/>
      <c r="B12" s="40"/>
      <c r="C12" s="5">
        <v>17140</v>
      </c>
      <c r="D12" s="6">
        <f t="shared" si="0"/>
        <v>0</v>
      </c>
      <c r="E12" s="7">
        <f t="shared" si="1"/>
        <v>0</v>
      </c>
      <c r="F12" s="8">
        <f t="shared" si="2"/>
        <v>0</v>
      </c>
      <c r="G12" s="40"/>
      <c r="H12" s="40"/>
      <c r="I12" s="40"/>
    </row>
    <row r="13" spans="1:26" ht="15.75" customHeight="1">
      <c r="A13" s="40"/>
      <c r="B13" s="40"/>
      <c r="C13" s="5">
        <v>17140</v>
      </c>
      <c r="D13" s="6">
        <f t="shared" si="0"/>
        <v>0</v>
      </c>
      <c r="E13" s="7">
        <f t="shared" si="1"/>
        <v>79</v>
      </c>
      <c r="F13" s="8">
        <f t="shared" si="2"/>
        <v>79</v>
      </c>
      <c r="G13" s="40"/>
      <c r="H13" s="40"/>
      <c r="I13" s="40"/>
    </row>
    <row r="14" spans="1:26" ht="15.75" customHeight="1">
      <c r="A14" s="40"/>
      <c r="B14" s="40"/>
      <c r="C14" s="5">
        <v>17061</v>
      </c>
      <c r="D14" s="6">
        <f t="shared" si="0"/>
        <v>0</v>
      </c>
      <c r="E14" s="7">
        <f t="shared" si="1"/>
        <v>156</v>
      </c>
      <c r="F14" s="8">
        <f t="shared" si="2"/>
        <v>156</v>
      </c>
      <c r="G14" s="40"/>
      <c r="H14" s="40"/>
      <c r="I14" s="40"/>
    </row>
    <row r="15" spans="1:26" ht="15.75" customHeight="1">
      <c r="A15" s="40"/>
      <c r="B15" s="40"/>
      <c r="C15" s="5">
        <v>16905</v>
      </c>
      <c r="D15" s="6">
        <f t="shared" si="0"/>
        <v>0</v>
      </c>
      <c r="E15" s="7">
        <f t="shared" si="1"/>
        <v>176.65000000000146</v>
      </c>
      <c r="F15" s="8">
        <f t="shared" si="2"/>
        <v>176.65000000000146</v>
      </c>
      <c r="G15" s="40"/>
      <c r="H15" s="40"/>
      <c r="I15" s="40"/>
    </row>
    <row r="16" spans="1:26" ht="15.75" customHeight="1">
      <c r="A16" s="40"/>
      <c r="B16" s="40"/>
      <c r="C16" s="5">
        <v>16728.349999999999</v>
      </c>
      <c r="D16" s="6">
        <f t="shared" si="0"/>
        <v>0</v>
      </c>
      <c r="E16" s="7">
        <f t="shared" si="1"/>
        <v>195</v>
      </c>
      <c r="F16" s="8">
        <f t="shared" si="2"/>
        <v>195</v>
      </c>
      <c r="G16" s="40"/>
      <c r="H16" s="40"/>
      <c r="I16" s="40"/>
    </row>
    <row r="17" spans="1:9" ht="15.75" customHeight="1">
      <c r="A17" s="40"/>
      <c r="B17" s="40"/>
      <c r="C17" s="5">
        <v>16533.349999999999</v>
      </c>
      <c r="D17" s="6">
        <f t="shared" si="0"/>
        <v>0</v>
      </c>
      <c r="E17" s="7">
        <f t="shared" si="1"/>
        <v>213.99999999999818</v>
      </c>
      <c r="F17" s="8">
        <f t="shared" si="2"/>
        <v>213.99999999999818</v>
      </c>
      <c r="G17" s="40"/>
      <c r="H17" s="40"/>
      <c r="I17" s="40"/>
    </row>
    <row r="18" spans="1:9" ht="15.75" customHeight="1">
      <c r="A18" s="40"/>
      <c r="B18" s="40"/>
      <c r="C18" s="5">
        <v>16319.35</v>
      </c>
      <c r="D18" s="6">
        <f t="shared" si="0"/>
        <v>0</v>
      </c>
      <c r="E18" s="7">
        <f t="shared" si="1"/>
        <v>232</v>
      </c>
      <c r="F18" s="8">
        <f t="shared" si="2"/>
        <v>232</v>
      </c>
      <c r="G18" s="40"/>
      <c r="H18" s="40"/>
      <c r="I18" s="40"/>
    </row>
    <row r="19" spans="1:9" ht="15.75" customHeight="1">
      <c r="A19" s="40"/>
      <c r="B19" s="40"/>
      <c r="C19" s="5">
        <v>16087.35</v>
      </c>
      <c r="D19" s="6">
        <f t="shared" si="0"/>
        <v>0</v>
      </c>
      <c r="E19" s="7">
        <f t="shared" si="1"/>
        <v>249.35000000000036</v>
      </c>
      <c r="F19" s="8">
        <f t="shared" si="2"/>
        <v>249.35000000000036</v>
      </c>
      <c r="G19" s="40"/>
      <c r="H19" s="40"/>
      <c r="I19" s="40"/>
    </row>
    <row r="20" spans="1:9" ht="15.75" customHeight="1">
      <c r="A20" s="40"/>
      <c r="B20" s="40"/>
      <c r="C20" s="5">
        <v>15838</v>
      </c>
      <c r="D20" s="6">
        <f t="shared" si="0"/>
        <v>0</v>
      </c>
      <c r="E20" s="7">
        <f t="shared" si="1"/>
        <v>266.64999999999964</v>
      </c>
      <c r="F20" s="8">
        <f t="shared" si="2"/>
        <v>266.64999999999964</v>
      </c>
      <c r="G20" s="40"/>
      <c r="H20" s="40"/>
      <c r="I20" s="40"/>
    </row>
    <row r="21" spans="1:9" ht="15.75" customHeight="1">
      <c r="A21" s="40"/>
      <c r="B21" s="40"/>
      <c r="C21" s="5">
        <v>15571.35</v>
      </c>
      <c r="D21" s="6">
        <f t="shared" si="0"/>
        <v>0</v>
      </c>
      <c r="E21" s="7">
        <f t="shared" si="1"/>
        <v>282</v>
      </c>
      <c r="F21" s="8">
        <f t="shared" si="2"/>
        <v>282</v>
      </c>
      <c r="G21" s="40"/>
      <c r="H21" s="40"/>
      <c r="I21" s="40"/>
    </row>
    <row r="22" spans="1:9" ht="15.75" customHeight="1">
      <c r="A22" s="40"/>
      <c r="B22" s="40"/>
      <c r="C22" s="5">
        <v>15289.35</v>
      </c>
      <c r="D22" s="6">
        <f t="shared" si="0"/>
        <v>0</v>
      </c>
      <c r="E22" s="7">
        <f t="shared" si="1"/>
        <v>298.35000000000036</v>
      </c>
      <c r="F22" s="8">
        <f t="shared" si="2"/>
        <v>298.35000000000036</v>
      </c>
      <c r="G22" s="40"/>
      <c r="H22" s="40"/>
      <c r="I22" s="40"/>
    </row>
    <row r="23" spans="1:9" ht="15.75" customHeight="1">
      <c r="A23" s="40"/>
      <c r="B23" s="40"/>
      <c r="C23" s="5">
        <v>14991</v>
      </c>
      <c r="D23" s="6">
        <f t="shared" si="0"/>
        <v>0</v>
      </c>
      <c r="E23" s="7">
        <f t="shared" si="1"/>
        <v>311</v>
      </c>
      <c r="F23" s="8">
        <f t="shared" si="2"/>
        <v>311</v>
      </c>
      <c r="G23" s="40"/>
      <c r="H23" s="40"/>
      <c r="I23" s="40"/>
    </row>
    <row r="24" spans="1:9" ht="15.75" customHeight="1">
      <c r="A24" s="40"/>
      <c r="B24" s="40"/>
      <c r="C24" s="5">
        <v>14680</v>
      </c>
      <c r="D24" s="6">
        <f t="shared" si="0"/>
        <v>0</v>
      </c>
      <c r="E24" s="7">
        <f t="shared" si="1"/>
        <v>323.64999999999964</v>
      </c>
      <c r="F24" s="8">
        <f t="shared" si="2"/>
        <v>323.64999999999964</v>
      </c>
      <c r="G24" s="40"/>
      <c r="H24" s="40"/>
      <c r="I24" s="40"/>
    </row>
    <row r="25" spans="1:9" ht="15.75" customHeight="1">
      <c r="A25" s="40"/>
      <c r="B25" s="40"/>
      <c r="C25" s="5">
        <v>14356.35</v>
      </c>
      <c r="D25" s="6">
        <f t="shared" si="0"/>
        <v>0</v>
      </c>
      <c r="E25" s="7">
        <f t="shared" si="1"/>
        <v>336.35000000000036</v>
      </c>
      <c r="F25" s="8">
        <f t="shared" si="2"/>
        <v>336.35000000000036</v>
      </c>
      <c r="G25" s="40"/>
      <c r="H25" s="40"/>
      <c r="I25" s="40"/>
    </row>
    <row r="26" spans="1:9" ht="15.75" customHeight="1">
      <c r="A26" s="40"/>
      <c r="B26" s="40"/>
      <c r="C26" s="5">
        <v>14020</v>
      </c>
      <c r="D26" s="6">
        <f t="shared" si="0"/>
        <v>0</v>
      </c>
      <c r="E26" s="7">
        <f t="shared" si="1"/>
        <v>346</v>
      </c>
      <c r="F26" s="8">
        <f t="shared" si="2"/>
        <v>346</v>
      </c>
      <c r="G26" s="40"/>
      <c r="H26" s="40"/>
      <c r="I26" s="40"/>
    </row>
    <row r="27" spans="1:9" ht="15.75" customHeight="1">
      <c r="A27" s="40"/>
      <c r="B27" s="40"/>
      <c r="C27" s="5">
        <v>13674</v>
      </c>
      <c r="D27" s="6">
        <f t="shared" si="0"/>
        <v>0</v>
      </c>
      <c r="E27" s="7">
        <f t="shared" si="1"/>
        <v>355</v>
      </c>
      <c r="F27" s="8">
        <f t="shared" si="2"/>
        <v>355</v>
      </c>
      <c r="G27" s="40"/>
      <c r="H27" s="40"/>
      <c r="I27" s="40"/>
    </row>
    <row r="28" spans="1:9" ht="15.75" customHeight="1">
      <c r="A28" s="40"/>
      <c r="B28" s="40"/>
      <c r="C28" s="5">
        <v>13319</v>
      </c>
      <c r="D28" s="6">
        <f t="shared" si="0"/>
        <v>0</v>
      </c>
      <c r="E28" s="7">
        <f t="shared" si="1"/>
        <v>365.64999999999964</v>
      </c>
      <c r="F28" s="8">
        <f t="shared" si="2"/>
        <v>365.64999999999964</v>
      </c>
      <c r="G28" s="40"/>
      <c r="H28" s="40"/>
      <c r="I28" s="40"/>
    </row>
    <row r="29" spans="1:9" ht="15.75" customHeight="1">
      <c r="A29" s="40"/>
      <c r="B29" s="40"/>
      <c r="C29" s="5">
        <v>12953.35</v>
      </c>
      <c r="D29" s="6">
        <f t="shared" si="0"/>
        <v>0</v>
      </c>
      <c r="E29" s="7">
        <f t="shared" si="1"/>
        <v>374.35000000000036</v>
      </c>
      <c r="F29" s="8">
        <f t="shared" si="2"/>
        <v>374.35000000000036</v>
      </c>
      <c r="G29" s="40"/>
      <c r="H29" s="40"/>
      <c r="I29" s="40"/>
    </row>
    <row r="30" spans="1:9" ht="15.75" customHeight="1">
      <c r="A30" s="40"/>
      <c r="B30" s="40"/>
      <c r="C30" s="5">
        <v>12579</v>
      </c>
      <c r="D30" s="6">
        <f t="shared" si="0"/>
        <v>0</v>
      </c>
      <c r="E30" s="7">
        <f t="shared" si="1"/>
        <v>382.64999999999964</v>
      </c>
      <c r="F30" s="8">
        <f t="shared" si="2"/>
        <v>382.64999999999964</v>
      </c>
      <c r="G30" s="40"/>
      <c r="H30" s="40"/>
      <c r="I30" s="40"/>
    </row>
    <row r="31" spans="1:9" ht="15.75" customHeight="1">
      <c r="A31" s="40"/>
      <c r="B31" s="40"/>
      <c r="C31" s="5">
        <v>12196.35</v>
      </c>
      <c r="D31" s="6">
        <f t="shared" si="0"/>
        <v>0</v>
      </c>
      <c r="E31" s="7">
        <f t="shared" si="1"/>
        <v>392</v>
      </c>
      <c r="F31" s="8">
        <f t="shared" si="2"/>
        <v>392</v>
      </c>
      <c r="G31" s="40"/>
      <c r="H31" s="40"/>
      <c r="I31" s="40"/>
    </row>
    <row r="32" spans="1:9" ht="15.75" customHeight="1">
      <c r="A32" s="40"/>
      <c r="B32" s="40"/>
      <c r="C32" s="5">
        <v>11804.35</v>
      </c>
      <c r="D32" s="6">
        <f t="shared" si="0"/>
        <v>0</v>
      </c>
      <c r="E32" s="7">
        <f t="shared" si="1"/>
        <v>397.35000000000036</v>
      </c>
      <c r="F32" s="8">
        <f t="shared" si="2"/>
        <v>397.35000000000036</v>
      </c>
      <c r="G32" s="40"/>
      <c r="H32" s="40"/>
      <c r="I32" s="40"/>
    </row>
    <row r="33" spans="1:9" ht="15.75" customHeight="1">
      <c r="A33" s="40"/>
      <c r="B33" s="40"/>
      <c r="C33" s="5">
        <v>11407</v>
      </c>
      <c r="D33" s="6">
        <f t="shared" si="0"/>
        <v>0</v>
      </c>
      <c r="E33" s="7">
        <f t="shared" si="1"/>
        <v>408</v>
      </c>
      <c r="F33" s="8">
        <f t="shared" si="2"/>
        <v>408</v>
      </c>
      <c r="G33" s="40"/>
      <c r="H33" s="40"/>
      <c r="I33" s="40"/>
    </row>
    <row r="34" spans="1:9" ht="15.75" customHeight="1">
      <c r="A34" s="40"/>
      <c r="B34" s="40"/>
      <c r="C34" s="5">
        <v>10999</v>
      </c>
      <c r="D34" s="6">
        <f t="shared" si="0"/>
        <v>0</v>
      </c>
      <c r="E34" s="7">
        <f t="shared" si="1"/>
        <v>410.64999999999964</v>
      </c>
      <c r="F34" s="8">
        <f t="shared" si="2"/>
        <v>410.64999999999964</v>
      </c>
      <c r="G34" s="40"/>
      <c r="H34" s="40"/>
      <c r="I34" s="40"/>
    </row>
    <row r="35" spans="1:9" ht="15.75" customHeight="1">
      <c r="A35" s="40"/>
      <c r="B35" s="40"/>
      <c r="C35" s="5">
        <v>10588.35</v>
      </c>
      <c r="D35" s="6">
        <f t="shared" si="0"/>
        <v>0</v>
      </c>
      <c r="E35" s="7">
        <f t="shared" si="1"/>
        <v>414.35000000000036</v>
      </c>
      <c r="F35" s="8">
        <f t="shared" si="2"/>
        <v>414.35000000000036</v>
      </c>
      <c r="G35" s="40"/>
      <c r="H35" s="40"/>
      <c r="I35" s="40"/>
    </row>
    <row r="36" spans="1:9" ht="15.75" customHeight="1">
      <c r="A36" s="40"/>
      <c r="B36" s="40"/>
      <c r="C36" s="5">
        <v>10174</v>
      </c>
      <c r="D36" s="6">
        <f t="shared" si="0"/>
        <v>0</v>
      </c>
      <c r="E36" s="7">
        <f t="shared" si="1"/>
        <v>419</v>
      </c>
      <c r="F36" s="8">
        <f t="shared" si="2"/>
        <v>419</v>
      </c>
      <c r="G36" s="40"/>
      <c r="H36" s="40"/>
      <c r="I36" s="40"/>
    </row>
    <row r="37" spans="1:9" ht="15.75" customHeight="1">
      <c r="A37" s="40"/>
      <c r="B37" s="40"/>
      <c r="C37" s="5">
        <v>9755</v>
      </c>
      <c r="D37" s="6">
        <f t="shared" si="0"/>
        <v>0</v>
      </c>
      <c r="E37" s="7">
        <f t="shared" si="1"/>
        <v>421</v>
      </c>
      <c r="F37" s="8">
        <f t="shared" si="2"/>
        <v>421</v>
      </c>
      <c r="G37" s="40"/>
      <c r="H37" s="40"/>
      <c r="I37" s="40"/>
    </row>
    <row r="38" spans="1:9" ht="15.75" customHeight="1">
      <c r="A38" s="40"/>
      <c r="B38" s="40"/>
      <c r="C38" s="5">
        <v>9334</v>
      </c>
      <c r="D38" s="6">
        <f t="shared" si="0"/>
        <v>0</v>
      </c>
      <c r="E38" s="7">
        <f t="shared" si="1"/>
        <v>423.64700000000084</v>
      </c>
      <c r="F38" s="8">
        <f t="shared" si="2"/>
        <v>423.64700000000084</v>
      </c>
      <c r="G38" s="40"/>
      <c r="H38" s="40"/>
      <c r="I38" s="40"/>
    </row>
    <row r="39" spans="1:9" ht="15.75" customHeight="1">
      <c r="A39" s="40"/>
      <c r="B39" s="40"/>
      <c r="C39" s="5">
        <v>8910.3529999999992</v>
      </c>
      <c r="D39" s="6">
        <f t="shared" si="0"/>
        <v>0</v>
      </c>
      <c r="E39" s="7">
        <f t="shared" si="1"/>
        <v>422.35299999999916</v>
      </c>
      <c r="F39" s="8">
        <f t="shared" si="2"/>
        <v>422.35299999999916</v>
      </c>
      <c r="G39" s="40"/>
      <c r="H39" s="40"/>
      <c r="I39" s="40"/>
    </row>
    <row r="40" spans="1:9" ht="15.75" customHeight="1">
      <c r="A40" s="40"/>
      <c r="B40" s="40"/>
      <c r="C40" s="5">
        <v>8488</v>
      </c>
      <c r="D40" s="6">
        <f t="shared" si="0"/>
        <v>0</v>
      </c>
      <c r="E40" s="7">
        <f t="shared" si="1"/>
        <v>421</v>
      </c>
      <c r="F40" s="8">
        <f t="shared" si="2"/>
        <v>421</v>
      </c>
      <c r="G40" s="40"/>
      <c r="H40" s="40"/>
      <c r="I40" s="40"/>
    </row>
    <row r="41" spans="1:9" ht="15.75" customHeight="1">
      <c r="A41" s="40"/>
      <c r="B41" s="40"/>
      <c r="C41" s="5">
        <v>8067</v>
      </c>
      <c r="D41" s="6">
        <f t="shared" si="0"/>
        <v>0</v>
      </c>
      <c r="E41" s="7">
        <f t="shared" si="1"/>
        <v>418</v>
      </c>
      <c r="F41" s="8">
        <f t="shared" si="2"/>
        <v>418</v>
      </c>
      <c r="G41" s="40"/>
      <c r="H41" s="40"/>
      <c r="I41" s="40"/>
    </row>
    <row r="42" spans="1:9" ht="15.75" customHeight="1">
      <c r="A42" s="40"/>
      <c r="B42" s="40"/>
      <c r="C42" s="5">
        <v>7649</v>
      </c>
      <c r="D42" s="6">
        <f t="shared" si="0"/>
        <v>0</v>
      </c>
      <c r="E42" s="7">
        <f t="shared" si="1"/>
        <v>414</v>
      </c>
      <c r="F42" s="8">
        <f t="shared" si="2"/>
        <v>414</v>
      </c>
      <c r="G42" s="40"/>
      <c r="H42" s="40"/>
      <c r="I42" s="40"/>
    </row>
    <row r="43" spans="1:9" ht="15.75" customHeight="1">
      <c r="A43" s="40"/>
      <c r="B43" s="40"/>
      <c r="C43" s="5">
        <v>7235</v>
      </c>
      <c r="D43" s="6">
        <f t="shared" si="0"/>
        <v>0</v>
      </c>
      <c r="E43" s="7">
        <f t="shared" si="1"/>
        <v>412</v>
      </c>
      <c r="F43" s="8">
        <f t="shared" si="2"/>
        <v>412</v>
      </c>
      <c r="G43" s="40"/>
      <c r="H43" s="40"/>
      <c r="I43" s="40"/>
    </row>
    <row r="44" spans="1:9" ht="15.75" customHeight="1">
      <c r="A44" s="40"/>
      <c r="B44" s="40"/>
      <c r="C44" s="5">
        <v>6823</v>
      </c>
      <c r="D44" s="6">
        <f t="shared" si="0"/>
        <v>0</v>
      </c>
      <c r="E44" s="7">
        <f t="shared" si="1"/>
        <v>412</v>
      </c>
      <c r="F44" s="8">
        <f t="shared" si="2"/>
        <v>412</v>
      </c>
      <c r="G44" s="40"/>
      <c r="H44" s="40"/>
      <c r="I44" s="40"/>
    </row>
    <row r="45" spans="1:9" ht="15.75" customHeight="1">
      <c r="A45" s="40"/>
      <c r="B45" s="40"/>
      <c r="C45" s="5">
        <v>6411</v>
      </c>
      <c r="D45" s="6">
        <f t="shared" si="0"/>
        <v>0</v>
      </c>
      <c r="E45" s="7">
        <f t="shared" si="1"/>
        <v>404</v>
      </c>
      <c r="F45" s="8">
        <f t="shared" si="2"/>
        <v>404</v>
      </c>
      <c r="G45" s="40"/>
      <c r="H45" s="40"/>
      <c r="I45" s="40"/>
    </row>
    <row r="46" spans="1:9" ht="15.75" customHeight="1">
      <c r="A46" s="40"/>
      <c r="B46" s="40"/>
      <c r="C46" s="5">
        <v>6007</v>
      </c>
      <c r="D46" s="6">
        <f t="shared" si="0"/>
        <v>0</v>
      </c>
      <c r="E46" s="7">
        <f t="shared" si="1"/>
        <v>398</v>
      </c>
      <c r="F46" s="8">
        <f t="shared" si="2"/>
        <v>398</v>
      </c>
      <c r="G46" s="40"/>
      <c r="H46" s="40"/>
      <c r="I46" s="40"/>
    </row>
    <row r="47" spans="1:9" ht="15.75" customHeight="1">
      <c r="A47" s="40"/>
      <c r="B47" s="40"/>
      <c r="C47" s="5">
        <v>5609</v>
      </c>
      <c r="D47" s="6">
        <f t="shared" si="0"/>
        <v>0</v>
      </c>
      <c r="E47" s="7">
        <f t="shared" si="1"/>
        <v>388.64699999999993</v>
      </c>
      <c r="F47" s="8">
        <f t="shared" si="2"/>
        <v>388.64699999999993</v>
      </c>
      <c r="G47" s="40"/>
      <c r="H47" s="40"/>
      <c r="I47" s="40"/>
    </row>
    <row r="48" spans="1:9" ht="15.75" customHeight="1">
      <c r="A48" s="40"/>
      <c r="B48" s="40"/>
      <c r="C48" s="5">
        <v>5220.3530000000001</v>
      </c>
      <c r="D48" s="6">
        <f t="shared" si="0"/>
        <v>0</v>
      </c>
      <c r="E48" s="7">
        <f t="shared" si="1"/>
        <v>382.35300000000007</v>
      </c>
      <c r="F48" s="8">
        <f t="shared" si="2"/>
        <v>382.35300000000007</v>
      </c>
      <c r="G48" s="40"/>
      <c r="H48" s="40"/>
      <c r="I48" s="40"/>
    </row>
    <row r="49" spans="1:9" ht="15.75" customHeight="1">
      <c r="A49" s="40"/>
      <c r="B49" s="40"/>
      <c r="C49" s="5">
        <v>4838</v>
      </c>
      <c r="D49" s="6">
        <f t="shared" si="0"/>
        <v>0</v>
      </c>
      <c r="E49" s="7">
        <f t="shared" si="1"/>
        <v>378</v>
      </c>
      <c r="F49" s="8">
        <f t="shared" si="2"/>
        <v>378</v>
      </c>
      <c r="G49" s="40"/>
      <c r="H49" s="40"/>
      <c r="I49" s="40"/>
    </row>
    <row r="50" spans="1:9" ht="15.75" customHeight="1">
      <c r="A50" s="40"/>
      <c r="B50" s="40"/>
      <c r="C50" s="5">
        <v>4460</v>
      </c>
      <c r="D50" s="6">
        <f t="shared" si="0"/>
        <v>0</v>
      </c>
      <c r="E50" s="7">
        <f t="shared" si="1"/>
        <v>366.64699999999993</v>
      </c>
      <c r="F50" s="8">
        <f t="shared" si="2"/>
        <v>366.64699999999993</v>
      </c>
      <c r="G50" s="40"/>
      <c r="H50" s="40"/>
      <c r="I50" s="40"/>
    </row>
    <row r="51" spans="1:9" ht="15.75" customHeight="1">
      <c r="A51" s="40"/>
      <c r="B51" s="40"/>
      <c r="C51" s="5">
        <v>4093.3530000000001</v>
      </c>
      <c r="D51" s="6">
        <f t="shared" si="0"/>
        <v>0</v>
      </c>
      <c r="E51" s="7">
        <f t="shared" si="1"/>
        <v>356.35300000000007</v>
      </c>
      <c r="F51" s="8">
        <f t="shared" si="2"/>
        <v>356.35300000000007</v>
      </c>
      <c r="G51" s="40"/>
      <c r="H51" s="40"/>
      <c r="I51" s="40"/>
    </row>
    <row r="52" spans="1:9" ht="15.75" customHeight="1">
      <c r="A52" s="40"/>
      <c r="B52" s="40"/>
      <c r="C52" s="5">
        <v>3737</v>
      </c>
      <c r="D52" s="6">
        <f t="shared" si="0"/>
        <v>0</v>
      </c>
      <c r="E52" s="7">
        <f t="shared" si="1"/>
        <v>346</v>
      </c>
      <c r="F52" s="8">
        <f t="shared" si="2"/>
        <v>346</v>
      </c>
      <c r="G52" s="40"/>
      <c r="H52" s="40"/>
      <c r="I52" s="40"/>
    </row>
    <row r="53" spans="1:9" ht="15.75" customHeight="1">
      <c r="A53" s="40"/>
      <c r="B53" s="40"/>
      <c r="C53" s="5">
        <v>3391</v>
      </c>
      <c r="D53" s="6">
        <f t="shared" si="0"/>
        <v>0</v>
      </c>
      <c r="E53" s="7">
        <f t="shared" si="1"/>
        <v>334</v>
      </c>
      <c r="F53" s="8">
        <f t="shared" si="2"/>
        <v>334</v>
      </c>
      <c r="G53" s="40"/>
      <c r="H53" s="40"/>
      <c r="I53" s="40"/>
    </row>
    <row r="54" spans="1:9" ht="15.75" customHeight="1">
      <c r="A54" s="40"/>
      <c r="B54" s="40"/>
      <c r="C54" s="5">
        <v>3057</v>
      </c>
      <c r="D54" s="6">
        <f t="shared" si="0"/>
        <v>0</v>
      </c>
      <c r="E54" s="7">
        <f t="shared" si="1"/>
        <v>317.64699999999993</v>
      </c>
      <c r="F54" s="8">
        <f t="shared" si="2"/>
        <v>317.64699999999993</v>
      </c>
      <c r="G54" s="40"/>
      <c r="H54" s="40"/>
      <c r="I54" s="40"/>
    </row>
    <row r="55" spans="1:9" ht="15.75" customHeight="1">
      <c r="A55" s="40"/>
      <c r="B55" s="40"/>
      <c r="C55" s="5">
        <v>2739.3530000000001</v>
      </c>
      <c r="D55" s="6">
        <f t="shared" si="0"/>
        <v>0</v>
      </c>
      <c r="E55" s="7">
        <f t="shared" si="1"/>
        <v>305.35300000000007</v>
      </c>
      <c r="F55" s="8">
        <f t="shared" si="2"/>
        <v>305.35300000000007</v>
      </c>
      <c r="G55" s="40"/>
      <c r="H55" s="40"/>
      <c r="I55" s="40"/>
    </row>
    <row r="56" spans="1:9" ht="15.75" customHeight="1">
      <c r="A56" s="40"/>
      <c r="B56" s="40"/>
      <c r="C56" s="5">
        <v>2434</v>
      </c>
      <c r="D56" s="6">
        <f t="shared" si="0"/>
        <v>0</v>
      </c>
      <c r="E56" s="7">
        <f t="shared" si="1"/>
        <v>290</v>
      </c>
      <c r="F56" s="8">
        <f t="shared" si="2"/>
        <v>290</v>
      </c>
      <c r="G56" s="40"/>
      <c r="H56" s="40"/>
      <c r="I56" s="40"/>
    </row>
    <row r="57" spans="1:9" ht="15.75" customHeight="1">
      <c r="A57" s="40"/>
      <c r="B57" s="40"/>
      <c r="C57" s="5">
        <v>2144</v>
      </c>
      <c r="D57" s="6">
        <f t="shared" si="0"/>
        <v>0</v>
      </c>
      <c r="E57" s="7">
        <f t="shared" si="1"/>
        <v>274.64699999999993</v>
      </c>
      <c r="F57" s="8">
        <f t="shared" si="2"/>
        <v>274.64699999999993</v>
      </c>
      <c r="G57" s="40"/>
      <c r="H57" s="40"/>
      <c r="I57" s="40"/>
    </row>
    <row r="58" spans="1:9" ht="15.75" customHeight="1">
      <c r="A58" s="40"/>
      <c r="B58" s="40"/>
      <c r="C58" s="5">
        <v>1869.3530000000001</v>
      </c>
      <c r="D58" s="6">
        <f t="shared" si="0"/>
        <v>0</v>
      </c>
      <c r="E58" s="7">
        <f t="shared" si="1"/>
        <v>259</v>
      </c>
      <c r="F58" s="8">
        <f t="shared" si="2"/>
        <v>259</v>
      </c>
      <c r="G58" s="40"/>
      <c r="H58" s="40"/>
      <c r="I58" s="40"/>
    </row>
    <row r="59" spans="1:9" ht="15.75" customHeight="1">
      <c r="A59" s="40"/>
      <c r="B59" s="40"/>
      <c r="C59" s="5">
        <v>1610.3530000000001</v>
      </c>
      <c r="D59" s="6">
        <f t="shared" si="0"/>
        <v>0</v>
      </c>
      <c r="E59" s="7">
        <f t="shared" si="1"/>
        <v>241.35300000000007</v>
      </c>
      <c r="F59" s="8">
        <f t="shared" si="2"/>
        <v>241.35300000000007</v>
      </c>
      <c r="G59" s="40"/>
      <c r="H59" s="40"/>
      <c r="I59" s="40"/>
    </row>
    <row r="60" spans="1:9" ht="15.75" customHeight="1">
      <c r="A60" s="40"/>
      <c r="B60" s="40"/>
      <c r="C60" s="5">
        <v>1369</v>
      </c>
      <c r="D60" s="6">
        <f t="shared" si="0"/>
        <v>0</v>
      </c>
      <c r="E60" s="7">
        <f t="shared" si="1"/>
        <v>224</v>
      </c>
      <c r="F60" s="8">
        <f t="shared" si="2"/>
        <v>224</v>
      </c>
      <c r="G60" s="40"/>
      <c r="H60" s="40"/>
      <c r="I60" s="40"/>
    </row>
    <row r="61" spans="1:9" ht="15.75" customHeight="1">
      <c r="A61" s="40"/>
      <c r="B61" s="40"/>
      <c r="C61" s="5">
        <v>1145</v>
      </c>
      <c r="D61" s="6">
        <f t="shared" si="0"/>
        <v>0</v>
      </c>
      <c r="E61" s="7">
        <f t="shared" si="1"/>
        <v>205</v>
      </c>
      <c r="F61" s="8">
        <f t="shared" si="2"/>
        <v>205</v>
      </c>
      <c r="G61" s="40"/>
      <c r="H61" s="40"/>
      <c r="I61" s="40"/>
    </row>
    <row r="62" spans="1:9" ht="15.75" customHeight="1">
      <c r="A62" s="40"/>
      <c r="B62" s="40"/>
      <c r="C62" s="5">
        <v>940</v>
      </c>
      <c r="D62" s="6">
        <f t="shared" si="0"/>
        <v>0</v>
      </c>
      <c r="E62" s="7">
        <f t="shared" si="1"/>
        <v>185</v>
      </c>
      <c r="F62" s="8">
        <f t="shared" si="2"/>
        <v>185</v>
      </c>
      <c r="G62" s="40"/>
      <c r="H62" s="40"/>
      <c r="I62" s="40"/>
    </row>
    <row r="63" spans="1:9" ht="15.75" customHeight="1">
      <c r="A63" s="40"/>
      <c r="B63" s="40"/>
      <c r="C63" s="5">
        <v>755</v>
      </c>
      <c r="D63" s="6">
        <f t="shared" si="0"/>
        <v>0</v>
      </c>
      <c r="E63" s="7">
        <f t="shared" si="1"/>
        <v>164.64700000000005</v>
      </c>
      <c r="F63" s="8">
        <f t="shared" si="2"/>
        <v>164.64700000000005</v>
      </c>
      <c r="G63" s="40"/>
      <c r="H63" s="40"/>
      <c r="I63" s="40"/>
    </row>
    <row r="64" spans="1:9" ht="15.75" customHeight="1">
      <c r="A64" s="40"/>
      <c r="B64" s="40"/>
      <c r="C64" s="5">
        <v>590.35299999999995</v>
      </c>
      <c r="D64" s="6">
        <f t="shared" si="0"/>
        <v>0</v>
      </c>
      <c r="E64" s="7">
        <f t="shared" si="1"/>
        <v>142.35299999999995</v>
      </c>
      <c r="F64" s="8">
        <f t="shared" si="2"/>
        <v>142.35299999999995</v>
      </c>
      <c r="G64" s="40"/>
      <c r="H64" s="40"/>
      <c r="I64" s="40"/>
    </row>
    <row r="65" spans="1:26" ht="15.75" customHeight="1">
      <c r="A65" s="40"/>
      <c r="B65" s="40"/>
      <c r="C65" s="5">
        <v>448</v>
      </c>
      <c r="D65" s="6">
        <f t="shared" si="0"/>
        <v>0</v>
      </c>
      <c r="E65" s="7">
        <f t="shared" si="1"/>
        <v>120.64699999999999</v>
      </c>
      <c r="F65" s="8">
        <f t="shared" si="2"/>
        <v>120.64699999999999</v>
      </c>
      <c r="G65" s="40"/>
      <c r="H65" s="40"/>
      <c r="I65" s="40"/>
    </row>
    <row r="66" spans="1:26" ht="15.75" customHeight="1">
      <c r="A66" s="40"/>
      <c r="B66" s="40"/>
      <c r="C66" s="5">
        <v>327.35300000000001</v>
      </c>
      <c r="D66" s="6">
        <f t="shared" si="0"/>
        <v>0</v>
      </c>
      <c r="E66" s="7">
        <f t="shared" si="1"/>
        <v>100</v>
      </c>
      <c r="F66" s="8">
        <f t="shared" si="2"/>
        <v>100</v>
      </c>
      <c r="G66" s="40"/>
      <c r="H66" s="40"/>
      <c r="I66" s="40"/>
    </row>
    <row r="67" spans="1:26" ht="15.75" customHeight="1">
      <c r="A67" s="40"/>
      <c r="B67" s="40"/>
      <c r="C67" s="5">
        <v>227.35300000000001</v>
      </c>
      <c r="D67" s="6">
        <f t="shared" si="0"/>
        <v>0</v>
      </c>
      <c r="E67" s="7">
        <f t="shared" si="1"/>
        <v>78.353000000000009</v>
      </c>
      <c r="F67" s="8">
        <f t="shared" si="2"/>
        <v>78.353000000000009</v>
      </c>
      <c r="G67" s="40"/>
      <c r="H67" s="40"/>
      <c r="I67" s="40"/>
    </row>
    <row r="68" spans="1:26" ht="15.75" customHeight="1">
      <c r="A68" s="40"/>
      <c r="B68" s="40"/>
      <c r="C68" s="5">
        <v>149</v>
      </c>
      <c r="D68" s="6">
        <f t="shared" si="0"/>
        <v>0</v>
      </c>
      <c r="E68" s="7">
        <f t="shared" si="1"/>
        <v>59.647000000000006</v>
      </c>
      <c r="F68" s="8">
        <f t="shared" si="2"/>
        <v>59.647000000000006</v>
      </c>
      <c r="G68" s="40"/>
      <c r="H68" s="40"/>
      <c r="I68" s="40"/>
    </row>
    <row r="69" spans="1:26" ht="15.75" customHeight="1">
      <c r="A69" s="40"/>
      <c r="B69" s="40"/>
      <c r="C69" s="5">
        <v>89.352999999999994</v>
      </c>
      <c r="D69" s="6">
        <f t="shared" si="0"/>
        <v>0</v>
      </c>
      <c r="E69" s="7">
        <f t="shared" si="1"/>
        <v>41.352999999999994</v>
      </c>
      <c r="F69" s="8">
        <f t="shared" si="2"/>
        <v>41.352999999999994</v>
      </c>
      <c r="G69" s="40"/>
      <c r="H69" s="40"/>
      <c r="I69" s="40"/>
    </row>
    <row r="70" spans="1:26" ht="15.75" customHeight="1">
      <c r="A70" s="40"/>
      <c r="B70" s="40"/>
      <c r="C70" s="5">
        <v>48</v>
      </c>
      <c r="D70" s="6">
        <f t="shared" si="0"/>
        <v>0</v>
      </c>
      <c r="E70" s="7">
        <f t="shared" si="1"/>
        <v>27</v>
      </c>
      <c r="F70" s="8">
        <f t="shared" si="2"/>
        <v>27</v>
      </c>
      <c r="G70" s="40"/>
      <c r="H70" s="40"/>
      <c r="I70" s="40"/>
    </row>
    <row r="71" spans="1:26" ht="15.75" customHeight="1">
      <c r="A71" s="40"/>
      <c r="B71" s="40"/>
      <c r="C71" s="5">
        <v>21</v>
      </c>
      <c r="D71" s="6">
        <f t="shared" si="0"/>
        <v>0</v>
      </c>
      <c r="E71" s="7">
        <f t="shared" si="1"/>
        <v>14.647</v>
      </c>
      <c r="F71" s="8">
        <f t="shared" si="2"/>
        <v>14.647</v>
      </c>
      <c r="G71" s="40"/>
      <c r="H71" s="40"/>
      <c r="I71" s="40"/>
    </row>
    <row r="72" spans="1:26" ht="15.75" customHeight="1">
      <c r="A72" s="40"/>
      <c r="B72" s="40"/>
      <c r="C72" s="5">
        <v>6.3529999999999998</v>
      </c>
      <c r="D72" s="6">
        <f t="shared" si="0"/>
        <v>0</v>
      </c>
      <c r="E72" s="7">
        <f t="shared" si="1"/>
        <v>6.3529999999999998</v>
      </c>
      <c r="F72" s="8">
        <f t="shared" si="2"/>
        <v>6.3529999999999998</v>
      </c>
      <c r="G72" s="40"/>
      <c r="H72" s="40"/>
      <c r="I72" s="40"/>
    </row>
    <row r="73" spans="1:26" ht="15.75" customHeight="1">
      <c r="A73" s="40"/>
      <c r="B73" s="40"/>
      <c r="C73" s="5">
        <v>0</v>
      </c>
      <c r="D73" s="6">
        <f t="shared" si="0"/>
        <v>0</v>
      </c>
      <c r="E73" s="7">
        <f t="shared" si="1"/>
        <v>0</v>
      </c>
      <c r="F73" s="8">
        <f t="shared" si="2"/>
        <v>0</v>
      </c>
      <c r="G73" s="40"/>
      <c r="H73" s="40"/>
      <c r="I73" s="40"/>
    </row>
    <row r="74" spans="1:26" ht="15.75" customHeight="1">
      <c r="A74" s="40"/>
      <c r="B74" s="40"/>
      <c r="C74" s="5">
        <v>0</v>
      </c>
      <c r="D74" s="6">
        <f t="shared" si="0"/>
        <v>0</v>
      </c>
      <c r="E74" s="7">
        <f t="shared" si="1"/>
        <v>0</v>
      </c>
      <c r="F74" s="8">
        <f t="shared" si="2"/>
        <v>0</v>
      </c>
      <c r="G74" s="40"/>
      <c r="H74" s="40"/>
      <c r="I74" s="40"/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0</v>
      </c>
      <c r="C76" s="11"/>
      <c r="D76" s="16">
        <f>SUM(D2:D75)</f>
        <v>0</v>
      </c>
      <c r="E76" s="15">
        <f>SUM(E1:E74)</f>
        <v>17140</v>
      </c>
      <c r="F76" s="11"/>
      <c r="G76" s="17" t="e">
        <f t="shared" ref="G76:I76" si="3">AVERAGE(G1:G74)</f>
        <v>#DIV/0!</v>
      </c>
      <c r="H76" s="17" t="e">
        <f t="shared" si="3"/>
        <v>#DIV/0!</v>
      </c>
      <c r="I76" s="17" t="e">
        <f t="shared" si="3"/>
        <v>#DIV/0!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mergeCells count="2">
    <mergeCell ref="A2:B74"/>
    <mergeCell ref="G2:I74"/>
  </mergeCells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46115.791666666664</v>
      </c>
      <c r="B2" s="4">
        <v>0</v>
      </c>
      <c r="C2" s="5">
        <v>17965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30.37</v>
      </c>
      <c r="H2" s="5">
        <v>1.667</v>
      </c>
      <c r="I2" s="5">
        <v>37.020000000000003</v>
      </c>
    </row>
    <row r="3" spans="1:26" ht="15.75" customHeight="1">
      <c r="A3" s="3">
        <v>46115.784722222219</v>
      </c>
      <c r="B3" s="4">
        <v>0</v>
      </c>
      <c r="C3" s="5">
        <v>17965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5">
        <v>30.69</v>
      </c>
      <c r="H3" s="5">
        <v>1.222</v>
      </c>
      <c r="I3" s="5">
        <v>37.880000000000003</v>
      </c>
    </row>
    <row r="4" spans="1:26" ht="15.75" customHeight="1">
      <c r="A4" s="3">
        <v>46115.777777777781</v>
      </c>
      <c r="B4" s="5">
        <v>0</v>
      </c>
      <c r="C4" s="5">
        <v>17965</v>
      </c>
      <c r="D4" s="6">
        <f t="shared" si="0"/>
        <v>0</v>
      </c>
      <c r="E4" s="7">
        <f t="shared" si="1"/>
        <v>4</v>
      </c>
      <c r="F4" s="8">
        <f t="shared" si="2"/>
        <v>4</v>
      </c>
      <c r="G4" s="5">
        <v>31.31</v>
      </c>
      <c r="H4" s="5">
        <v>1.889</v>
      </c>
      <c r="I4" s="5">
        <v>39.89</v>
      </c>
    </row>
    <row r="5" spans="1:26" ht="15.75" customHeight="1">
      <c r="A5" s="3">
        <v>46115.770833333336</v>
      </c>
      <c r="B5" s="5">
        <v>9</v>
      </c>
      <c r="C5" s="5">
        <v>17961</v>
      </c>
      <c r="D5" s="6">
        <f t="shared" si="0"/>
        <v>4.062680531903359</v>
      </c>
      <c r="E5" s="7">
        <f t="shared" si="1"/>
        <v>9.6500000000014552</v>
      </c>
      <c r="F5" s="8">
        <f t="shared" si="2"/>
        <v>5.5873194680980962</v>
      </c>
      <c r="G5" s="5">
        <v>32.130000000000003</v>
      </c>
      <c r="H5" s="5">
        <v>1.556</v>
      </c>
      <c r="I5" s="5">
        <v>42.19</v>
      </c>
    </row>
    <row r="6" spans="1:26" ht="15.75" customHeight="1">
      <c r="A6" s="3">
        <v>46115.763888888891</v>
      </c>
      <c r="B6" s="5">
        <v>23</v>
      </c>
      <c r="C6" s="5">
        <v>17951.349999999999</v>
      </c>
      <c r="D6" s="6">
        <f t="shared" si="0"/>
        <v>10.304689795273454</v>
      </c>
      <c r="E6" s="7">
        <f t="shared" si="1"/>
        <v>18</v>
      </c>
      <c r="F6" s="8">
        <f t="shared" si="2"/>
        <v>7.695310204726546</v>
      </c>
      <c r="G6" s="5">
        <v>32.880000000000003</v>
      </c>
      <c r="H6" s="5">
        <v>1.333</v>
      </c>
      <c r="I6" s="5">
        <v>44.2</v>
      </c>
    </row>
    <row r="7" spans="1:26" ht="15.75" customHeight="1">
      <c r="A7" s="3">
        <v>46115.756944444445</v>
      </c>
      <c r="B7" s="5">
        <v>38</v>
      </c>
      <c r="C7" s="5">
        <v>17933.349999999999</v>
      </c>
      <c r="D7" s="6">
        <f t="shared" si="0"/>
        <v>16.878852682351148</v>
      </c>
      <c r="E7" s="7">
        <f t="shared" si="1"/>
        <v>30.349999999998545</v>
      </c>
      <c r="F7" s="8">
        <f t="shared" si="2"/>
        <v>13.471147317647397</v>
      </c>
      <c r="G7" s="5">
        <v>33.5</v>
      </c>
      <c r="H7" s="5">
        <v>1.222</v>
      </c>
      <c r="I7" s="5">
        <v>46.49</v>
      </c>
    </row>
    <row r="8" spans="1:26" ht="15.75" customHeight="1">
      <c r="A8" s="3">
        <v>46115.75</v>
      </c>
      <c r="B8" s="5">
        <v>54</v>
      </c>
      <c r="C8" s="5">
        <v>17903</v>
      </c>
      <c r="D8" s="6">
        <f t="shared" si="0"/>
        <v>23.881343384032323</v>
      </c>
      <c r="E8" s="7">
        <f t="shared" si="1"/>
        <v>46.650000000001455</v>
      </c>
      <c r="F8" s="8">
        <f t="shared" si="2"/>
        <v>22.768656615969132</v>
      </c>
      <c r="G8" s="5">
        <v>34.06</v>
      </c>
      <c r="H8" s="5">
        <v>2.3330000000000002</v>
      </c>
      <c r="I8" s="5">
        <v>47.64</v>
      </c>
    </row>
    <row r="9" spans="1:26" ht="15.75" customHeight="1">
      <c r="A9" s="3">
        <v>46115.743055555555</v>
      </c>
      <c r="B9" s="5">
        <v>130</v>
      </c>
      <c r="C9" s="5">
        <v>17856.349999999999</v>
      </c>
      <c r="D9" s="6">
        <f t="shared" si="0"/>
        <v>57.428746506450508</v>
      </c>
      <c r="E9" s="7">
        <f t="shared" si="1"/>
        <v>63.349999999998545</v>
      </c>
      <c r="F9" s="8">
        <f t="shared" si="2"/>
        <v>5.9212534935480363</v>
      </c>
      <c r="G9" s="5">
        <v>34.56</v>
      </c>
      <c r="H9" s="5">
        <v>1.556</v>
      </c>
      <c r="I9" s="5">
        <v>47.93</v>
      </c>
    </row>
    <row r="10" spans="1:26" ht="15.75" customHeight="1">
      <c r="A10" s="3">
        <v>46115.736111111109</v>
      </c>
      <c r="B10" s="5">
        <v>180</v>
      </c>
      <c r="C10" s="5">
        <v>17793</v>
      </c>
      <c r="D10" s="6">
        <f t="shared" si="0"/>
        <v>79.428973917242359</v>
      </c>
      <c r="E10" s="7">
        <f t="shared" si="1"/>
        <v>83</v>
      </c>
      <c r="F10" s="8">
        <f t="shared" si="2"/>
        <v>3.5710260827576406</v>
      </c>
      <c r="G10" s="5">
        <v>34.81</v>
      </c>
      <c r="H10" s="5">
        <v>1.111</v>
      </c>
      <c r="I10" s="5">
        <v>48.22</v>
      </c>
    </row>
    <row r="11" spans="1:26" ht="15.75" customHeight="1">
      <c r="A11" s="3">
        <v>46115.729166666664</v>
      </c>
      <c r="B11" s="5">
        <v>226</v>
      </c>
      <c r="C11" s="5">
        <v>17710</v>
      </c>
      <c r="D11" s="6">
        <f t="shared" si="0"/>
        <v>99.727489473870961</v>
      </c>
      <c r="E11" s="7">
        <f t="shared" si="1"/>
        <v>103</v>
      </c>
      <c r="F11" s="8">
        <f t="shared" si="2"/>
        <v>3.2725105261290395</v>
      </c>
      <c r="G11" s="5">
        <v>35.19</v>
      </c>
      <c r="H11" s="5">
        <v>0.44400000000000001</v>
      </c>
      <c r="I11" s="5">
        <v>48.22</v>
      </c>
    </row>
    <row r="12" spans="1:26" ht="15.75" customHeight="1">
      <c r="A12" s="3">
        <v>46115.722222222219</v>
      </c>
      <c r="B12" s="5">
        <v>270</v>
      </c>
      <c r="C12" s="5">
        <v>17607</v>
      </c>
      <c r="D12" s="6">
        <f t="shared" si="0"/>
        <v>119.14346087586352</v>
      </c>
      <c r="E12" s="7">
        <f t="shared" si="1"/>
        <v>124</v>
      </c>
      <c r="F12" s="8">
        <f t="shared" si="2"/>
        <v>4.856539124136475</v>
      </c>
      <c r="G12" s="5">
        <v>35.5</v>
      </c>
      <c r="H12" s="5">
        <v>1.667</v>
      </c>
      <c r="I12" s="5">
        <v>48.22</v>
      </c>
    </row>
    <row r="13" spans="1:26" ht="15.75" customHeight="1">
      <c r="A13" s="3">
        <v>46115.715277777781</v>
      </c>
      <c r="B13" s="5">
        <v>317</v>
      </c>
      <c r="C13" s="5">
        <v>17483</v>
      </c>
      <c r="D13" s="6">
        <f t="shared" si="0"/>
        <v>139.73403646324627</v>
      </c>
      <c r="E13" s="7">
        <f t="shared" si="1"/>
        <v>144</v>
      </c>
      <c r="F13" s="8">
        <f t="shared" si="2"/>
        <v>4.2659635367537305</v>
      </c>
      <c r="G13" s="5">
        <v>35.25</v>
      </c>
      <c r="H13" s="5">
        <v>1.778</v>
      </c>
      <c r="I13" s="5">
        <v>48.5</v>
      </c>
    </row>
    <row r="14" spans="1:26" ht="15.75" customHeight="1">
      <c r="A14" s="3">
        <v>46115.708333333336</v>
      </c>
      <c r="B14" s="5">
        <v>361</v>
      </c>
      <c r="C14" s="5">
        <v>17339</v>
      </c>
      <c r="D14" s="6">
        <f t="shared" si="0"/>
        <v>159.12929704489559</v>
      </c>
      <c r="E14" s="7">
        <f t="shared" si="1"/>
        <v>164</v>
      </c>
      <c r="F14" s="8">
        <f t="shared" si="2"/>
        <v>4.8707029551044059</v>
      </c>
      <c r="G14" s="5">
        <v>35.380000000000003</v>
      </c>
      <c r="H14" s="5">
        <v>0.55600000000000005</v>
      </c>
      <c r="I14" s="5">
        <v>48.5</v>
      </c>
    </row>
    <row r="15" spans="1:26" ht="15.75" customHeight="1">
      <c r="A15" s="3">
        <v>46115.701388888891</v>
      </c>
      <c r="B15" s="5">
        <v>403</v>
      </c>
      <c r="C15" s="5">
        <v>17175</v>
      </c>
      <c r="D15" s="6">
        <f t="shared" si="0"/>
        <v>177.6429548728336</v>
      </c>
      <c r="E15" s="7">
        <f t="shared" si="1"/>
        <v>183</v>
      </c>
      <c r="F15" s="8">
        <f t="shared" si="2"/>
        <v>5.3570451271664012</v>
      </c>
      <c r="G15" s="5">
        <v>35.619999999999997</v>
      </c>
      <c r="H15" s="5">
        <v>0.88900000000000001</v>
      </c>
      <c r="I15" s="5">
        <v>48.5</v>
      </c>
    </row>
    <row r="16" spans="1:26" ht="15.75" customHeight="1">
      <c r="A16" s="3">
        <v>46115.694444444445</v>
      </c>
      <c r="B16" s="5">
        <v>446</v>
      </c>
      <c r="C16" s="5">
        <v>16992</v>
      </c>
      <c r="D16" s="6">
        <f t="shared" si="0"/>
        <v>196.16255409334224</v>
      </c>
      <c r="E16" s="7">
        <f t="shared" si="1"/>
        <v>204</v>
      </c>
      <c r="F16" s="8">
        <f t="shared" si="2"/>
        <v>7.8374459066577629</v>
      </c>
      <c r="G16" s="5">
        <v>36.25</v>
      </c>
      <c r="H16" s="5">
        <v>0.88900000000000001</v>
      </c>
      <c r="I16" s="5">
        <v>49.08</v>
      </c>
    </row>
    <row r="17" spans="1:9" ht="15.75" customHeight="1">
      <c r="A17" s="3">
        <v>46115.6875</v>
      </c>
      <c r="B17" s="5">
        <v>492</v>
      </c>
      <c r="C17" s="5">
        <v>16788</v>
      </c>
      <c r="D17" s="6">
        <f t="shared" si="0"/>
        <v>216.39456639893356</v>
      </c>
      <c r="E17" s="7">
        <f t="shared" si="1"/>
        <v>225</v>
      </c>
      <c r="F17" s="8">
        <f t="shared" si="2"/>
        <v>8.6054336010664372</v>
      </c>
      <c r="G17" s="5">
        <v>35.880000000000003</v>
      </c>
      <c r="H17" s="5">
        <v>0.44400000000000001</v>
      </c>
      <c r="I17" s="5">
        <v>49.08</v>
      </c>
    </row>
    <row r="18" spans="1:9" ht="15.75" customHeight="1">
      <c r="A18" s="3">
        <v>46115.680555555555</v>
      </c>
      <c r="B18" s="5">
        <v>533</v>
      </c>
      <c r="C18" s="5">
        <v>16563</v>
      </c>
      <c r="D18" s="6">
        <f t="shared" si="0"/>
        <v>234.68729039812419</v>
      </c>
      <c r="E18" s="7">
        <f t="shared" si="1"/>
        <v>240.64999999999964</v>
      </c>
      <c r="F18" s="8">
        <f t="shared" si="2"/>
        <v>5.9627096018754457</v>
      </c>
      <c r="G18" s="5">
        <v>35.619999999999997</v>
      </c>
      <c r="H18" s="5">
        <v>0.88900000000000001</v>
      </c>
      <c r="I18" s="5">
        <v>48.79</v>
      </c>
    </row>
    <row r="19" spans="1:9" ht="15.75" customHeight="1">
      <c r="A19" s="3">
        <v>46115.673611111109</v>
      </c>
      <c r="B19" s="5">
        <v>579</v>
      </c>
      <c r="C19" s="5">
        <v>16322.35</v>
      </c>
      <c r="D19" s="6">
        <f t="shared" si="0"/>
        <v>254.65945923776937</v>
      </c>
      <c r="E19" s="7">
        <f t="shared" si="1"/>
        <v>259</v>
      </c>
      <c r="F19" s="8">
        <f t="shared" si="2"/>
        <v>4.3405407622306313</v>
      </c>
      <c r="G19" s="5">
        <v>36.75</v>
      </c>
      <c r="H19" s="5">
        <v>0.44400000000000001</v>
      </c>
      <c r="I19" s="5">
        <v>49.08</v>
      </c>
    </row>
    <row r="20" spans="1:9" ht="15.75" customHeight="1">
      <c r="A20" s="3">
        <v>46115.666666666664</v>
      </c>
      <c r="B20" s="5">
        <v>620</v>
      </c>
      <c r="C20" s="5">
        <v>16063.35</v>
      </c>
      <c r="D20" s="6">
        <f t="shared" si="0"/>
        <v>272.69233977101391</v>
      </c>
      <c r="E20" s="7">
        <f t="shared" si="1"/>
        <v>274.35000000000036</v>
      </c>
      <c r="F20" s="8">
        <f t="shared" si="2"/>
        <v>1.6576602289864582</v>
      </c>
      <c r="G20" s="5">
        <v>36.19</v>
      </c>
      <c r="H20" s="5">
        <v>0.66700000000000004</v>
      </c>
      <c r="I20" s="5">
        <v>49.08</v>
      </c>
    </row>
    <row r="21" spans="1:9" ht="15.75" customHeight="1">
      <c r="A21" s="3">
        <v>46115.659722222219</v>
      </c>
      <c r="B21" s="5">
        <v>657</v>
      </c>
      <c r="C21" s="5">
        <v>15789</v>
      </c>
      <c r="D21" s="6">
        <f t="shared" si="0"/>
        <v>288.65666468261912</v>
      </c>
      <c r="E21" s="7">
        <f t="shared" si="1"/>
        <v>291.64999999999964</v>
      </c>
      <c r="F21" s="8">
        <f t="shared" si="2"/>
        <v>2.9933353173805131</v>
      </c>
      <c r="G21" s="5">
        <v>36.31</v>
      </c>
      <c r="H21" s="5">
        <v>0.55600000000000005</v>
      </c>
      <c r="I21" s="5">
        <v>49.36</v>
      </c>
    </row>
    <row r="22" spans="1:9" ht="15.75" customHeight="1">
      <c r="A22" s="3">
        <v>46115.652777777781</v>
      </c>
      <c r="B22" s="5">
        <v>699</v>
      </c>
      <c r="C22" s="5">
        <v>15497.35</v>
      </c>
      <c r="D22" s="6">
        <f t="shared" si="0"/>
        <v>307.10960215091438</v>
      </c>
      <c r="E22" s="7">
        <f t="shared" si="1"/>
        <v>305.35000000000036</v>
      </c>
      <c r="F22" s="8">
        <f t="shared" si="2"/>
        <v>-1.7596021509140201</v>
      </c>
      <c r="G22" s="5">
        <v>36.19</v>
      </c>
      <c r="H22" s="5">
        <v>1.778</v>
      </c>
      <c r="I22" s="5">
        <v>49.36</v>
      </c>
    </row>
    <row r="23" spans="1:9" ht="15.75" customHeight="1">
      <c r="A23" s="3">
        <v>46115.645833333336</v>
      </c>
      <c r="B23" s="5">
        <v>725</v>
      </c>
      <c r="C23" s="5">
        <v>15192</v>
      </c>
      <c r="D23" s="6">
        <f t="shared" si="0"/>
        <v>317.82595792503747</v>
      </c>
      <c r="E23" s="7">
        <f t="shared" si="1"/>
        <v>316.64999999999964</v>
      </c>
      <c r="F23" s="8">
        <f t="shared" si="2"/>
        <v>-1.1759579250378351</v>
      </c>
      <c r="G23" s="5">
        <v>37.75</v>
      </c>
      <c r="H23" s="5">
        <v>0.44400000000000001</v>
      </c>
      <c r="I23" s="5">
        <v>49.94</v>
      </c>
    </row>
    <row r="24" spans="1:9" ht="15.75" customHeight="1">
      <c r="A24" s="3">
        <v>46115.638888888891</v>
      </c>
      <c r="B24" s="5">
        <v>753</v>
      </c>
      <c r="C24" s="5">
        <v>14875.35</v>
      </c>
      <c r="D24" s="6">
        <f t="shared" si="0"/>
        <v>330.46771153885618</v>
      </c>
      <c r="E24" s="7">
        <f t="shared" si="1"/>
        <v>328.35000000000036</v>
      </c>
      <c r="F24" s="8">
        <f t="shared" si="2"/>
        <v>-2.117711538855815</v>
      </c>
      <c r="G24" s="5">
        <v>36.75</v>
      </c>
      <c r="H24" s="5">
        <v>0.44400000000000001</v>
      </c>
      <c r="I24" s="5">
        <v>49.65</v>
      </c>
    </row>
    <row r="25" spans="1:9" ht="15.75" customHeight="1">
      <c r="A25" s="3">
        <v>46115.631944444445</v>
      </c>
      <c r="B25" s="5">
        <v>786</v>
      </c>
      <c r="C25" s="5">
        <v>14547</v>
      </c>
      <c r="D25" s="6">
        <f t="shared" si="0"/>
        <v>345.33354404952615</v>
      </c>
      <c r="E25" s="7">
        <f t="shared" si="1"/>
        <v>343.64999999999964</v>
      </c>
      <c r="F25" s="8">
        <f t="shared" si="2"/>
        <v>-1.6835440495265175</v>
      </c>
      <c r="G25" s="5">
        <v>36.19</v>
      </c>
      <c r="H25" s="5">
        <v>2.444</v>
      </c>
      <c r="I25" s="5">
        <v>49.36</v>
      </c>
    </row>
    <row r="26" spans="1:9" ht="15.75" customHeight="1">
      <c r="A26" s="3">
        <v>46115.625</v>
      </c>
      <c r="B26" s="5">
        <v>832</v>
      </c>
      <c r="C26" s="5">
        <v>14203.35</v>
      </c>
      <c r="D26" s="6">
        <f t="shared" si="0"/>
        <v>365.93552691852187</v>
      </c>
      <c r="E26" s="7">
        <f t="shared" si="1"/>
        <v>356</v>
      </c>
      <c r="F26" s="8">
        <f t="shared" si="2"/>
        <v>-9.9355269185218731</v>
      </c>
      <c r="G26" s="5">
        <v>35.69</v>
      </c>
      <c r="H26" s="5">
        <v>1.222</v>
      </c>
      <c r="I26" s="5">
        <v>49.08</v>
      </c>
    </row>
    <row r="27" spans="1:9" ht="15.75" customHeight="1">
      <c r="A27" s="3">
        <v>46115.618055555555</v>
      </c>
      <c r="B27" s="5">
        <v>857</v>
      </c>
      <c r="C27" s="5">
        <v>13847.35</v>
      </c>
      <c r="D27" s="6">
        <f t="shared" si="0"/>
        <v>376.52779548402526</v>
      </c>
      <c r="E27" s="7">
        <f t="shared" si="1"/>
        <v>366.35000000000036</v>
      </c>
      <c r="F27" s="8">
        <f t="shared" si="2"/>
        <v>-10.177795484024898</v>
      </c>
      <c r="G27" s="5">
        <v>35.5</v>
      </c>
      <c r="H27" s="5">
        <v>3.222</v>
      </c>
      <c r="I27" s="5">
        <v>49.36</v>
      </c>
    </row>
    <row r="28" spans="1:9" ht="15.75" customHeight="1">
      <c r="A28" s="3">
        <v>46115.611111111109</v>
      </c>
      <c r="B28" s="5">
        <v>880</v>
      </c>
      <c r="C28" s="5">
        <v>13481</v>
      </c>
      <c r="D28" s="6">
        <f t="shared" si="0"/>
        <v>387.04719193305192</v>
      </c>
      <c r="E28" s="7">
        <f t="shared" si="1"/>
        <v>375.64999999999964</v>
      </c>
      <c r="F28" s="8">
        <f t="shared" si="2"/>
        <v>-11.397191933052284</v>
      </c>
      <c r="G28" s="5">
        <v>35.380000000000003</v>
      </c>
      <c r="H28" s="5">
        <v>1.778</v>
      </c>
      <c r="I28" s="5">
        <v>49.08</v>
      </c>
    </row>
    <row r="29" spans="1:9" ht="15.75" customHeight="1">
      <c r="A29" s="3">
        <v>46115.604166666664</v>
      </c>
      <c r="B29" s="5">
        <v>899</v>
      </c>
      <c r="C29" s="5">
        <v>13105.35</v>
      </c>
      <c r="D29" s="6">
        <f t="shared" si="0"/>
        <v>395.40389266797013</v>
      </c>
      <c r="E29" s="7">
        <f t="shared" si="1"/>
        <v>384.35000000000036</v>
      </c>
      <c r="F29" s="8">
        <f t="shared" si="2"/>
        <v>-11.053892667969762</v>
      </c>
      <c r="G29" s="5">
        <v>35.75</v>
      </c>
      <c r="H29" s="5">
        <v>0.66700000000000004</v>
      </c>
      <c r="I29" s="5">
        <v>49.08</v>
      </c>
    </row>
    <row r="30" spans="1:9" ht="15.75" customHeight="1">
      <c r="A30" s="3">
        <v>46115.597222222219</v>
      </c>
      <c r="B30" s="5">
        <v>922</v>
      </c>
      <c r="C30" s="5">
        <v>12721</v>
      </c>
      <c r="D30" s="6">
        <f t="shared" si="0"/>
        <v>405.08591299448233</v>
      </c>
      <c r="E30" s="7">
        <f t="shared" si="1"/>
        <v>391</v>
      </c>
      <c r="F30" s="8">
        <f t="shared" si="2"/>
        <v>-14.085912994482328</v>
      </c>
      <c r="G30" s="5">
        <v>35.19</v>
      </c>
      <c r="H30" s="5">
        <v>2.3330000000000002</v>
      </c>
      <c r="I30" s="5">
        <v>49.36</v>
      </c>
    </row>
    <row r="31" spans="1:9" ht="15.75" customHeight="1">
      <c r="A31" s="3">
        <v>46115.590277777781</v>
      </c>
      <c r="B31" s="5">
        <v>938</v>
      </c>
      <c r="C31" s="5">
        <v>12330</v>
      </c>
      <c r="D31" s="6">
        <f t="shared" si="0"/>
        <v>413.47169149061511</v>
      </c>
      <c r="E31" s="7">
        <f t="shared" si="1"/>
        <v>394.64999999999964</v>
      </c>
      <c r="F31" s="8">
        <f t="shared" si="2"/>
        <v>-18.821691490615478</v>
      </c>
      <c r="G31" s="5">
        <v>34.81</v>
      </c>
      <c r="H31" s="5">
        <v>2.6669999999999998</v>
      </c>
      <c r="I31" s="5">
        <v>48.5</v>
      </c>
    </row>
    <row r="32" spans="1:9" ht="15.75" customHeight="1">
      <c r="A32" s="3">
        <v>46115.583333333336</v>
      </c>
      <c r="B32" s="5">
        <v>956</v>
      </c>
      <c r="C32" s="5">
        <v>11935.35</v>
      </c>
      <c r="D32" s="6">
        <f t="shared" si="0"/>
        <v>421.40611627401722</v>
      </c>
      <c r="E32" s="7">
        <f t="shared" si="1"/>
        <v>402.35000000000036</v>
      </c>
      <c r="F32" s="8">
        <f t="shared" si="2"/>
        <v>-19.056116274016858</v>
      </c>
      <c r="G32" s="5">
        <v>34.56</v>
      </c>
      <c r="H32" s="5">
        <v>1.222</v>
      </c>
      <c r="I32" s="5">
        <v>48.5</v>
      </c>
    </row>
    <row r="33" spans="1:9" ht="15.75" customHeight="1">
      <c r="A33" s="3">
        <v>46115.576388888891</v>
      </c>
      <c r="B33" s="5">
        <v>975</v>
      </c>
      <c r="C33" s="5">
        <v>11533</v>
      </c>
      <c r="D33" s="6">
        <f t="shared" si="0"/>
        <v>429.30601902095873</v>
      </c>
      <c r="E33" s="7">
        <f t="shared" si="1"/>
        <v>408.64999999999964</v>
      </c>
      <c r="F33" s="8">
        <f t="shared" si="2"/>
        <v>-20.656019020959093</v>
      </c>
      <c r="G33" s="5">
        <v>34.69</v>
      </c>
      <c r="H33" s="5">
        <v>2.222</v>
      </c>
      <c r="I33" s="5">
        <v>48.79</v>
      </c>
    </row>
    <row r="34" spans="1:9" ht="15.75" customHeight="1">
      <c r="A34" s="3">
        <v>46115.569444444445</v>
      </c>
      <c r="B34" s="5">
        <v>978</v>
      </c>
      <c r="C34" s="5">
        <v>11124.35</v>
      </c>
      <c r="D34" s="6">
        <f t="shared" si="0"/>
        <v>431.1037465648418</v>
      </c>
      <c r="E34" s="7">
        <f t="shared" si="1"/>
        <v>410.35000000000036</v>
      </c>
      <c r="F34" s="8">
        <f t="shared" si="2"/>
        <v>-20.753746564841435</v>
      </c>
      <c r="G34" s="5">
        <v>34.69</v>
      </c>
      <c r="H34" s="5">
        <v>2.222</v>
      </c>
      <c r="I34" s="5">
        <v>48.5</v>
      </c>
    </row>
    <row r="35" spans="1:9" ht="15.75" customHeight="1">
      <c r="A35" s="3">
        <v>46115.5625</v>
      </c>
      <c r="B35" s="5">
        <v>999</v>
      </c>
      <c r="C35" s="5">
        <v>10714</v>
      </c>
      <c r="D35" s="6">
        <f t="shared" si="0"/>
        <v>440.36057547881086</v>
      </c>
      <c r="E35" s="7">
        <f t="shared" si="1"/>
        <v>414</v>
      </c>
      <c r="F35" s="8">
        <f t="shared" si="2"/>
        <v>-26.360575478810858</v>
      </c>
      <c r="G35" s="5">
        <v>34.75</v>
      </c>
      <c r="H35" s="5">
        <v>1.889</v>
      </c>
      <c r="I35" s="5">
        <v>48.5</v>
      </c>
    </row>
    <row r="36" spans="1:9" ht="15.75" customHeight="1">
      <c r="A36" s="3">
        <v>46115.555555555555</v>
      </c>
      <c r="B36" s="5">
        <v>1000</v>
      </c>
      <c r="C36" s="5">
        <v>10300</v>
      </c>
      <c r="D36" s="6">
        <f t="shared" si="0"/>
        <v>439.82635446937729</v>
      </c>
      <c r="E36" s="7">
        <f t="shared" si="1"/>
        <v>413.64700000000084</v>
      </c>
      <c r="F36" s="8">
        <f t="shared" si="2"/>
        <v>-26.179354469376449</v>
      </c>
      <c r="G36" s="5">
        <v>34.75</v>
      </c>
      <c r="H36" s="5">
        <v>1.556</v>
      </c>
      <c r="I36" s="5">
        <v>49.08</v>
      </c>
    </row>
    <row r="37" spans="1:9" ht="15.75" customHeight="1">
      <c r="A37" s="3">
        <v>46115.548611111109</v>
      </c>
      <c r="B37" s="5">
        <v>1007</v>
      </c>
      <c r="C37" s="5">
        <v>9886.3529999999992</v>
      </c>
      <c r="D37" s="6">
        <f t="shared" si="0"/>
        <v>442.43114358507978</v>
      </c>
      <c r="E37" s="7">
        <f t="shared" si="1"/>
        <v>416.35299999999916</v>
      </c>
      <c r="F37" s="8">
        <f t="shared" si="2"/>
        <v>-26.078143585080625</v>
      </c>
      <c r="G37" s="5">
        <v>35</v>
      </c>
      <c r="H37" s="5">
        <v>1.889</v>
      </c>
      <c r="I37" s="5">
        <v>49.36</v>
      </c>
    </row>
    <row r="38" spans="1:9" ht="15.75" customHeight="1">
      <c r="A38" s="3">
        <v>46115.541666666664</v>
      </c>
      <c r="B38" s="5">
        <v>994</v>
      </c>
      <c r="C38" s="5">
        <v>9470</v>
      </c>
      <c r="D38" s="6">
        <f t="shared" si="0"/>
        <v>436.23493395700262</v>
      </c>
      <c r="E38" s="7">
        <f t="shared" si="1"/>
        <v>415</v>
      </c>
      <c r="F38" s="8">
        <f t="shared" si="2"/>
        <v>-21.234933957002625</v>
      </c>
      <c r="G38" s="5">
        <v>34.619999999999997</v>
      </c>
      <c r="H38" s="5">
        <v>2.778</v>
      </c>
      <c r="I38" s="5">
        <v>49.65</v>
      </c>
    </row>
    <row r="39" spans="1:9" ht="15.75" customHeight="1">
      <c r="A39" s="3">
        <v>46115.534722222219</v>
      </c>
      <c r="B39" s="5">
        <v>1001</v>
      </c>
      <c r="C39" s="5">
        <v>9055</v>
      </c>
      <c r="D39" s="6">
        <f t="shared" si="0"/>
        <v>439.79500966103762</v>
      </c>
      <c r="E39" s="7">
        <f t="shared" si="1"/>
        <v>420</v>
      </c>
      <c r="F39" s="8">
        <f t="shared" si="2"/>
        <v>-19.795009661037625</v>
      </c>
      <c r="G39" s="5">
        <v>33.81</v>
      </c>
      <c r="H39" s="5">
        <v>1.333</v>
      </c>
      <c r="I39" s="5">
        <v>49.36</v>
      </c>
    </row>
    <row r="40" spans="1:9" ht="15.75" customHeight="1">
      <c r="A40" s="3">
        <v>46115.527777777781</v>
      </c>
      <c r="B40" s="5">
        <v>1014</v>
      </c>
      <c r="C40" s="5">
        <v>8635</v>
      </c>
      <c r="D40" s="6">
        <f t="shared" si="0"/>
        <v>445.98392343194848</v>
      </c>
      <c r="E40" s="7">
        <f t="shared" si="1"/>
        <v>419</v>
      </c>
      <c r="F40" s="8">
        <f t="shared" si="2"/>
        <v>-26.983923431948483</v>
      </c>
      <c r="G40" s="5">
        <v>33.880000000000003</v>
      </c>
      <c r="H40" s="5">
        <v>3</v>
      </c>
      <c r="I40" s="5">
        <v>49.08</v>
      </c>
    </row>
    <row r="41" spans="1:9" ht="15.75" customHeight="1">
      <c r="A41" s="3">
        <v>46115.520833333336</v>
      </c>
      <c r="B41" s="5">
        <v>1010</v>
      </c>
      <c r="C41" s="5">
        <v>8216</v>
      </c>
      <c r="D41" s="6">
        <f t="shared" si="0"/>
        <v>445.20939062422315</v>
      </c>
      <c r="E41" s="7">
        <f t="shared" si="1"/>
        <v>419.64699999999993</v>
      </c>
      <c r="F41" s="8">
        <f t="shared" si="2"/>
        <v>-25.562390624223212</v>
      </c>
      <c r="G41" s="5">
        <v>33.75</v>
      </c>
      <c r="H41" s="5">
        <v>2.1110000000000002</v>
      </c>
      <c r="I41" s="5">
        <v>48.5</v>
      </c>
    </row>
    <row r="42" spans="1:9" ht="15.75" customHeight="1">
      <c r="A42" s="3">
        <v>46115.513888888891</v>
      </c>
      <c r="B42" s="5">
        <v>1005</v>
      </c>
      <c r="C42" s="5">
        <v>7796.3530000000001</v>
      </c>
      <c r="D42" s="6">
        <f t="shared" si="0"/>
        <v>442.51543499083448</v>
      </c>
      <c r="E42" s="7">
        <f t="shared" si="1"/>
        <v>416</v>
      </c>
      <c r="F42" s="8">
        <f t="shared" si="2"/>
        <v>-26.515434990834478</v>
      </c>
      <c r="G42" s="5">
        <v>33.75</v>
      </c>
      <c r="H42" s="5">
        <v>3.3330000000000002</v>
      </c>
      <c r="I42" s="5">
        <v>48.79</v>
      </c>
    </row>
    <row r="43" spans="1:9" ht="15.75" customHeight="1">
      <c r="A43" s="3">
        <v>46115.506944444445</v>
      </c>
      <c r="B43" s="5">
        <v>993</v>
      </c>
      <c r="C43" s="5">
        <v>7380.3530000000001</v>
      </c>
      <c r="D43" s="6">
        <f t="shared" si="0"/>
        <v>437.23166860288416</v>
      </c>
      <c r="E43" s="7">
        <f t="shared" si="1"/>
        <v>414</v>
      </c>
      <c r="F43" s="8">
        <f t="shared" si="2"/>
        <v>-23.231668602884156</v>
      </c>
      <c r="G43" s="5">
        <v>33.31</v>
      </c>
      <c r="H43" s="5">
        <v>1.222</v>
      </c>
      <c r="I43" s="5">
        <v>48.79</v>
      </c>
    </row>
    <row r="44" spans="1:9" ht="15.75" customHeight="1">
      <c r="A44" s="3">
        <v>46115.5</v>
      </c>
      <c r="B44" s="5">
        <v>990</v>
      </c>
      <c r="C44" s="5">
        <v>6966.3530000000001</v>
      </c>
      <c r="D44" s="6">
        <f t="shared" si="0"/>
        <v>436.39336308710983</v>
      </c>
      <c r="E44" s="7">
        <f t="shared" si="1"/>
        <v>410.35300000000007</v>
      </c>
      <c r="F44" s="8">
        <f t="shared" si="2"/>
        <v>-26.040363087109768</v>
      </c>
      <c r="G44" s="5">
        <v>33.130000000000003</v>
      </c>
      <c r="H44" s="5">
        <v>0.55600000000000005</v>
      </c>
      <c r="I44" s="5">
        <v>48.5</v>
      </c>
    </row>
    <row r="45" spans="1:9" ht="15.75" customHeight="1">
      <c r="A45" s="3">
        <v>46115.493055555555</v>
      </c>
      <c r="B45" s="5">
        <v>967</v>
      </c>
      <c r="C45" s="5">
        <v>6556</v>
      </c>
      <c r="D45" s="6">
        <f t="shared" si="0"/>
        <v>425.78350809565865</v>
      </c>
      <c r="E45" s="7">
        <f t="shared" si="1"/>
        <v>403.64699999999993</v>
      </c>
      <c r="F45" s="8">
        <f t="shared" si="2"/>
        <v>-22.136508095658712</v>
      </c>
      <c r="G45" s="5">
        <v>32.94</v>
      </c>
      <c r="H45" s="5">
        <v>1.111</v>
      </c>
      <c r="I45" s="5">
        <v>48.79</v>
      </c>
    </row>
    <row r="46" spans="1:9" ht="15.75" customHeight="1">
      <c r="A46" s="3">
        <v>46115.486111111109</v>
      </c>
      <c r="B46" s="5">
        <v>958</v>
      </c>
      <c r="C46" s="5">
        <v>6152.3530000000001</v>
      </c>
      <c r="D46" s="6">
        <f t="shared" si="0"/>
        <v>421.35364758166338</v>
      </c>
      <c r="E46" s="7">
        <f t="shared" si="1"/>
        <v>397.35300000000007</v>
      </c>
      <c r="F46" s="8">
        <f t="shared" si="2"/>
        <v>-24.000647581663316</v>
      </c>
      <c r="G46" s="5">
        <v>32.44</v>
      </c>
      <c r="H46" s="5">
        <v>1.111</v>
      </c>
      <c r="I46" s="5">
        <v>49.08</v>
      </c>
    </row>
    <row r="47" spans="1:9" ht="15.75" customHeight="1">
      <c r="A47" s="3">
        <v>46115.479166666664</v>
      </c>
      <c r="B47" s="5">
        <v>937</v>
      </c>
      <c r="C47" s="5">
        <v>5755</v>
      </c>
      <c r="D47" s="6">
        <f t="shared" si="0"/>
        <v>412.57409212578301</v>
      </c>
      <c r="E47" s="7">
        <f t="shared" si="1"/>
        <v>394.64699999999993</v>
      </c>
      <c r="F47" s="8">
        <f t="shared" si="2"/>
        <v>-17.927092125783076</v>
      </c>
      <c r="G47" s="5">
        <v>32</v>
      </c>
      <c r="H47" s="5">
        <v>0.44400000000000001</v>
      </c>
      <c r="I47" s="5">
        <v>48.79</v>
      </c>
    </row>
    <row r="48" spans="1:9" ht="15.75" customHeight="1">
      <c r="A48" s="3">
        <v>46115.472222222219</v>
      </c>
      <c r="B48" s="5">
        <v>921</v>
      </c>
      <c r="C48" s="5">
        <v>5360.3530000000001</v>
      </c>
      <c r="D48" s="6">
        <f t="shared" si="0"/>
        <v>404.64655734047528</v>
      </c>
      <c r="E48" s="7">
        <f t="shared" si="1"/>
        <v>383.35300000000007</v>
      </c>
      <c r="F48" s="8">
        <f t="shared" si="2"/>
        <v>-21.293557340475218</v>
      </c>
      <c r="G48" s="5">
        <v>31.81</v>
      </c>
      <c r="H48" s="5">
        <v>0.88900000000000001</v>
      </c>
      <c r="I48" s="5">
        <v>49.36</v>
      </c>
    </row>
    <row r="49" spans="1:9" ht="15.75" customHeight="1">
      <c r="A49" s="3">
        <v>46115.465277777781</v>
      </c>
      <c r="B49" s="5">
        <v>899</v>
      </c>
      <c r="C49" s="5">
        <v>4977</v>
      </c>
      <c r="D49" s="6">
        <f t="shared" si="0"/>
        <v>395.40389266797013</v>
      </c>
      <c r="E49" s="7">
        <f t="shared" si="1"/>
        <v>379</v>
      </c>
      <c r="F49" s="8">
        <f t="shared" si="2"/>
        <v>-16.403892667970126</v>
      </c>
      <c r="G49" s="5">
        <v>31.37</v>
      </c>
      <c r="H49" s="5">
        <v>0.88900000000000001</v>
      </c>
      <c r="I49" s="5">
        <v>49.08</v>
      </c>
    </row>
    <row r="50" spans="1:9" ht="15.75" customHeight="1">
      <c r="A50" s="3">
        <v>46115.458333333336</v>
      </c>
      <c r="B50" s="5">
        <v>878</v>
      </c>
      <c r="C50" s="5">
        <v>4598</v>
      </c>
      <c r="D50" s="6">
        <f t="shared" si="0"/>
        <v>386.5955740516942</v>
      </c>
      <c r="E50" s="7">
        <f t="shared" si="1"/>
        <v>370</v>
      </c>
      <c r="F50" s="8">
        <f t="shared" si="2"/>
        <v>-16.5955740516942</v>
      </c>
      <c r="G50" s="5">
        <v>30.94</v>
      </c>
      <c r="H50" s="5">
        <v>1.333</v>
      </c>
      <c r="I50" s="5">
        <v>48.79</v>
      </c>
    </row>
    <row r="51" spans="1:9" ht="15.75" customHeight="1">
      <c r="A51" s="3">
        <v>46115.451388888891</v>
      </c>
      <c r="B51" s="5">
        <v>851</v>
      </c>
      <c r="C51" s="5">
        <v>4228</v>
      </c>
      <c r="D51" s="6">
        <f t="shared" si="0"/>
        <v>374.29222765343997</v>
      </c>
      <c r="E51" s="7">
        <f t="shared" si="1"/>
        <v>362.64699999999993</v>
      </c>
      <c r="F51" s="8">
        <f t="shared" si="2"/>
        <v>-11.645227653440031</v>
      </c>
      <c r="G51" s="5">
        <v>30.31</v>
      </c>
      <c r="H51" s="5">
        <v>0.66700000000000004</v>
      </c>
      <c r="I51" s="5">
        <v>49.08</v>
      </c>
    </row>
    <row r="52" spans="1:9" ht="15.75" customHeight="1">
      <c r="A52" s="3">
        <v>46115.444444444445</v>
      </c>
      <c r="B52" s="5">
        <v>822</v>
      </c>
      <c r="C52" s="5">
        <v>3865.3530000000001</v>
      </c>
      <c r="D52" s="6">
        <f t="shared" si="0"/>
        <v>361.53726337382801</v>
      </c>
      <c r="E52" s="7">
        <f t="shared" si="1"/>
        <v>350.35300000000007</v>
      </c>
      <c r="F52" s="8">
        <f t="shared" si="2"/>
        <v>-11.184263373827946</v>
      </c>
      <c r="G52" s="5">
        <v>29.87</v>
      </c>
      <c r="H52" s="5">
        <v>0.88900000000000001</v>
      </c>
      <c r="I52" s="5">
        <v>49.08</v>
      </c>
    </row>
    <row r="53" spans="1:9" ht="15.75" customHeight="1">
      <c r="A53" s="3">
        <v>46115.4375</v>
      </c>
      <c r="B53" s="5">
        <v>792</v>
      </c>
      <c r="C53" s="5">
        <v>3515</v>
      </c>
      <c r="D53" s="6">
        <f t="shared" si="0"/>
        <v>348.34247273974677</v>
      </c>
      <c r="E53" s="7">
        <f t="shared" si="1"/>
        <v>338</v>
      </c>
      <c r="F53" s="8">
        <f t="shared" si="2"/>
        <v>-10.342472739746768</v>
      </c>
      <c r="G53" s="5">
        <v>29.81</v>
      </c>
      <c r="H53" s="5">
        <v>1.444</v>
      </c>
      <c r="I53" s="5">
        <v>49.08</v>
      </c>
    </row>
    <row r="54" spans="1:9" ht="15.75" customHeight="1">
      <c r="A54" s="3">
        <v>46115.430555555555</v>
      </c>
      <c r="B54" s="5">
        <v>763</v>
      </c>
      <c r="C54" s="5">
        <v>3177</v>
      </c>
      <c r="D54" s="6">
        <f t="shared" si="0"/>
        <v>335.58750846013481</v>
      </c>
      <c r="E54" s="7">
        <f t="shared" si="1"/>
        <v>327</v>
      </c>
      <c r="F54" s="8">
        <f t="shared" si="2"/>
        <v>-8.5875084601348135</v>
      </c>
      <c r="G54" s="5">
        <v>29.69</v>
      </c>
      <c r="H54" s="5">
        <v>2.1110000000000002</v>
      </c>
      <c r="I54" s="5">
        <v>49.08</v>
      </c>
    </row>
    <row r="55" spans="1:9" ht="15.75" customHeight="1">
      <c r="A55" s="3">
        <v>46115.423611111109</v>
      </c>
      <c r="B55" s="5">
        <v>726</v>
      </c>
      <c r="C55" s="5">
        <v>2850</v>
      </c>
      <c r="D55" s="6">
        <f t="shared" si="0"/>
        <v>320.36352813287749</v>
      </c>
      <c r="E55" s="7">
        <f t="shared" si="1"/>
        <v>312</v>
      </c>
      <c r="F55" s="8">
        <f t="shared" si="2"/>
        <v>-8.3635281328774909</v>
      </c>
      <c r="G55" s="5">
        <v>29.44</v>
      </c>
      <c r="H55" s="5">
        <v>0.55600000000000005</v>
      </c>
      <c r="I55" s="5">
        <v>48.22</v>
      </c>
    </row>
    <row r="56" spans="1:9" ht="15.75" customHeight="1">
      <c r="A56" s="3">
        <v>46115.416666666664</v>
      </c>
      <c r="B56" s="5">
        <v>693</v>
      </c>
      <c r="C56" s="5">
        <v>2538</v>
      </c>
      <c r="D56" s="6">
        <f t="shared" si="0"/>
        <v>306.13939483823231</v>
      </c>
      <c r="E56" s="7">
        <f t="shared" si="1"/>
        <v>298</v>
      </c>
      <c r="F56" s="8">
        <f t="shared" si="2"/>
        <v>-8.139394838232306</v>
      </c>
      <c r="G56" s="5">
        <v>29.37</v>
      </c>
      <c r="H56" s="5">
        <v>0.44400000000000001</v>
      </c>
      <c r="I56" s="5">
        <v>47.93</v>
      </c>
    </row>
    <row r="57" spans="1:9" ht="15.75" customHeight="1">
      <c r="A57" s="3">
        <v>46115.409722222219</v>
      </c>
      <c r="B57" s="5">
        <v>655</v>
      </c>
      <c r="C57" s="5">
        <v>2240</v>
      </c>
      <c r="D57" s="6">
        <f t="shared" si="0"/>
        <v>289.3525304748083</v>
      </c>
      <c r="E57" s="7">
        <f t="shared" si="1"/>
        <v>283</v>
      </c>
      <c r="F57" s="8">
        <f t="shared" si="2"/>
        <v>-6.3525304748083045</v>
      </c>
      <c r="G57" s="5">
        <v>28.87</v>
      </c>
      <c r="H57" s="5">
        <v>0.55600000000000005</v>
      </c>
      <c r="I57" s="5">
        <v>47.93</v>
      </c>
    </row>
    <row r="58" spans="1:9" ht="15.75" customHeight="1">
      <c r="A58" s="3">
        <v>46115.402777777781</v>
      </c>
      <c r="B58" s="5">
        <v>619</v>
      </c>
      <c r="C58" s="5">
        <v>1957</v>
      </c>
      <c r="D58" s="6">
        <f t="shared" si="0"/>
        <v>273.75095471696312</v>
      </c>
      <c r="E58" s="7">
        <f t="shared" si="1"/>
        <v>266.64699999999993</v>
      </c>
      <c r="F58" s="8">
        <f t="shared" si="2"/>
        <v>-7.1039547169631874</v>
      </c>
      <c r="G58" s="5">
        <v>28.75</v>
      </c>
      <c r="H58" s="5">
        <v>0.55600000000000005</v>
      </c>
      <c r="I58" s="5">
        <v>47.64</v>
      </c>
    </row>
    <row r="59" spans="1:9" ht="15.75" customHeight="1">
      <c r="A59" s="3">
        <v>46115.395833333336</v>
      </c>
      <c r="B59" s="5">
        <v>580</v>
      </c>
      <c r="C59" s="5">
        <v>1690.3530000000001</v>
      </c>
      <c r="D59" s="6">
        <f t="shared" si="0"/>
        <v>256.50331782849531</v>
      </c>
      <c r="E59" s="7">
        <f t="shared" si="1"/>
        <v>250</v>
      </c>
      <c r="F59" s="8">
        <f t="shared" si="2"/>
        <v>-6.5033178284953124</v>
      </c>
      <c r="G59" s="5">
        <v>28.19</v>
      </c>
      <c r="H59" s="5">
        <v>0.55600000000000005</v>
      </c>
      <c r="I59" s="5">
        <v>47.64</v>
      </c>
    </row>
    <row r="60" spans="1:9" ht="15.75" customHeight="1">
      <c r="A60" s="3">
        <v>46115.388888888891</v>
      </c>
      <c r="B60" s="5">
        <v>539</v>
      </c>
      <c r="C60" s="5">
        <v>1440.3530000000001</v>
      </c>
      <c r="D60" s="6">
        <f t="shared" si="0"/>
        <v>238.63395527372398</v>
      </c>
      <c r="E60" s="7">
        <f t="shared" si="1"/>
        <v>231.35300000000007</v>
      </c>
      <c r="F60" s="8">
        <f t="shared" si="2"/>
        <v>-7.2809552737239187</v>
      </c>
      <c r="G60" s="5">
        <v>27.81</v>
      </c>
      <c r="H60" s="5">
        <v>0.44400000000000001</v>
      </c>
      <c r="I60" s="5">
        <v>47.35</v>
      </c>
    </row>
    <row r="61" spans="1:9" ht="15.75" customHeight="1">
      <c r="A61" s="3">
        <v>46115.381944444445</v>
      </c>
      <c r="B61" s="5">
        <v>497</v>
      </c>
      <c r="C61" s="5">
        <v>1209</v>
      </c>
      <c r="D61" s="6">
        <f t="shared" si="0"/>
        <v>220.27303974581739</v>
      </c>
      <c r="E61" s="7">
        <f t="shared" si="1"/>
        <v>213</v>
      </c>
      <c r="F61" s="8">
        <f t="shared" si="2"/>
        <v>-7.2730397458173854</v>
      </c>
      <c r="G61" s="5">
        <v>27.63</v>
      </c>
      <c r="H61" s="5">
        <v>0.44400000000000001</v>
      </c>
      <c r="I61" s="5">
        <v>47.07</v>
      </c>
    </row>
    <row r="62" spans="1:9" ht="15.75" customHeight="1">
      <c r="A62" s="3">
        <v>46115.375</v>
      </c>
      <c r="B62" s="5">
        <v>455</v>
      </c>
      <c r="C62" s="5">
        <v>996</v>
      </c>
      <c r="D62" s="6">
        <f t="shared" si="0"/>
        <v>202.10205185446773</v>
      </c>
      <c r="E62" s="7">
        <f t="shared" si="1"/>
        <v>192</v>
      </c>
      <c r="F62" s="8">
        <f t="shared" si="2"/>
        <v>-10.102051854467732</v>
      </c>
      <c r="G62" s="5">
        <v>26.31</v>
      </c>
      <c r="H62" s="5">
        <v>0.66700000000000004</v>
      </c>
      <c r="I62" s="5">
        <v>46.49</v>
      </c>
    </row>
    <row r="63" spans="1:9" ht="15.75" customHeight="1">
      <c r="A63" s="3">
        <v>46115.368055555555</v>
      </c>
      <c r="B63" s="5">
        <v>408</v>
      </c>
      <c r="C63" s="5">
        <v>804</v>
      </c>
      <c r="D63" s="6">
        <f t="shared" si="0"/>
        <v>180.82776703479576</v>
      </c>
      <c r="E63" s="7">
        <f t="shared" si="1"/>
        <v>171</v>
      </c>
      <c r="F63" s="8">
        <f t="shared" si="2"/>
        <v>-9.8277670347957553</v>
      </c>
      <c r="G63" s="5">
        <v>25.68</v>
      </c>
      <c r="H63" s="5">
        <v>0.77800000000000002</v>
      </c>
      <c r="I63" s="5">
        <v>47.07</v>
      </c>
    </row>
    <row r="64" spans="1:9" ht="15.75" customHeight="1">
      <c r="A64" s="3">
        <v>46115.361111111109</v>
      </c>
      <c r="B64" s="5">
        <v>363</v>
      </c>
      <c r="C64" s="5">
        <v>633</v>
      </c>
      <c r="D64" s="6">
        <f t="shared" si="0"/>
        <v>162.46402250104921</v>
      </c>
      <c r="E64" s="7">
        <f t="shared" si="1"/>
        <v>149.64699999999999</v>
      </c>
      <c r="F64" s="8">
        <f t="shared" si="2"/>
        <v>-12.817022501049223</v>
      </c>
      <c r="G64" s="5">
        <v>24.31</v>
      </c>
      <c r="H64" s="5">
        <v>0.44400000000000001</v>
      </c>
      <c r="I64" s="5">
        <v>44.48</v>
      </c>
    </row>
    <row r="65" spans="1:26" ht="15.75" customHeight="1">
      <c r="A65" s="3">
        <v>46115.354166666664</v>
      </c>
      <c r="B65" s="5">
        <v>317</v>
      </c>
      <c r="C65" s="5">
        <v>483.35300000000001</v>
      </c>
      <c r="D65" s="6">
        <f t="shared" si="0"/>
        <v>144.47151894164878</v>
      </c>
      <c r="E65" s="7">
        <f t="shared" si="1"/>
        <v>128</v>
      </c>
      <c r="F65" s="8">
        <f t="shared" si="2"/>
        <v>-16.471518941648782</v>
      </c>
      <c r="G65" s="5">
        <v>22.75</v>
      </c>
      <c r="H65" s="5">
        <v>0.44400000000000001</v>
      </c>
      <c r="I65" s="5">
        <v>39.61</v>
      </c>
    </row>
    <row r="66" spans="1:26" ht="15.75" customHeight="1">
      <c r="A66" s="3">
        <v>46115.347222222219</v>
      </c>
      <c r="B66" s="5">
        <v>272</v>
      </c>
      <c r="C66" s="5">
        <v>355.35300000000001</v>
      </c>
      <c r="D66" s="6">
        <f t="shared" si="0"/>
        <v>127.37861522404559</v>
      </c>
      <c r="E66" s="7">
        <f t="shared" si="1"/>
        <v>105.35300000000001</v>
      </c>
      <c r="F66" s="8">
        <f t="shared" si="2"/>
        <v>-22.02561522404558</v>
      </c>
      <c r="G66" s="5">
        <v>21</v>
      </c>
      <c r="H66" s="5">
        <v>0.44400000000000001</v>
      </c>
      <c r="I66" s="5">
        <v>32.14</v>
      </c>
    </row>
    <row r="67" spans="1:26" ht="15.75" customHeight="1">
      <c r="A67" s="3">
        <v>46115.340277777781</v>
      </c>
      <c r="B67" s="5">
        <v>226</v>
      </c>
      <c r="C67" s="5">
        <v>250</v>
      </c>
      <c r="D67" s="6">
        <f t="shared" si="0"/>
        <v>107.47031035070228</v>
      </c>
      <c r="E67" s="7">
        <f t="shared" si="1"/>
        <v>85</v>
      </c>
      <c r="F67" s="8">
        <f t="shared" si="2"/>
        <v>-22.470310350702277</v>
      </c>
      <c r="G67" s="5">
        <v>19.25</v>
      </c>
      <c r="H67" s="5">
        <v>0.55600000000000005</v>
      </c>
      <c r="I67" s="5">
        <v>27.84</v>
      </c>
    </row>
    <row r="68" spans="1:26" ht="15.75" customHeight="1">
      <c r="A68" s="3">
        <v>46115.333333333336</v>
      </c>
      <c r="B68" s="5">
        <v>181</v>
      </c>
      <c r="C68" s="5">
        <v>165</v>
      </c>
      <c r="D68" s="6">
        <f t="shared" si="0"/>
        <v>87.032861308626337</v>
      </c>
      <c r="E68" s="7">
        <f t="shared" si="1"/>
        <v>65</v>
      </c>
      <c r="F68" s="8">
        <f t="shared" si="2"/>
        <v>-22.032861308626337</v>
      </c>
      <c r="G68" s="5">
        <v>17.63</v>
      </c>
      <c r="H68" s="5">
        <v>0.88900000000000001</v>
      </c>
      <c r="I68" s="5">
        <v>24.68</v>
      </c>
    </row>
    <row r="69" spans="1:26" ht="15.75" customHeight="1">
      <c r="A69" s="3">
        <v>46115.326388888891</v>
      </c>
      <c r="B69" s="5">
        <v>138</v>
      </c>
      <c r="C69" s="5">
        <v>100</v>
      </c>
      <c r="D69" s="6">
        <f t="shared" si="0"/>
        <v>67.354094956666131</v>
      </c>
      <c r="E69" s="7">
        <f t="shared" si="1"/>
        <v>46</v>
      </c>
      <c r="F69" s="8">
        <f t="shared" si="2"/>
        <v>-21.354094956666131</v>
      </c>
      <c r="G69" s="5">
        <v>16.309999999999999</v>
      </c>
      <c r="H69" s="5">
        <v>1.111</v>
      </c>
      <c r="I69" s="5">
        <v>20.38</v>
      </c>
    </row>
    <row r="70" spans="1:26" ht="15.75" customHeight="1">
      <c r="A70" s="3">
        <v>46115.319444444445</v>
      </c>
      <c r="B70" s="5">
        <v>98</v>
      </c>
      <c r="C70" s="5">
        <v>54</v>
      </c>
      <c r="D70" s="6">
        <f t="shared" si="0"/>
        <v>48.257858851387283</v>
      </c>
      <c r="E70" s="7">
        <f t="shared" si="1"/>
        <v>29</v>
      </c>
      <c r="F70" s="8">
        <f t="shared" si="2"/>
        <v>-19.257858851387283</v>
      </c>
      <c r="G70" s="5">
        <v>15.44</v>
      </c>
      <c r="H70" s="5">
        <v>0.44400000000000001</v>
      </c>
      <c r="I70" s="5">
        <v>17.79</v>
      </c>
    </row>
    <row r="71" spans="1:26" ht="15.75" customHeight="1">
      <c r="A71" s="3">
        <v>46115.3125</v>
      </c>
      <c r="B71" s="5">
        <v>59</v>
      </c>
      <c r="C71" s="5">
        <v>25</v>
      </c>
      <c r="D71" s="6">
        <f t="shared" si="0"/>
        <v>29.223796033198731</v>
      </c>
      <c r="E71" s="7">
        <f t="shared" si="1"/>
        <v>17</v>
      </c>
      <c r="F71" s="8">
        <f t="shared" si="2"/>
        <v>-12.223796033198731</v>
      </c>
      <c r="G71" s="5">
        <v>15.06</v>
      </c>
      <c r="H71" s="5">
        <v>0.44400000000000001</v>
      </c>
      <c r="I71" s="5">
        <v>16.07</v>
      </c>
    </row>
    <row r="72" spans="1:26" ht="15.75" customHeight="1">
      <c r="A72" s="3">
        <v>46115.305555555555</v>
      </c>
      <c r="B72" s="5">
        <v>24</v>
      </c>
      <c r="C72" s="5">
        <v>8</v>
      </c>
      <c r="D72" s="6">
        <f t="shared" si="0"/>
        <v>11.922343192380305</v>
      </c>
      <c r="E72" s="7">
        <f t="shared" si="1"/>
        <v>7.6470000000000002</v>
      </c>
      <c r="F72" s="8">
        <f t="shared" si="2"/>
        <v>-4.2753431923803049</v>
      </c>
      <c r="G72" s="5">
        <v>14.94</v>
      </c>
      <c r="H72" s="5">
        <v>0.44400000000000001</v>
      </c>
      <c r="I72" s="5">
        <v>15.21</v>
      </c>
    </row>
    <row r="73" spans="1:26" ht="15.75" customHeight="1">
      <c r="A73" s="3">
        <v>46115.298611111109</v>
      </c>
      <c r="B73" s="5">
        <v>10</v>
      </c>
      <c r="C73" s="5">
        <v>0.35299999999999998</v>
      </c>
      <c r="D73" s="6">
        <f t="shared" si="0"/>
        <v>4.9772251133800394</v>
      </c>
      <c r="E73" s="7">
        <f t="shared" si="1"/>
        <v>0.35299999999999998</v>
      </c>
      <c r="F73" s="8">
        <f t="shared" si="2"/>
        <v>-4.6242251133800396</v>
      </c>
      <c r="G73" s="5">
        <v>14.88</v>
      </c>
      <c r="H73" s="5">
        <v>0.44400000000000001</v>
      </c>
      <c r="I73" s="5">
        <v>14.64</v>
      </c>
    </row>
    <row r="74" spans="1:26" ht="15.75" customHeight="1">
      <c r="A74" s="3">
        <v>46115.291666666664</v>
      </c>
      <c r="B74" s="5">
        <v>2</v>
      </c>
      <c r="C74" s="5">
        <v>0</v>
      </c>
      <c r="D74" s="6">
        <f t="shared" si="0"/>
        <v>0.99450362175131435</v>
      </c>
      <c r="E74" s="7">
        <f t="shared" si="1"/>
        <v>0</v>
      </c>
      <c r="F74" s="8">
        <f t="shared" si="2"/>
        <v>-0.99450362175131435</v>
      </c>
      <c r="G74" s="5">
        <v>14.94</v>
      </c>
      <c r="H74" s="5">
        <v>0.44400000000000001</v>
      </c>
      <c r="I74" s="5">
        <v>14.92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7.0335000000000001</v>
      </c>
      <c r="C76" s="11"/>
      <c r="D76" s="16">
        <f>SUM(D2:D75)</f>
        <v>18628.232341116305</v>
      </c>
      <c r="E76" s="15">
        <f>SUM(E1:E74)</f>
        <v>17965</v>
      </c>
      <c r="F76" s="11"/>
      <c r="G76" s="17">
        <f t="shared" ref="G76:I76" si="3">AVERAGE(G1:G74)</f>
        <v>30.847671232876714</v>
      </c>
      <c r="H76" s="17">
        <f t="shared" si="3"/>
        <v>1.1978219178082194</v>
      </c>
      <c r="I76" s="17">
        <f t="shared" si="3"/>
        <v>44.402054794520531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7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46145.791666666664</v>
      </c>
      <c r="B2" s="4">
        <v>0</v>
      </c>
      <c r="C2" s="5">
        <v>19212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28.94</v>
      </c>
      <c r="H2" s="5">
        <v>2.556</v>
      </c>
      <c r="I2" s="5">
        <v>35.01</v>
      </c>
    </row>
    <row r="3" spans="1:26" ht="15.75" customHeight="1">
      <c r="A3" s="3">
        <v>46145.784722222219</v>
      </c>
      <c r="B3" s="4">
        <v>0</v>
      </c>
      <c r="C3" s="5">
        <v>19212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5">
        <v>29.31</v>
      </c>
      <c r="H3" s="5">
        <v>1.667</v>
      </c>
      <c r="I3" s="5">
        <v>36.159999999999997</v>
      </c>
    </row>
    <row r="4" spans="1:26" ht="15.75" customHeight="1">
      <c r="A4" s="3">
        <v>46145.777777777781</v>
      </c>
      <c r="B4" s="5">
        <v>0</v>
      </c>
      <c r="C4" s="5">
        <v>19211</v>
      </c>
      <c r="D4" s="6">
        <f t="shared" si="0"/>
        <v>0</v>
      </c>
      <c r="E4" s="7">
        <f t="shared" si="1"/>
        <v>4.6500000000014552</v>
      </c>
      <c r="F4" s="8">
        <f t="shared" si="2"/>
        <v>4.6500000000014552</v>
      </c>
      <c r="G4" s="5">
        <v>30.13</v>
      </c>
      <c r="H4" s="5">
        <v>1.556</v>
      </c>
      <c r="I4" s="5">
        <v>37.6</v>
      </c>
    </row>
    <row r="5" spans="1:26" ht="15.75" customHeight="1">
      <c r="A5" s="3">
        <v>46145.770833333336</v>
      </c>
      <c r="B5" s="5">
        <v>11</v>
      </c>
      <c r="C5" s="5">
        <v>19206.349999999999</v>
      </c>
      <c r="D5" s="6">
        <f t="shared" si="0"/>
        <v>5.0132072818868672</v>
      </c>
      <c r="E5" s="7">
        <f t="shared" si="1"/>
        <v>11.349999999998545</v>
      </c>
      <c r="F5" s="8">
        <f t="shared" si="2"/>
        <v>6.3367927181116777</v>
      </c>
      <c r="G5" s="5">
        <v>30.63</v>
      </c>
      <c r="H5" s="5">
        <v>2.444</v>
      </c>
      <c r="I5" s="5">
        <v>39.61</v>
      </c>
    </row>
    <row r="6" spans="1:26" ht="15.75" customHeight="1">
      <c r="A6" s="3">
        <v>46145.763888888891</v>
      </c>
      <c r="B6" s="5">
        <v>23</v>
      </c>
      <c r="C6" s="5">
        <v>19195</v>
      </c>
      <c r="D6" s="6">
        <f t="shared" si="0"/>
        <v>10.393618561195357</v>
      </c>
      <c r="E6" s="7">
        <f t="shared" si="1"/>
        <v>21.650000000001455</v>
      </c>
      <c r="F6" s="8">
        <f t="shared" si="2"/>
        <v>11.256381438806098</v>
      </c>
      <c r="G6" s="5">
        <v>31.25</v>
      </c>
      <c r="H6" s="5">
        <v>2.778</v>
      </c>
      <c r="I6" s="5">
        <v>41.9</v>
      </c>
    </row>
    <row r="7" spans="1:26" ht="15.75" customHeight="1">
      <c r="A7" s="3">
        <v>46145.756944444445</v>
      </c>
      <c r="B7" s="5">
        <v>34</v>
      </c>
      <c r="C7" s="5">
        <v>19173.349999999999</v>
      </c>
      <c r="D7" s="6">
        <f t="shared" si="0"/>
        <v>15.249595077927678</v>
      </c>
      <c r="E7" s="7">
        <f t="shared" si="1"/>
        <v>36.349999999998545</v>
      </c>
      <c r="F7" s="8">
        <f t="shared" si="2"/>
        <v>21.100404922070865</v>
      </c>
      <c r="G7" s="5">
        <v>31.75</v>
      </c>
      <c r="H7" s="5">
        <v>3.1110000000000002</v>
      </c>
      <c r="I7" s="5">
        <v>43.91</v>
      </c>
    </row>
    <row r="8" spans="1:26" ht="15.75" customHeight="1">
      <c r="A8" s="3">
        <v>46145.75</v>
      </c>
      <c r="B8" s="5">
        <v>46</v>
      </c>
      <c r="C8" s="5">
        <v>19137</v>
      </c>
      <c r="D8" s="6">
        <f t="shared" si="0"/>
        <v>20.453947573587751</v>
      </c>
      <c r="E8" s="7">
        <f t="shared" si="1"/>
        <v>54.650000000001455</v>
      </c>
      <c r="F8" s="8">
        <f t="shared" si="2"/>
        <v>34.196052426413701</v>
      </c>
      <c r="G8" s="5">
        <v>32.19</v>
      </c>
      <c r="H8" s="5">
        <v>2.1110000000000002</v>
      </c>
      <c r="I8" s="5">
        <v>46.21</v>
      </c>
    </row>
    <row r="9" spans="1:26" ht="15.75" customHeight="1">
      <c r="A9" s="3">
        <v>46145.743055555555</v>
      </c>
      <c r="B9" s="5">
        <v>162</v>
      </c>
      <c r="C9" s="5">
        <v>19082.349999999999</v>
      </c>
      <c r="D9" s="6">
        <f t="shared" si="0"/>
        <v>71.644030152096988</v>
      </c>
      <c r="E9" s="7">
        <f t="shared" si="1"/>
        <v>75</v>
      </c>
      <c r="F9" s="8">
        <f t="shared" si="2"/>
        <v>3.3559698479030118</v>
      </c>
      <c r="G9" s="5">
        <v>32.56</v>
      </c>
      <c r="H9" s="5">
        <v>3.3330000000000002</v>
      </c>
      <c r="I9" s="5">
        <v>47.64</v>
      </c>
    </row>
    <row r="10" spans="1:26" ht="15.75" customHeight="1">
      <c r="A10" s="3">
        <v>46145.736111111109</v>
      </c>
      <c r="B10" s="5">
        <v>216</v>
      </c>
      <c r="C10" s="5">
        <v>19007.349999999999</v>
      </c>
      <c r="D10" s="6">
        <f t="shared" si="0"/>
        <v>95.31476870069082</v>
      </c>
      <c r="E10" s="7">
        <f t="shared" si="1"/>
        <v>96</v>
      </c>
      <c r="F10" s="8">
        <f t="shared" si="2"/>
        <v>0.68523129930918003</v>
      </c>
      <c r="G10" s="5">
        <v>32.880000000000003</v>
      </c>
      <c r="H10" s="5">
        <v>3.556</v>
      </c>
      <c r="I10" s="5">
        <v>48.22</v>
      </c>
    </row>
    <row r="11" spans="1:26" ht="15.75" customHeight="1">
      <c r="A11" s="3">
        <v>46145.729166666664</v>
      </c>
      <c r="B11" s="5">
        <v>263</v>
      </c>
      <c r="C11" s="5">
        <v>18911.349999999999</v>
      </c>
      <c r="D11" s="6">
        <f t="shared" si="0"/>
        <v>115.9307621130403</v>
      </c>
      <c r="E11" s="7">
        <f t="shared" si="1"/>
        <v>119</v>
      </c>
      <c r="F11" s="8">
        <f t="shared" si="2"/>
        <v>3.0692378869596979</v>
      </c>
      <c r="G11" s="5">
        <v>33.130000000000003</v>
      </c>
      <c r="H11" s="5">
        <v>3.778</v>
      </c>
      <c r="I11" s="5">
        <v>48.5</v>
      </c>
    </row>
    <row r="12" spans="1:26" ht="15.75" customHeight="1">
      <c r="A12" s="3">
        <v>46145.722222222219</v>
      </c>
      <c r="B12" s="5">
        <v>311</v>
      </c>
      <c r="C12" s="5">
        <v>18792.349999999999</v>
      </c>
      <c r="D12" s="6">
        <f t="shared" si="0"/>
        <v>137.08922820211228</v>
      </c>
      <c r="E12" s="7">
        <f t="shared" si="1"/>
        <v>141.34999999999854</v>
      </c>
      <c r="F12" s="8">
        <f t="shared" si="2"/>
        <v>4.2607717978862638</v>
      </c>
      <c r="G12" s="5">
        <v>33.380000000000003</v>
      </c>
      <c r="H12" s="5">
        <v>1.556</v>
      </c>
      <c r="I12" s="5">
        <v>48.5</v>
      </c>
    </row>
    <row r="13" spans="1:26" ht="15.75" customHeight="1">
      <c r="A13" s="3">
        <v>46145.715277777781</v>
      </c>
      <c r="B13" s="5">
        <v>357</v>
      </c>
      <c r="C13" s="5">
        <v>18651</v>
      </c>
      <c r="D13" s="6">
        <f t="shared" si="0"/>
        <v>157.36609153747295</v>
      </c>
      <c r="E13" s="7">
        <f t="shared" si="1"/>
        <v>163</v>
      </c>
      <c r="F13" s="8">
        <f t="shared" si="2"/>
        <v>5.6339084625270459</v>
      </c>
      <c r="G13" s="5">
        <v>33.630000000000003</v>
      </c>
      <c r="H13" s="5">
        <v>3.556</v>
      </c>
      <c r="I13" s="5">
        <v>48.5</v>
      </c>
    </row>
    <row r="14" spans="1:26" ht="15.75" customHeight="1">
      <c r="A14" s="3">
        <v>46145.708333333336</v>
      </c>
      <c r="B14" s="5">
        <v>402</v>
      </c>
      <c r="C14" s="5">
        <v>18488</v>
      </c>
      <c r="D14" s="6">
        <f t="shared" si="0"/>
        <v>177.20215349597794</v>
      </c>
      <c r="E14" s="7">
        <f t="shared" si="1"/>
        <v>185</v>
      </c>
      <c r="F14" s="8">
        <f t="shared" si="2"/>
        <v>7.7978465040220613</v>
      </c>
      <c r="G14" s="5">
        <v>34</v>
      </c>
      <c r="H14" s="5">
        <v>1.556</v>
      </c>
      <c r="I14" s="5">
        <v>48.5</v>
      </c>
    </row>
    <row r="15" spans="1:26" ht="15.75" customHeight="1">
      <c r="A15" s="3">
        <v>46145.701388888891</v>
      </c>
      <c r="B15" s="5">
        <v>446</v>
      </c>
      <c r="C15" s="5">
        <v>18303</v>
      </c>
      <c r="D15" s="6">
        <f t="shared" si="0"/>
        <v>196.59741407762729</v>
      </c>
      <c r="E15" s="7">
        <f t="shared" si="1"/>
        <v>205</v>
      </c>
      <c r="F15" s="8">
        <f t="shared" si="2"/>
        <v>8.4025859223727082</v>
      </c>
      <c r="G15" s="5">
        <v>33.880000000000003</v>
      </c>
      <c r="H15" s="5">
        <v>2.1110000000000002</v>
      </c>
      <c r="I15" s="5">
        <v>48.5</v>
      </c>
    </row>
    <row r="16" spans="1:26" ht="15.75" customHeight="1">
      <c r="A16" s="3">
        <v>46145.694444444445</v>
      </c>
      <c r="B16" s="5">
        <v>492</v>
      </c>
      <c r="C16" s="5">
        <v>18098</v>
      </c>
      <c r="D16" s="6">
        <f t="shared" si="0"/>
        <v>216.63442190596072</v>
      </c>
      <c r="E16" s="7">
        <f t="shared" si="1"/>
        <v>227</v>
      </c>
      <c r="F16" s="8">
        <f t="shared" si="2"/>
        <v>10.365578094039279</v>
      </c>
      <c r="G16" s="5">
        <v>34.31</v>
      </c>
      <c r="H16" s="5">
        <v>3.8889999999999998</v>
      </c>
      <c r="I16" s="5">
        <v>48.79</v>
      </c>
    </row>
    <row r="17" spans="1:9" ht="15.75" customHeight="1">
      <c r="A17" s="3">
        <v>46145.6875</v>
      </c>
      <c r="B17" s="5">
        <v>537</v>
      </c>
      <c r="C17" s="5">
        <v>17871</v>
      </c>
      <c r="D17" s="6">
        <f t="shared" si="0"/>
        <v>236.18675235005557</v>
      </c>
      <c r="E17" s="7">
        <f t="shared" si="1"/>
        <v>246</v>
      </c>
      <c r="F17" s="8">
        <f t="shared" si="2"/>
        <v>9.8132476499444294</v>
      </c>
      <c r="G17" s="5">
        <v>34.31</v>
      </c>
      <c r="H17" s="5">
        <v>2.778</v>
      </c>
      <c r="I17" s="5">
        <v>49.08</v>
      </c>
    </row>
    <row r="18" spans="1:9" ht="15.75" customHeight="1">
      <c r="A18" s="3">
        <v>46145.680555555555</v>
      </c>
      <c r="B18" s="5">
        <v>581</v>
      </c>
      <c r="C18" s="5">
        <v>17625</v>
      </c>
      <c r="D18" s="6">
        <f t="shared" si="0"/>
        <v>255.53911194670818</v>
      </c>
      <c r="E18" s="7">
        <f t="shared" si="1"/>
        <v>265.65000000000146</v>
      </c>
      <c r="F18" s="8">
        <f t="shared" si="2"/>
        <v>10.11088805329328</v>
      </c>
      <c r="G18" s="5">
        <v>34.56</v>
      </c>
      <c r="H18" s="5">
        <v>3.3330000000000002</v>
      </c>
      <c r="I18" s="5">
        <v>49.08</v>
      </c>
    </row>
    <row r="19" spans="1:9" ht="15.75" customHeight="1">
      <c r="A19" s="3">
        <v>46145.673611111109</v>
      </c>
      <c r="B19" s="5">
        <v>624</v>
      </c>
      <c r="C19" s="5">
        <v>17359.349999999999</v>
      </c>
      <c r="D19" s="6">
        <f t="shared" si="0"/>
        <v>274.45164518889135</v>
      </c>
      <c r="E19" s="7">
        <f t="shared" si="1"/>
        <v>283</v>
      </c>
      <c r="F19" s="8">
        <f t="shared" si="2"/>
        <v>8.548354811108652</v>
      </c>
      <c r="G19" s="5">
        <v>34.380000000000003</v>
      </c>
      <c r="H19" s="5">
        <v>4.1109999999999998</v>
      </c>
      <c r="I19" s="5">
        <v>49.08</v>
      </c>
    </row>
    <row r="20" spans="1:9" ht="15.75" customHeight="1">
      <c r="A20" s="3">
        <v>46145.666666666664</v>
      </c>
      <c r="B20" s="5">
        <v>665</v>
      </c>
      <c r="C20" s="5">
        <v>17076.349999999999</v>
      </c>
      <c r="D20" s="6">
        <f t="shared" si="0"/>
        <v>292.48452572213591</v>
      </c>
      <c r="E20" s="7">
        <f t="shared" si="1"/>
        <v>301</v>
      </c>
      <c r="F20" s="8">
        <f t="shared" si="2"/>
        <v>8.5154742778640866</v>
      </c>
      <c r="G20" s="5">
        <v>34.5</v>
      </c>
      <c r="H20" s="5">
        <v>3.3330000000000002</v>
      </c>
      <c r="I20" s="5">
        <v>49.08</v>
      </c>
    </row>
    <row r="21" spans="1:9" ht="15.75" customHeight="1">
      <c r="A21" s="3">
        <v>46145.659722222219</v>
      </c>
      <c r="B21" s="5">
        <v>707</v>
      </c>
      <c r="C21" s="5">
        <v>16775.349999999999</v>
      </c>
      <c r="D21" s="6">
        <f t="shared" si="0"/>
        <v>310.62444738297063</v>
      </c>
      <c r="E21" s="7">
        <f t="shared" si="1"/>
        <v>314.34999999999854</v>
      </c>
      <c r="F21" s="8">
        <f t="shared" si="2"/>
        <v>3.7255526170279154</v>
      </c>
      <c r="G21" s="5">
        <v>34.19</v>
      </c>
      <c r="H21" s="5">
        <v>2.6669999999999998</v>
      </c>
      <c r="I21" s="5">
        <v>49.36</v>
      </c>
    </row>
    <row r="22" spans="1:9" ht="15.75" customHeight="1">
      <c r="A22" s="3">
        <v>46145.652777777781</v>
      </c>
      <c r="B22" s="5">
        <v>735</v>
      </c>
      <c r="C22" s="5">
        <v>16461</v>
      </c>
      <c r="D22" s="6">
        <f t="shared" si="0"/>
        <v>322.9264056951676</v>
      </c>
      <c r="E22" s="7">
        <f t="shared" si="1"/>
        <v>328</v>
      </c>
      <c r="F22" s="8">
        <f t="shared" si="2"/>
        <v>5.0735943048323975</v>
      </c>
      <c r="G22" s="5">
        <v>34.5</v>
      </c>
      <c r="H22" s="5">
        <v>4.2220000000000004</v>
      </c>
      <c r="I22" s="5">
        <v>49.36</v>
      </c>
    </row>
    <row r="23" spans="1:9" ht="15.75" customHeight="1">
      <c r="A23" s="3">
        <v>46145.645833333336</v>
      </c>
      <c r="B23" s="5">
        <v>772</v>
      </c>
      <c r="C23" s="5">
        <v>16133</v>
      </c>
      <c r="D23" s="6">
        <f t="shared" si="0"/>
        <v>339.18256489342764</v>
      </c>
      <c r="E23" s="7">
        <f t="shared" si="1"/>
        <v>343.64999999999964</v>
      </c>
      <c r="F23" s="8">
        <f t="shared" si="2"/>
        <v>4.4674351065719975</v>
      </c>
      <c r="G23" s="5">
        <v>34.06</v>
      </c>
      <c r="H23" s="5">
        <v>3.3330000000000002</v>
      </c>
      <c r="I23" s="5">
        <v>49.36</v>
      </c>
    </row>
    <row r="24" spans="1:9" ht="15.75" customHeight="1">
      <c r="A24" s="3">
        <v>46145.638888888891</v>
      </c>
      <c r="B24" s="5">
        <v>813</v>
      </c>
      <c r="C24" s="5">
        <v>15789.35</v>
      </c>
      <c r="D24" s="6">
        <f t="shared" si="0"/>
        <v>357.19614670771591</v>
      </c>
      <c r="E24" s="7">
        <f t="shared" si="1"/>
        <v>355.35000000000036</v>
      </c>
      <c r="F24" s="8">
        <f t="shared" si="2"/>
        <v>-1.8461467077155476</v>
      </c>
      <c r="G24" s="5">
        <v>34.31</v>
      </c>
      <c r="H24" s="5">
        <v>2</v>
      </c>
      <c r="I24" s="5">
        <v>49.36</v>
      </c>
    </row>
    <row r="25" spans="1:9" ht="15.75" customHeight="1">
      <c r="A25" s="3">
        <v>46145.631944444445</v>
      </c>
      <c r="B25" s="5">
        <v>837</v>
      </c>
      <c r="C25" s="5">
        <v>15434</v>
      </c>
      <c r="D25" s="6">
        <f t="shared" si="0"/>
        <v>368.13465869086872</v>
      </c>
      <c r="E25" s="7">
        <f t="shared" si="1"/>
        <v>367.64999999999964</v>
      </c>
      <c r="F25" s="8">
        <f t="shared" si="2"/>
        <v>-0.48465869086908242</v>
      </c>
      <c r="G25" s="5">
        <v>34.06</v>
      </c>
      <c r="H25" s="5">
        <v>3.1110000000000002</v>
      </c>
      <c r="I25" s="5">
        <v>49.08</v>
      </c>
    </row>
    <row r="26" spans="1:9" ht="15.75" customHeight="1">
      <c r="A26" s="3">
        <v>46145.625</v>
      </c>
      <c r="B26" s="5">
        <v>869</v>
      </c>
      <c r="C26" s="5">
        <v>15066.35</v>
      </c>
      <c r="D26" s="6">
        <f t="shared" si="0"/>
        <v>382.63274926073143</v>
      </c>
      <c r="E26" s="7">
        <f t="shared" si="1"/>
        <v>379</v>
      </c>
      <c r="F26" s="8">
        <f t="shared" si="2"/>
        <v>-3.6327492607314298</v>
      </c>
      <c r="G26" s="5">
        <v>34.56</v>
      </c>
      <c r="H26" s="5">
        <v>3.444</v>
      </c>
      <c r="I26" s="5">
        <v>48.79</v>
      </c>
    </row>
    <row r="27" spans="1:9" ht="15.75" customHeight="1">
      <c r="A27" s="3">
        <v>46145.618055555555</v>
      </c>
      <c r="B27" s="5">
        <v>898</v>
      </c>
      <c r="C27" s="5">
        <v>14687.35</v>
      </c>
      <c r="D27" s="6">
        <f t="shared" si="0"/>
        <v>394.96406631350072</v>
      </c>
      <c r="E27" s="7">
        <f t="shared" si="1"/>
        <v>386.35000000000036</v>
      </c>
      <c r="F27" s="8">
        <f t="shared" si="2"/>
        <v>-8.6140663135003592</v>
      </c>
      <c r="G27" s="5">
        <v>34.44</v>
      </c>
      <c r="H27" s="5">
        <v>4.2220000000000004</v>
      </c>
      <c r="I27" s="5">
        <v>49.08</v>
      </c>
    </row>
    <row r="28" spans="1:9" ht="15.75" customHeight="1">
      <c r="A28" s="3">
        <v>46145.611111111109</v>
      </c>
      <c r="B28" s="5">
        <v>927</v>
      </c>
      <c r="C28" s="5">
        <v>14301</v>
      </c>
      <c r="D28" s="6">
        <f t="shared" si="0"/>
        <v>407.71903059311268</v>
      </c>
      <c r="E28" s="7">
        <f t="shared" si="1"/>
        <v>399</v>
      </c>
      <c r="F28" s="8">
        <f t="shared" si="2"/>
        <v>-8.7190305931126773</v>
      </c>
      <c r="G28" s="5">
        <v>34.19</v>
      </c>
      <c r="H28" s="5">
        <v>4.2220000000000004</v>
      </c>
      <c r="I28" s="5">
        <v>49.08</v>
      </c>
    </row>
    <row r="29" spans="1:9" ht="15.75" customHeight="1">
      <c r="A29" s="3">
        <v>46145.604166666664</v>
      </c>
      <c r="B29" s="5">
        <v>951</v>
      </c>
      <c r="C29" s="5">
        <v>13902</v>
      </c>
      <c r="D29" s="6">
        <f t="shared" si="0"/>
        <v>418.7384862450582</v>
      </c>
      <c r="E29" s="7">
        <f t="shared" si="1"/>
        <v>405</v>
      </c>
      <c r="F29" s="8">
        <f t="shared" si="2"/>
        <v>-13.738486245058198</v>
      </c>
      <c r="G29" s="5">
        <v>34.69</v>
      </c>
      <c r="H29" s="5">
        <v>6.1109999999999998</v>
      </c>
      <c r="I29" s="5">
        <v>48.79</v>
      </c>
    </row>
    <row r="30" spans="1:9" ht="15.75" customHeight="1">
      <c r="A30" s="3">
        <v>46145.597222222219</v>
      </c>
      <c r="B30" s="5">
        <v>974</v>
      </c>
      <c r="C30" s="5">
        <v>13497</v>
      </c>
      <c r="D30" s="6">
        <f t="shared" si="0"/>
        <v>428.39086925317343</v>
      </c>
      <c r="E30" s="7">
        <f t="shared" si="1"/>
        <v>417</v>
      </c>
      <c r="F30" s="8">
        <f t="shared" si="2"/>
        <v>-11.390869253173435</v>
      </c>
      <c r="G30" s="5">
        <v>34.380000000000003</v>
      </c>
      <c r="H30" s="5">
        <v>1.333</v>
      </c>
      <c r="I30" s="5">
        <v>49.08</v>
      </c>
    </row>
    <row r="31" spans="1:9" ht="15.75" customHeight="1">
      <c r="A31" s="3">
        <v>46145.590277777781</v>
      </c>
      <c r="B31" s="5">
        <v>997</v>
      </c>
      <c r="C31" s="5">
        <v>13080</v>
      </c>
      <c r="D31" s="6">
        <f t="shared" si="0"/>
        <v>438.99292406553428</v>
      </c>
      <c r="E31" s="7">
        <f t="shared" si="1"/>
        <v>421.64999999999964</v>
      </c>
      <c r="F31" s="8">
        <f t="shared" si="2"/>
        <v>-17.342924065534646</v>
      </c>
      <c r="G31" s="5">
        <v>34.31</v>
      </c>
      <c r="H31" s="5">
        <v>2</v>
      </c>
      <c r="I31" s="5">
        <v>48.79</v>
      </c>
    </row>
    <row r="32" spans="1:9" ht="15.75" customHeight="1">
      <c r="A32" s="3">
        <v>46145.583333333336</v>
      </c>
      <c r="B32" s="5">
        <v>1007</v>
      </c>
      <c r="C32" s="5">
        <v>12658.35</v>
      </c>
      <c r="D32" s="6">
        <f t="shared" si="0"/>
        <v>443.3960627221594</v>
      </c>
      <c r="E32" s="7">
        <f t="shared" si="1"/>
        <v>426</v>
      </c>
      <c r="F32" s="8">
        <f t="shared" si="2"/>
        <v>-17.3960627221594</v>
      </c>
      <c r="G32" s="5">
        <v>34.44</v>
      </c>
      <c r="H32" s="5">
        <v>3.556</v>
      </c>
      <c r="I32" s="5">
        <v>48.79</v>
      </c>
    </row>
    <row r="33" spans="1:9" ht="15.75" customHeight="1">
      <c r="A33" s="3">
        <v>46145.576388888891</v>
      </c>
      <c r="B33" s="5">
        <v>1030</v>
      </c>
      <c r="C33" s="5">
        <v>12232.35</v>
      </c>
      <c r="D33" s="6">
        <f t="shared" si="0"/>
        <v>454.02541816133646</v>
      </c>
      <c r="E33" s="7">
        <f t="shared" si="1"/>
        <v>428.35000000000036</v>
      </c>
      <c r="F33" s="8">
        <f t="shared" si="2"/>
        <v>-25.675418161336097</v>
      </c>
      <c r="G33" s="5">
        <v>34.69</v>
      </c>
      <c r="H33" s="5">
        <v>1.778</v>
      </c>
      <c r="I33" s="5">
        <v>48.5</v>
      </c>
    </row>
    <row r="34" spans="1:9" ht="15.75" customHeight="1">
      <c r="A34" s="3">
        <v>46145.569444444445</v>
      </c>
      <c r="B34" s="5">
        <v>1034</v>
      </c>
      <c r="C34" s="5">
        <v>11804</v>
      </c>
      <c r="D34" s="6">
        <f t="shared" si="0"/>
        <v>455.78862366875921</v>
      </c>
      <c r="E34" s="7">
        <f t="shared" si="1"/>
        <v>430</v>
      </c>
      <c r="F34" s="8">
        <f t="shared" si="2"/>
        <v>-25.788623668759215</v>
      </c>
      <c r="G34" s="5">
        <v>34.25</v>
      </c>
      <c r="H34" s="5">
        <v>3.6669999999999998</v>
      </c>
      <c r="I34" s="5">
        <v>48.5</v>
      </c>
    </row>
    <row r="35" spans="1:9" ht="15.75" customHeight="1">
      <c r="A35" s="3">
        <v>46145.5625</v>
      </c>
      <c r="B35" s="5">
        <v>1038</v>
      </c>
      <c r="C35" s="5">
        <v>11374</v>
      </c>
      <c r="D35" s="6">
        <f t="shared" si="0"/>
        <v>457.04579255769767</v>
      </c>
      <c r="E35" s="7">
        <f t="shared" si="1"/>
        <v>430</v>
      </c>
      <c r="F35" s="8">
        <f t="shared" si="2"/>
        <v>-27.045792557697666</v>
      </c>
      <c r="G35" s="5">
        <v>33.94</v>
      </c>
      <c r="H35" s="5">
        <v>2.556</v>
      </c>
      <c r="I35" s="5">
        <v>48.79</v>
      </c>
    </row>
    <row r="36" spans="1:9" ht="15.75" customHeight="1">
      <c r="A36" s="3">
        <v>46145.555555555555</v>
      </c>
      <c r="B36" s="5">
        <v>1048</v>
      </c>
      <c r="C36" s="5">
        <v>10944</v>
      </c>
      <c r="D36" s="6">
        <f t="shared" si="0"/>
        <v>460.44472539936811</v>
      </c>
      <c r="E36" s="7">
        <f t="shared" si="1"/>
        <v>428</v>
      </c>
      <c r="F36" s="8">
        <f t="shared" si="2"/>
        <v>-32.44472539936811</v>
      </c>
      <c r="G36" s="5">
        <v>33.880000000000003</v>
      </c>
      <c r="H36" s="5">
        <v>2.222</v>
      </c>
      <c r="I36" s="5">
        <v>49.36</v>
      </c>
    </row>
    <row r="37" spans="1:9" ht="15.75" customHeight="1">
      <c r="A37" s="3">
        <v>46145.548611111109</v>
      </c>
      <c r="B37" s="5">
        <v>1049</v>
      </c>
      <c r="C37" s="5">
        <v>10516</v>
      </c>
      <c r="D37" s="6">
        <f t="shared" si="0"/>
        <v>461.37784583837674</v>
      </c>
      <c r="E37" s="7">
        <f t="shared" si="1"/>
        <v>431</v>
      </c>
      <c r="F37" s="8">
        <f t="shared" si="2"/>
        <v>-30.377845838376743</v>
      </c>
      <c r="G37" s="5">
        <v>34.130000000000003</v>
      </c>
      <c r="H37" s="5">
        <v>2.444</v>
      </c>
      <c r="I37" s="5">
        <v>49.08</v>
      </c>
    </row>
    <row r="38" spans="1:9" ht="15.75" customHeight="1">
      <c r="A38" s="3">
        <v>46145.541666666664</v>
      </c>
      <c r="B38" s="5">
        <v>1058</v>
      </c>
      <c r="C38" s="5">
        <v>10085</v>
      </c>
      <c r="D38" s="6">
        <f t="shared" si="0"/>
        <v>465.85206987094813</v>
      </c>
      <c r="E38" s="7">
        <f t="shared" si="1"/>
        <v>434.64700000000084</v>
      </c>
      <c r="F38" s="8">
        <f t="shared" si="2"/>
        <v>-31.205069870947284</v>
      </c>
      <c r="G38" s="5">
        <v>33.25</v>
      </c>
      <c r="H38" s="5">
        <v>1.333</v>
      </c>
      <c r="I38" s="5">
        <v>48.79</v>
      </c>
    </row>
    <row r="39" spans="1:9" ht="15.75" customHeight="1">
      <c r="A39" s="3">
        <v>46145.534722222219</v>
      </c>
      <c r="B39" s="5">
        <v>1066</v>
      </c>
      <c r="C39" s="5">
        <v>9650.3529999999992</v>
      </c>
      <c r="D39" s="6">
        <f t="shared" si="0"/>
        <v>469.37458079624838</v>
      </c>
      <c r="E39" s="7">
        <f t="shared" si="1"/>
        <v>434.35299999999916</v>
      </c>
      <c r="F39" s="8">
        <f t="shared" si="2"/>
        <v>-35.021580796249225</v>
      </c>
      <c r="G39" s="5">
        <v>33.06</v>
      </c>
      <c r="H39" s="5">
        <v>0.44400000000000001</v>
      </c>
      <c r="I39" s="5">
        <v>48.79</v>
      </c>
    </row>
    <row r="40" spans="1:9" ht="15.75" customHeight="1">
      <c r="A40" s="3">
        <v>46145.527777777781</v>
      </c>
      <c r="B40" s="5">
        <v>1068</v>
      </c>
      <c r="C40" s="5">
        <v>9216</v>
      </c>
      <c r="D40" s="6">
        <f t="shared" si="0"/>
        <v>469.73454657329489</v>
      </c>
      <c r="E40" s="7">
        <f t="shared" si="1"/>
        <v>433</v>
      </c>
      <c r="F40" s="8">
        <f t="shared" si="2"/>
        <v>-36.734546573294892</v>
      </c>
      <c r="G40" s="5">
        <v>33.630000000000003</v>
      </c>
      <c r="H40" s="5">
        <v>3</v>
      </c>
      <c r="I40" s="5">
        <v>49.08</v>
      </c>
    </row>
    <row r="41" spans="1:9" ht="15.75" customHeight="1">
      <c r="A41" s="3">
        <v>46145.520833333336</v>
      </c>
      <c r="B41" s="5">
        <v>1064</v>
      </c>
      <c r="C41" s="5">
        <v>8783</v>
      </c>
      <c r="D41" s="6">
        <f t="shared" si="0"/>
        <v>467.97524115541745</v>
      </c>
      <c r="E41" s="7">
        <f t="shared" si="1"/>
        <v>434.64700000000084</v>
      </c>
      <c r="F41" s="8">
        <f t="shared" si="2"/>
        <v>-33.328241155416606</v>
      </c>
      <c r="G41" s="5">
        <v>32.69</v>
      </c>
      <c r="H41" s="5">
        <v>3.778</v>
      </c>
      <c r="I41" s="5">
        <v>49.08</v>
      </c>
    </row>
    <row r="42" spans="1:9" ht="15.75" customHeight="1">
      <c r="A42" s="3">
        <v>46145.513888888891</v>
      </c>
      <c r="B42" s="5">
        <v>1060</v>
      </c>
      <c r="C42" s="5">
        <v>8348.3529999999992</v>
      </c>
      <c r="D42" s="6">
        <f t="shared" si="0"/>
        <v>466.21593573753984</v>
      </c>
      <c r="E42" s="7">
        <f t="shared" si="1"/>
        <v>432.35299999999916</v>
      </c>
      <c r="F42" s="8">
        <f t="shared" si="2"/>
        <v>-33.862935737540681</v>
      </c>
      <c r="G42" s="5">
        <v>32</v>
      </c>
      <c r="H42" s="5">
        <v>1.778</v>
      </c>
      <c r="I42" s="5">
        <v>49.08</v>
      </c>
    </row>
    <row r="43" spans="1:9" ht="15.75" customHeight="1">
      <c r="A43" s="3">
        <v>46145.506944444445</v>
      </c>
      <c r="B43" s="5">
        <v>1052</v>
      </c>
      <c r="C43" s="5">
        <v>7916</v>
      </c>
      <c r="D43" s="6">
        <f t="shared" si="0"/>
        <v>461.68928624020811</v>
      </c>
      <c r="E43" s="7">
        <f t="shared" si="1"/>
        <v>433</v>
      </c>
      <c r="F43" s="8">
        <f t="shared" si="2"/>
        <v>-28.689286240208105</v>
      </c>
      <c r="G43" s="5">
        <v>32.31</v>
      </c>
      <c r="H43" s="5">
        <v>1</v>
      </c>
      <c r="I43" s="5">
        <v>49.65</v>
      </c>
    </row>
    <row r="44" spans="1:9" ht="15.75" customHeight="1">
      <c r="A44" s="3">
        <v>46145.5</v>
      </c>
      <c r="B44" s="5">
        <v>1042</v>
      </c>
      <c r="C44" s="5">
        <v>7483</v>
      </c>
      <c r="D44" s="6">
        <f t="shared" si="0"/>
        <v>457.80859147532601</v>
      </c>
      <c r="E44" s="7">
        <f t="shared" si="1"/>
        <v>428.64699999999993</v>
      </c>
      <c r="F44" s="8">
        <f t="shared" si="2"/>
        <v>-29.161591475326077</v>
      </c>
      <c r="G44" s="5">
        <v>31.63</v>
      </c>
      <c r="H44" s="5">
        <v>1.333</v>
      </c>
      <c r="I44" s="5">
        <v>49.36</v>
      </c>
    </row>
    <row r="45" spans="1:9" ht="15.75" customHeight="1">
      <c r="A45" s="3">
        <v>46145.493055555555</v>
      </c>
      <c r="B45" s="5">
        <v>1023</v>
      </c>
      <c r="C45" s="5">
        <v>7054.3530000000001</v>
      </c>
      <c r="D45" s="6">
        <f t="shared" si="0"/>
        <v>448.96211009860536</v>
      </c>
      <c r="E45" s="7">
        <f t="shared" si="1"/>
        <v>428.35300000000007</v>
      </c>
      <c r="F45" s="8">
        <f t="shared" si="2"/>
        <v>-20.609110098605299</v>
      </c>
      <c r="G45" s="5">
        <v>31.25</v>
      </c>
      <c r="H45" s="5">
        <v>1.778</v>
      </c>
      <c r="I45" s="5">
        <v>49.65</v>
      </c>
    </row>
    <row r="46" spans="1:9" ht="15.75" customHeight="1">
      <c r="A46" s="3">
        <v>46145.486111111109</v>
      </c>
      <c r="B46" s="5">
        <v>1010</v>
      </c>
      <c r="C46" s="5">
        <v>6626</v>
      </c>
      <c r="D46" s="6">
        <f t="shared" si="0"/>
        <v>443.25682424202495</v>
      </c>
      <c r="E46" s="7">
        <f t="shared" si="1"/>
        <v>421.64699999999993</v>
      </c>
      <c r="F46" s="8">
        <f t="shared" si="2"/>
        <v>-21.609824242025013</v>
      </c>
      <c r="G46" s="5">
        <v>31.37</v>
      </c>
      <c r="H46" s="5">
        <v>2.222</v>
      </c>
      <c r="I46" s="5">
        <v>49.65</v>
      </c>
    </row>
    <row r="47" spans="1:9" ht="15.75" customHeight="1">
      <c r="A47" s="3">
        <v>46145.479166666664</v>
      </c>
      <c r="B47" s="5">
        <v>997</v>
      </c>
      <c r="C47" s="5">
        <v>6204.3530000000001</v>
      </c>
      <c r="D47" s="6">
        <f t="shared" si="0"/>
        <v>438.03758704500962</v>
      </c>
      <c r="E47" s="7">
        <f t="shared" si="1"/>
        <v>418.35300000000007</v>
      </c>
      <c r="F47" s="8">
        <f t="shared" si="2"/>
        <v>-19.68458704500955</v>
      </c>
      <c r="G47" s="5">
        <v>30.69</v>
      </c>
      <c r="H47" s="5">
        <v>2</v>
      </c>
      <c r="I47" s="5">
        <v>49.36</v>
      </c>
    </row>
    <row r="48" spans="1:9" ht="15.75" customHeight="1">
      <c r="A48" s="3">
        <v>46145.472222222219</v>
      </c>
      <c r="B48" s="5">
        <v>981</v>
      </c>
      <c r="C48" s="5">
        <v>5786</v>
      </c>
      <c r="D48" s="6">
        <f t="shared" si="0"/>
        <v>431.00789658089707</v>
      </c>
      <c r="E48" s="7">
        <f t="shared" si="1"/>
        <v>413</v>
      </c>
      <c r="F48" s="8">
        <f t="shared" si="2"/>
        <v>-18.007896580897068</v>
      </c>
      <c r="G48" s="5">
        <v>30.37</v>
      </c>
      <c r="H48" s="5">
        <v>2.6669999999999998</v>
      </c>
      <c r="I48" s="5">
        <v>49.36</v>
      </c>
    </row>
    <row r="49" spans="1:9" ht="15.75" customHeight="1">
      <c r="A49" s="3">
        <v>46145.465277777781</v>
      </c>
      <c r="B49" s="5">
        <v>960</v>
      </c>
      <c r="C49" s="5">
        <v>5373</v>
      </c>
      <c r="D49" s="6">
        <f t="shared" si="0"/>
        <v>421.78142784674941</v>
      </c>
      <c r="E49" s="7">
        <f t="shared" si="1"/>
        <v>406.64699999999993</v>
      </c>
      <c r="F49" s="8">
        <f t="shared" si="2"/>
        <v>-15.134427846749475</v>
      </c>
      <c r="G49" s="5">
        <v>30.25</v>
      </c>
      <c r="H49" s="5">
        <v>2.3330000000000002</v>
      </c>
      <c r="I49" s="5">
        <v>49.36</v>
      </c>
    </row>
    <row r="50" spans="1:9" ht="15.75" customHeight="1">
      <c r="A50" s="3">
        <v>46145.458333333336</v>
      </c>
      <c r="B50" s="5">
        <v>936</v>
      </c>
      <c r="C50" s="5">
        <v>4966.3530000000001</v>
      </c>
      <c r="D50" s="6">
        <f t="shared" si="0"/>
        <v>411.23689215058067</v>
      </c>
      <c r="E50" s="7">
        <f t="shared" si="1"/>
        <v>397</v>
      </c>
      <c r="F50" s="8">
        <f t="shared" si="2"/>
        <v>-14.236892150580672</v>
      </c>
      <c r="G50" s="5">
        <v>30.13</v>
      </c>
      <c r="H50" s="5">
        <v>2.778</v>
      </c>
      <c r="I50" s="5">
        <v>49.36</v>
      </c>
    </row>
    <row r="51" spans="1:9" ht="15.75" customHeight="1">
      <c r="A51" s="3">
        <v>46145.451388888891</v>
      </c>
      <c r="B51" s="5">
        <v>905</v>
      </c>
      <c r="C51" s="5">
        <v>4569.3530000000001</v>
      </c>
      <c r="D51" s="6">
        <f t="shared" si="0"/>
        <v>397.61686687636279</v>
      </c>
      <c r="E51" s="7">
        <f t="shared" si="1"/>
        <v>385.35300000000007</v>
      </c>
      <c r="F51" s="8">
        <f t="shared" si="2"/>
        <v>-12.263866876362727</v>
      </c>
      <c r="G51" s="5">
        <v>29.81</v>
      </c>
      <c r="H51" s="5">
        <v>3.556</v>
      </c>
      <c r="I51" s="5">
        <v>49.36</v>
      </c>
    </row>
    <row r="52" spans="1:9" ht="15.75" customHeight="1">
      <c r="A52" s="3">
        <v>46145.444444444445</v>
      </c>
      <c r="B52" s="5">
        <v>873</v>
      </c>
      <c r="C52" s="5">
        <v>4184</v>
      </c>
      <c r="D52" s="6">
        <f t="shared" si="0"/>
        <v>383.55748594813775</v>
      </c>
      <c r="E52" s="7">
        <f t="shared" si="1"/>
        <v>372.64699999999993</v>
      </c>
      <c r="F52" s="8">
        <f t="shared" si="2"/>
        <v>-10.910485948137818</v>
      </c>
      <c r="G52" s="5">
        <v>30</v>
      </c>
      <c r="H52" s="5">
        <v>3.556</v>
      </c>
      <c r="I52" s="5">
        <v>49.36</v>
      </c>
    </row>
    <row r="53" spans="1:9" ht="15.75" customHeight="1">
      <c r="A53" s="3">
        <v>46145.4375</v>
      </c>
      <c r="B53" s="5">
        <v>839</v>
      </c>
      <c r="C53" s="5">
        <v>3811.3530000000001</v>
      </c>
      <c r="D53" s="6">
        <f t="shared" si="0"/>
        <v>368.61939371189874</v>
      </c>
      <c r="E53" s="7">
        <f t="shared" si="1"/>
        <v>361</v>
      </c>
      <c r="F53" s="8">
        <f t="shared" si="2"/>
        <v>-7.6193937118987378</v>
      </c>
      <c r="G53" s="5">
        <v>29.13</v>
      </c>
      <c r="H53" s="5">
        <v>2.778</v>
      </c>
      <c r="I53" s="5">
        <v>49.36</v>
      </c>
    </row>
    <row r="54" spans="1:9" ht="15.75" customHeight="1">
      <c r="A54" s="3">
        <v>46145.430555555555</v>
      </c>
      <c r="B54" s="5">
        <v>810</v>
      </c>
      <c r="C54" s="5">
        <v>3450.3530000000001</v>
      </c>
      <c r="D54" s="6">
        <f t="shared" si="0"/>
        <v>355.87807974569489</v>
      </c>
      <c r="E54" s="7">
        <f t="shared" si="1"/>
        <v>347.35300000000007</v>
      </c>
      <c r="F54" s="8">
        <f t="shared" si="2"/>
        <v>-8.5250797456948249</v>
      </c>
      <c r="G54" s="5">
        <v>28.94</v>
      </c>
      <c r="H54" s="5">
        <v>2.6669999999999998</v>
      </c>
      <c r="I54" s="5">
        <v>49.36</v>
      </c>
    </row>
    <row r="55" spans="1:9" ht="15.75" customHeight="1">
      <c r="A55" s="3">
        <v>46145.423611111109</v>
      </c>
      <c r="B55" s="5">
        <v>774</v>
      </c>
      <c r="C55" s="5">
        <v>3103</v>
      </c>
      <c r="D55" s="6">
        <f t="shared" si="0"/>
        <v>340.06127620144184</v>
      </c>
      <c r="E55" s="7">
        <f t="shared" si="1"/>
        <v>332</v>
      </c>
      <c r="F55" s="8">
        <f t="shared" si="2"/>
        <v>-8.0612762014418422</v>
      </c>
      <c r="G55" s="5">
        <v>28.75</v>
      </c>
      <c r="H55" s="5">
        <v>3.444</v>
      </c>
      <c r="I55" s="5">
        <v>49.36</v>
      </c>
    </row>
    <row r="56" spans="1:9" ht="15.75" customHeight="1">
      <c r="A56" s="3">
        <v>46145.416666666664</v>
      </c>
      <c r="B56" s="5">
        <v>733</v>
      </c>
      <c r="C56" s="5">
        <v>2771</v>
      </c>
      <c r="D56" s="6">
        <f t="shared" si="0"/>
        <v>322.04769438715351</v>
      </c>
      <c r="E56" s="7">
        <f t="shared" si="1"/>
        <v>318</v>
      </c>
      <c r="F56" s="8">
        <f t="shared" si="2"/>
        <v>-4.0476943871535127</v>
      </c>
      <c r="G56" s="5">
        <v>28.25</v>
      </c>
      <c r="H56" s="5">
        <v>2</v>
      </c>
      <c r="I56" s="5">
        <v>49.36</v>
      </c>
    </row>
    <row r="57" spans="1:9" ht="15.75" customHeight="1">
      <c r="A57" s="3">
        <v>46145.409722222219</v>
      </c>
      <c r="B57" s="5">
        <v>697</v>
      </c>
      <c r="C57" s="5">
        <v>2453</v>
      </c>
      <c r="D57" s="6">
        <f t="shared" si="0"/>
        <v>305.89109554127856</v>
      </c>
      <c r="E57" s="7">
        <f t="shared" si="1"/>
        <v>304</v>
      </c>
      <c r="F57" s="8">
        <f t="shared" si="2"/>
        <v>-1.8910955412785597</v>
      </c>
      <c r="G57" s="5">
        <v>28.25</v>
      </c>
      <c r="H57" s="5">
        <v>1.778</v>
      </c>
      <c r="I57" s="5">
        <v>49.65</v>
      </c>
    </row>
    <row r="58" spans="1:9" ht="15.75" customHeight="1">
      <c r="A58" s="3">
        <v>46145.402777777781</v>
      </c>
      <c r="B58" s="5">
        <v>659</v>
      </c>
      <c r="C58" s="5">
        <v>2149</v>
      </c>
      <c r="D58" s="6">
        <f t="shared" si="0"/>
        <v>289.53537599063327</v>
      </c>
      <c r="E58" s="7">
        <f t="shared" si="1"/>
        <v>286</v>
      </c>
      <c r="F58" s="8">
        <f t="shared" si="2"/>
        <v>-3.5353759906332698</v>
      </c>
      <c r="G58" s="5">
        <v>27.5</v>
      </c>
      <c r="H58" s="5">
        <v>1.222</v>
      </c>
      <c r="I58" s="5">
        <v>49.36</v>
      </c>
    </row>
    <row r="59" spans="1:9" ht="15.75" customHeight="1">
      <c r="A59" s="3">
        <v>46145.395833333336</v>
      </c>
      <c r="B59" s="5">
        <v>617</v>
      </c>
      <c r="C59" s="5">
        <v>1863</v>
      </c>
      <c r="D59" s="6">
        <f t="shared" si="0"/>
        <v>271.37286070760575</v>
      </c>
      <c r="E59" s="7">
        <f t="shared" si="1"/>
        <v>268</v>
      </c>
      <c r="F59" s="8">
        <f t="shared" si="2"/>
        <v>-3.3728607076057529</v>
      </c>
      <c r="G59" s="5">
        <v>26.63</v>
      </c>
      <c r="H59" s="5">
        <v>1.333</v>
      </c>
      <c r="I59" s="5">
        <v>49.08</v>
      </c>
    </row>
    <row r="60" spans="1:9" ht="15.75" customHeight="1">
      <c r="A60" s="3">
        <v>46145.388888888891</v>
      </c>
      <c r="B60" s="5">
        <v>570</v>
      </c>
      <c r="C60" s="5">
        <v>1595</v>
      </c>
      <c r="D60" s="6">
        <f t="shared" si="0"/>
        <v>251.25678480772984</v>
      </c>
      <c r="E60" s="7">
        <f t="shared" si="1"/>
        <v>250</v>
      </c>
      <c r="F60" s="8">
        <f t="shared" si="2"/>
        <v>-1.2567848077298436</v>
      </c>
      <c r="G60" s="5">
        <v>26.44</v>
      </c>
      <c r="H60" s="5">
        <v>0.55600000000000005</v>
      </c>
      <c r="I60" s="5">
        <v>48.5</v>
      </c>
    </row>
    <row r="61" spans="1:9" ht="15.75" customHeight="1">
      <c r="A61" s="3">
        <v>46145.381944444445</v>
      </c>
      <c r="B61" s="5">
        <v>528</v>
      </c>
      <c r="C61" s="5">
        <v>1345</v>
      </c>
      <c r="D61" s="6">
        <f t="shared" si="0"/>
        <v>232.99165682391089</v>
      </c>
      <c r="E61" s="7">
        <f t="shared" si="1"/>
        <v>230.64699999999993</v>
      </c>
      <c r="F61" s="8">
        <f t="shared" si="2"/>
        <v>-2.3446568239109524</v>
      </c>
      <c r="G61" s="5">
        <v>26.18</v>
      </c>
      <c r="H61" s="5">
        <v>1.111</v>
      </c>
      <c r="I61" s="5">
        <v>48.22</v>
      </c>
    </row>
    <row r="62" spans="1:9" ht="15.75" customHeight="1">
      <c r="A62" s="3">
        <v>46145.375</v>
      </c>
      <c r="B62" s="5">
        <v>484</v>
      </c>
      <c r="C62" s="5">
        <v>1114.3530000000001</v>
      </c>
      <c r="D62" s="6">
        <f t="shared" si="0"/>
        <v>214.28355167436436</v>
      </c>
      <c r="E62" s="7">
        <f t="shared" si="1"/>
        <v>209.35300000000007</v>
      </c>
      <c r="F62" s="8">
        <f t="shared" si="2"/>
        <v>-4.9305516743642954</v>
      </c>
      <c r="G62" s="5">
        <v>25.38</v>
      </c>
      <c r="H62" s="5">
        <v>0.44400000000000001</v>
      </c>
      <c r="I62" s="5">
        <v>47.35</v>
      </c>
    </row>
    <row r="63" spans="1:9" ht="15.75" customHeight="1">
      <c r="A63" s="3">
        <v>46145.368055555555</v>
      </c>
      <c r="B63" s="5">
        <v>438</v>
      </c>
      <c r="C63" s="5">
        <v>905</v>
      </c>
      <c r="D63" s="6">
        <f t="shared" si="0"/>
        <v>193.70422967048444</v>
      </c>
      <c r="E63" s="7">
        <f t="shared" si="1"/>
        <v>188.64700000000005</v>
      </c>
      <c r="F63" s="8">
        <f t="shared" si="2"/>
        <v>-5.0572296704843893</v>
      </c>
      <c r="G63" s="5">
        <v>25.18</v>
      </c>
      <c r="H63" s="5">
        <v>0.55600000000000005</v>
      </c>
      <c r="I63" s="5">
        <v>47.64</v>
      </c>
    </row>
    <row r="64" spans="1:9" ht="15.75" customHeight="1">
      <c r="A64" s="3">
        <v>46145.361111111109</v>
      </c>
      <c r="B64" s="5">
        <v>393</v>
      </c>
      <c r="C64" s="5">
        <v>716.35299999999995</v>
      </c>
      <c r="D64" s="6">
        <f t="shared" si="0"/>
        <v>175.89080122014423</v>
      </c>
      <c r="E64" s="7">
        <f t="shared" si="1"/>
        <v>166.35299999999995</v>
      </c>
      <c r="F64" s="8">
        <f t="shared" si="2"/>
        <v>-9.5378012201442743</v>
      </c>
      <c r="G64" s="5">
        <v>24</v>
      </c>
      <c r="H64" s="5">
        <v>0.44400000000000001</v>
      </c>
      <c r="I64" s="5">
        <v>44.48</v>
      </c>
    </row>
    <row r="65" spans="1:26" ht="15.75" customHeight="1">
      <c r="A65" s="3">
        <v>46145.354166666664</v>
      </c>
      <c r="B65" s="5">
        <v>344</v>
      </c>
      <c r="C65" s="5">
        <v>550</v>
      </c>
      <c r="D65" s="6">
        <f t="shared" si="0"/>
        <v>156.27933542816766</v>
      </c>
      <c r="E65" s="7">
        <f t="shared" si="1"/>
        <v>142</v>
      </c>
      <c r="F65" s="8">
        <f t="shared" si="2"/>
        <v>-14.279335428167656</v>
      </c>
      <c r="G65" s="5">
        <v>22.63</v>
      </c>
      <c r="H65" s="5">
        <v>0.44400000000000001</v>
      </c>
      <c r="I65" s="5">
        <v>40.47</v>
      </c>
    </row>
    <row r="66" spans="1:26" ht="15.75" customHeight="1">
      <c r="A66" s="3">
        <v>46145.347222222219</v>
      </c>
      <c r="B66" s="5">
        <v>301</v>
      </c>
      <c r="C66" s="5">
        <v>408</v>
      </c>
      <c r="D66" s="6">
        <f t="shared" si="0"/>
        <v>138.92529141681388</v>
      </c>
      <c r="E66" s="7">
        <f t="shared" si="1"/>
        <v>119</v>
      </c>
      <c r="F66" s="8">
        <f t="shared" si="2"/>
        <v>-19.925291416813877</v>
      </c>
      <c r="G66" s="5">
        <v>20.75</v>
      </c>
      <c r="H66" s="5">
        <v>0.44400000000000001</v>
      </c>
      <c r="I66" s="5">
        <v>36.159999999999997</v>
      </c>
    </row>
    <row r="67" spans="1:26" ht="15.75" customHeight="1">
      <c r="A67" s="3">
        <v>46145.340277777781</v>
      </c>
      <c r="B67" s="5">
        <v>251</v>
      </c>
      <c r="C67" s="5">
        <v>289</v>
      </c>
      <c r="D67" s="6">
        <f t="shared" si="0"/>
        <v>118.63286614780016</v>
      </c>
      <c r="E67" s="7">
        <f t="shared" si="1"/>
        <v>96.646999999999991</v>
      </c>
      <c r="F67" s="8">
        <f t="shared" si="2"/>
        <v>-21.985866147800166</v>
      </c>
      <c r="G67" s="5">
        <v>19.440000000000001</v>
      </c>
      <c r="H67" s="5">
        <v>0.66700000000000004</v>
      </c>
      <c r="I67" s="5">
        <v>29.56</v>
      </c>
    </row>
    <row r="68" spans="1:26" ht="15.75" customHeight="1">
      <c r="A68" s="3">
        <v>46145.333333333336</v>
      </c>
      <c r="B68" s="5">
        <v>205</v>
      </c>
      <c r="C68" s="5">
        <v>192.35300000000001</v>
      </c>
      <c r="D68" s="6">
        <f t="shared" si="0"/>
        <v>98.473190416832963</v>
      </c>
      <c r="E68" s="7">
        <f t="shared" si="1"/>
        <v>74.000000000000014</v>
      </c>
      <c r="F68" s="8">
        <f t="shared" si="2"/>
        <v>-24.473190416832949</v>
      </c>
      <c r="G68" s="5">
        <v>18</v>
      </c>
      <c r="H68" s="5">
        <v>0.44400000000000001</v>
      </c>
      <c r="I68" s="5">
        <v>24.97</v>
      </c>
    </row>
    <row r="69" spans="1:26" ht="15.75" customHeight="1">
      <c r="A69" s="3">
        <v>46145.326388888891</v>
      </c>
      <c r="B69" s="5">
        <v>159</v>
      </c>
      <c r="C69" s="5">
        <v>118.35299999999999</v>
      </c>
      <c r="D69" s="6">
        <f t="shared" si="0"/>
        <v>77.373761212790924</v>
      </c>
      <c r="E69" s="7">
        <f t="shared" si="1"/>
        <v>53.352999999999994</v>
      </c>
      <c r="F69" s="8">
        <f t="shared" si="2"/>
        <v>-24.02076121279093</v>
      </c>
      <c r="G69" s="5">
        <v>16.75</v>
      </c>
      <c r="H69" s="5">
        <v>0.44400000000000001</v>
      </c>
      <c r="I69" s="5">
        <v>21.24</v>
      </c>
    </row>
    <row r="70" spans="1:26" ht="15.75" customHeight="1">
      <c r="A70" s="3">
        <v>46145.319444444445</v>
      </c>
      <c r="B70" s="5">
        <v>114</v>
      </c>
      <c r="C70" s="5">
        <v>65</v>
      </c>
      <c r="D70" s="6">
        <f t="shared" si="0"/>
        <v>56.025540397535998</v>
      </c>
      <c r="E70" s="7">
        <f t="shared" si="1"/>
        <v>34</v>
      </c>
      <c r="F70" s="8">
        <f t="shared" si="2"/>
        <v>-22.025540397535998</v>
      </c>
      <c r="G70" s="5">
        <v>15.88</v>
      </c>
      <c r="H70" s="5">
        <v>0.44400000000000001</v>
      </c>
      <c r="I70" s="5">
        <v>18.37</v>
      </c>
    </row>
    <row r="71" spans="1:26" ht="15.75" customHeight="1">
      <c r="A71" s="3">
        <v>46145.3125</v>
      </c>
      <c r="B71" s="5">
        <v>74</v>
      </c>
      <c r="C71" s="5">
        <v>31</v>
      </c>
      <c r="D71" s="6">
        <f t="shared" si="0"/>
        <v>36.581423029121481</v>
      </c>
      <c r="E71" s="7">
        <f t="shared" si="1"/>
        <v>20</v>
      </c>
      <c r="F71" s="8">
        <f t="shared" si="2"/>
        <v>-16.581423029121481</v>
      </c>
      <c r="G71" s="5">
        <v>15.88</v>
      </c>
      <c r="H71" s="5">
        <v>0.44400000000000001</v>
      </c>
      <c r="I71" s="5">
        <v>16.649999999999999</v>
      </c>
    </row>
    <row r="72" spans="1:26" ht="15.75" customHeight="1">
      <c r="A72" s="3">
        <v>46145.305555555555</v>
      </c>
      <c r="B72" s="5">
        <v>22</v>
      </c>
      <c r="C72" s="5">
        <v>11</v>
      </c>
      <c r="D72" s="6">
        <f t="shared" si="0"/>
        <v>10.897008690345288</v>
      </c>
      <c r="E72" s="7">
        <f t="shared" si="1"/>
        <v>9</v>
      </c>
      <c r="F72" s="8">
        <f t="shared" si="2"/>
        <v>-1.8970086903452881</v>
      </c>
      <c r="G72" s="5">
        <v>15.5</v>
      </c>
      <c r="H72" s="5">
        <v>0.44400000000000001</v>
      </c>
      <c r="I72" s="5">
        <v>16.07</v>
      </c>
    </row>
    <row r="73" spans="1:26" ht="15.75" customHeight="1">
      <c r="A73" s="3">
        <v>46145.298611111109</v>
      </c>
      <c r="B73" s="5">
        <v>10</v>
      </c>
      <c r="C73" s="5">
        <v>2</v>
      </c>
      <c r="D73" s="6">
        <f t="shared" si="0"/>
        <v>4.9627678848936796</v>
      </c>
      <c r="E73" s="7">
        <f t="shared" si="1"/>
        <v>2</v>
      </c>
      <c r="F73" s="8">
        <f t="shared" si="2"/>
        <v>-2.9627678848936796</v>
      </c>
      <c r="G73" s="5">
        <v>15.5</v>
      </c>
      <c r="H73" s="5">
        <v>0.44400000000000001</v>
      </c>
      <c r="I73" s="5">
        <v>15.5</v>
      </c>
    </row>
    <row r="74" spans="1:26" ht="15.75" customHeight="1">
      <c r="A74" s="3">
        <v>46145.291666666664</v>
      </c>
      <c r="B74" s="5">
        <v>0</v>
      </c>
      <c r="C74" s="5">
        <v>0</v>
      </c>
      <c r="D74" s="6">
        <f t="shared" si="0"/>
        <v>0</v>
      </c>
      <c r="E74" s="7">
        <f t="shared" si="1"/>
        <v>0</v>
      </c>
      <c r="F74" s="8">
        <f t="shared" si="2"/>
        <v>0</v>
      </c>
      <c r="G74" s="5">
        <v>15.63</v>
      </c>
      <c r="H74" s="5">
        <v>0.44400000000000001</v>
      </c>
      <c r="I74" s="5">
        <v>15.5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7.4954999999999998</v>
      </c>
      <c r="C76" s="11"/>
      <c r="D76" s="16">
        <f>SUM(D2:D75)</f>
        <v>19832.923419080318</v>
      </c>
      <c r="E76" s="15">
        <f>SUM(E1:E74)</f>
        <v>19212</v>
      </c>
      <c r="F76" s="11"/>
      <c r="G76" s="17">
        <f t="shared" ref="G76:I76" si="3">AVERAGE(G1:G74)</f>
        <v>29.805068493150703</v>
      </c>
      <c r="H76" s="17">
        <f t="shared" si="3"/>
        <v>2.2267534246575327</v>
      </c>
      <c r="I76" s="17">
        <f t="shared" si="3"/>
        <v>44.555068493150678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5.0898437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46176.791666666664</v>
      </c>
      <c r="B2" s="4">
        <v>0</v>
      </c>
      <c r="C2" s="5">
        <v>18975</v>
      </c>
      <c r="D2" s="6">
        <f t="shared" ref="D2:D74" si="0">( B2/1000)*(10/60)*3159.1*(1-0.0035*(I2-25))*0.9459*0.9857*0.9784</f>
        <v>0</v>
      </c>
      <c r="E2" s="7">
        <f t="shared" ref="E2:E64" si="1">(C2-C3)</f>
        <v>0</v>
      </c>
      <c r="F2" s="8">
        <f t="shared" ref="F2:F74" si="2">E2-D2</f>
        <v>0</v>
      </c>
      <c r="G2" s="5">
        <v>28.81</v>
      </c>
      <c r="H2" s="5">
        <v>2.6669999999999998</v>
      </c>
      <c r="I2" s="5">
        <v>34.729999999999997</v>
      </c>
    </row>
    <row r="3" spans="1:26" ht="15.75" customHeight="1">
      <c r="A3" s="3">
        <v>46176.784722222219</v>
      </c>
      <c r="B3" s="4">
        <v>0</v>
      </c>
      <c r="C3" s="5">
        <v>18975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5">
        <v>29.25</v>
      </c>
      <c r="H3" s="5">
        <v>1.444</v>
      </c>
      <c r="I3" s="5">
        <v>36.159999999999997</v>
      </c>
    </row>
    <row r="4" spans="1:26" ht="15.75" customHeight="1">
      <c r="A4" s="3">
        <v>46176.777777777781</v>
      </c>
      <c r="B4" s="5">
        <v>1</v>
      </c>
      <c r="C4" s="5">
        <v>18974</v>
      </c>
      <c r="D4" s="6">
        <f t="shared" si="0"/>
        <v>0.45912507342558612</v>
      </c>
      <c r="E4" s="7">
        <f t="shared" si="1"/>
        <v>5</v>
      </c>
      <c r="F4" s="8">
        <f t="shared" si="2"/>
        <v>4.5408749265744142</v>
      </c>
      <c r="G4" s="5">
        <v>29.75</v>
      </c>
      <c r="H4" s="5">
        <v>2.444</v>
      </c>
      <c r="I4" s="5">
        <v>37.6</v>
      </c>
    </row>
    <row r="5" spans="1:26" ht="15.75" customHeight="1">
      <c r="A5" s="3">
        <v>46176.770833333336</v>
      </c>
      <c r="B5" s="5">
        <v>13</v>
      </c>
      <c r="C5" s="5">
        <v>18969</v>
      </c>
      <c r="D5" s="6">
        <f t="shared" si="0"/>
        <v>5.9246995149572061</v>
      </c>
      <c r="E5" s="7">
        <f t="shared" si="1"/>
        <v>11</v>
      </c>
      <c r="F5" s="8">
        <f t="shared" si="2"/>
        <v>5.0753004850427939</v>
      </c>
      <c r="G5" s="5">
        <v>30.5</v>
      </c>
      <c r="H5" s="5">
        <v>2.6669999999999998</v>
      </c>
      <c r="I5" s="5">
        <v>39.61</v>
      </c>
    </row>
    <row r="6" spans="1:26" ht="15.75" customHeight="1">
      <c r="A6" s="3">
        <v>46176.763888888891</v>
      </c>
      <c r="B6" s="5">
        <v>24</v>
      </c>
      <c r="C6" s="5">
        <v>18958</v>
      </c>
      <c r="D6" s="6">
        <f t="shared" si="0"/>
        <v>10.857215289013237</v>
      </c>
      <c r="E6" s="7">
        <f t="shared" si="1"/>
        <v>22</v>
      </c>
      <c r="F6" s="8">
        <f t="shared" si="2"/>
        <v>11.142784710986763</v>
      </c>
      <c r="G6" s="5">
        <v>31.06</v>
      </c>
      <c r="H6" s="5">
        <v>3</v>
      </c>
      <c r="I6" s="5">
        <v>41.61</v>
      </c>
    </row>
    <row r="7" spans="1:26" ht="15.75" customHeight="1">
      <c r="A7" s="3">
        <v>46176.756944444445</v>
      </c>
      <c r="B7" s="5">
        <v>36</v>
      </c>
      <c r="C7" s="5">
        <v>18936</v>
      </c>
      <c r="D7" s="6">
        <f t="shared" si="0"/>
        <v>16.164180485464865</v>
      </c>
      <c r="E7" s="7">
        <f t="shared" si="1"/>
        <v>36</v>
      </c>
      <c r="F7" s="8">
        <f t="shared" si="2"/>
        <v>19.835819514535135</v>
      </c>
      <c r="G7" s="5">
        <v>31.56</v>
      </c>
      <c r="H7" s="5">
        <v>3</v>
      </c>
      <c r="I7" s="5">
        <v>43.62</v>
      </c>
    </row>
    <row r="8" spans="1:26" ht="15.75" customHeight="1">
      <c r="A8" s="3">
        <v>46176.75</v>
      </c>
      <c r="B8" s="5">
        <v>48</v>
      </c>
      <c r="C8" s="5">
        <v>18900</v>
      </c>
      <c r="D8" s="6">
        <f t="shared" si="0"/>
        <v>21.366650179275556</v>
      </c>
      <c r="E8" s="7">
        <f t="shared" si="1"/>
        <v>55</v>
      </c>
      <c r="F8" s="8">
        <f t="shared" si="2"/>
        <v>33.633349820724447</v>
      </c>
      <c r="G8" s="5">
        <v>31.81</v>
      </c>
      <c r="H8" s="5">
        <v>0.77800000000000002</v>
      </c>
      <c r="I8" s="5">
        <v>45.92</v>
      </c>
    </row>
    <row r="9" spans="1:26" ht="15.75" customHeight="1">
      <c r="A9" s="3">
        <v>46176.743055555555</v>
      </c>
      <c r="B9" s="5">
        <v>162</v>
      </c>
      <c r="C9" s="5">
        <v>18845</v>
      </c>
      <c r="D9" s="6">
        <f t="shared" si="0"/>
        <v>71.644030152096988</v>
      </c>
      <c r="E9" s="7">
        <f t="shared" si="1"/>
        <v>74</v>
      </c>
      <c r="F9" s="8">
        <f t="shared" si="2"/>
        <v>2.3559698479030118</v>
      </c>
      <c r="G9" s="5">
        <v>32.130000000000003</v>
      </c>
      <c r="H9" s="5">
        <v>3.6669999999999998</v>
      </c>
      <c r="I9" s="5">
        <v>47.64</v>
      </c>
    </row>
    <row r="10" spans="1:26" ht="15.75" customHeight="1">
      <c r="A10" s="3">
        <v>46176.736111111109</v>
      </c>
      <c r="B10" s="5">
        <v>212</v>
      </c>
      <c r="C10" s="5">
        <v>18771</v>
      </c>
      <c r="D10" s="6">
        <f t="shared" si="0"/>
        <v>93.549680391418775</v>
      </c>
      <c r="E10" s="7">
        <f t="shared" si="1"/>
        <v>95.650000000001455</v>
      </c>
      <c r="F10" s="8">
        <f t="shared" si="2"/>
        <v>2.1003196085826801</v>
      </c>
      <c r="G10" s="5">
        <v>32.5</v>
      </c>
      <c r="H10" s="5">
        <v>3.556</v>
      </c>
      <c r="I10" s="5">
        <v>48.22</v>
      </c>
    </row>
    <row r="11" spans="1:26" ht="15.75" customHeight="1">
      <c r="A11" s="3">
        <v>46176.729166666664</v>
      </c>
      <c r="B11" s="5">
        <v>258</v>
      </c>
      <c r="C11" s="5">
        <v>18675.349999999999</v>
      </c>
      <c r="D11" s="6">
        <f t="shared" si="0"/>
        <v>113.72675522876195</v>
      </c>
      <c r="E11" s="7">
        <f t="shared" si="1"/>
        <v>117.34999999999854</v>
      </c>
      <c r="F11" s="8">
        <f t="shared" si="2"/>
        <v>3.6232447712365996</v>
      </c>
      <c r="G11" s="5">
        <v>32.81</v>
      </c>
      <c r="H11" s="5">
        <v>3.556</v>
      </c>
      <c r="I11" s="5">
        <v>48.5</v>
      </c>
    </row>
    <row r="12" spans="1:26" ht="15.75" customHeight="1">
      <c r="A12" s="3">
        <v>46176.722222222219</v>
      </c>
      <c r="B12" s="5">
        <v>306</v>
      </c>
      <c r="C12" s="5">
        <v>18558</v>
      </c>
      <c r="D12" s="6">
        <f t="shared" si="0"/>
        <v>135.02925565931201</v>
      </c>
      <c r="E12" s="7">
        <f t="shared" si="1"/>
        <v>140</v>
      </c>
      <c r="F12" s="8">
        <f t="shared" si="2"/>
        <v>4.9707443406879861</v>
      </c>
      <c r="G12" s="5">
        <v>32.880000000000003</v>
      </c>
      <c r="H12" s="5">
        <v>3.3330000000000002</v>
      </c>
      <c r="I12" s="5">
        <v>48.22</v>
      </c>
    </row>
    <row r="13" spans="1:26" ht="15.75" customHeight="1">
      <c r="A13" s="3">
        <v>46176.715277777781</v>
      </c>
      <c r="B13" s="5">
        <v>352</v>
      </c>
      <c r="C13" s="5">
        <v>18418</v>
      </c>
      <c r="D13" s="6">
        <f t="shared" si="0"/>
        <v>155.3277712159406</v>
      </c>
      <c r="E13" s="7">
        <f t="shared" si="1"/>
        <v>131.65000000000146</v>
      </c>
      <c r="F13" s="8">
        <f t="shared" si="2"/>
        <v>-23.677771215939146</v>
      </c>
      <c r="G13" s="5">
        <v>33.31</v>
      </c>
      <c r="H13" s="5">
        <v>4</v>
      </c>
      <c r="I13" s="5">
        <v>48.22</v>
      </c>
    </row>
    <row r="14" spans="1:26" ht="15.75" customHeight="1">
      <c r="A14" s="3">
        <v>46176.708333333336</v>
      </c>
      <c r="B14" s="5">
        <v>398</v>
      </c>
      <c r="C14" s="5">
        <v>18286.349999999999</v>
      </c>
      <c r="D14" s="6">
        <f t="shared" si="0"/>
        <v>175.43894798855527</v>
      </c>
      <c r="E14" s="7">
        <f t="shared" si="1"/>
        <v>0</v>
      </c>
      <c r="F14" s="8">
        <f t="shared" si="2"/>
        <v>-175.43894798855527</v>
      </c>
      <c r="G14" s="5">
        <v>33.19</v>
      </c>
      <c r="H14" s="5">
        <v>4.1109999999999998</v>
      </c>
      <c r="I14" s="5">
        <v>48.5</v>
      </c>
    </row>
    <row r="15" spans="1:26" ht="15.75" customHeight="1">
      <c r="A15" s="3">
        <v>46176.701388888891</v>
      </c>
      <c r="B15" s="5">
        <v>442</v>
      </c>
      <c r="C15" s="5">
        <v>18286.349999999999</v>
      </c>
      <c r="D15" s="6">
        <f t="shared" si="0"/>
        <v>194.61872862283462</v>
      </c>
      <c r="E15" s="7">
        <f t="shared" si="1"/>
        <v>195.34999999999854</v>
      </c>
      <c r="F15" s="8">
        <f t="shared" si="2"/>
        <v>0.73127137716392099</v>
      </c>
      <c r="G15" s="5">
        <v>33.44</v>
      </c>
      <c r="H15" s="5">
        <v>2.556</v>
      </c>
      <c r="I15" s="5">
        <v>48.79</v>
      </c>
    </row>
    <row r="16" spans="1:26" ht="15.75" customHeight="1">
      <c r="A16" s="3">
        <v>46176.694444444445</v>
      </c>
      <c r="B16" s="5">
        <v>488</v>
      </c>
      <c r="C16" s="5">
        <v>18091</v>
      </c>
      <c r="D16" s="6">
        <f t="shared" si="0"/>
        <v>214.63526098105606</v>
      </c>
      <c r="E16" s="7">
        <f t="shared" si="1"/>
        <v>228</v>
      </c>
      <c r="F16" s="8">
        <f t="shared" si="2"/>
        <v>13.364739018943936</v>
      </c>
      <c r="G16" s="5">
        <v>33.69</v>
      </c>
      <c r="H16" s="5">
        <v>3.1110000000000002</v>
      </c>
      <c r="I16" s="5">
        <v>49.08</v>
      </c>
    </row>
    <row r="17" spans="1:9" ht="15.75" customHeight="1">
      <c r="A17" s="3">
        <v>46176.6875</v>
      </c>
      <c r="B17" s="5">
        <v>528</v>
      </c>
      <c r="C17" s="5">
        <v>17863</v>
      </c>
      <c r="D17" s="6">
        <f t="shared" si="0"/>
        <v>232.48572106981152</v>
      </c>
      <c r="E17" s="7">
        <f t="shared" si="1"/>
        <v>243</v>
      </c>
      <c r="F17" s="8">
        <f t="shared" si="2"/>
        <v>10.514278930188482</v>
      </c>
      <c r="G17" s="5">
        <v>33.5</v>
      </c>
      <c r="H17" s="5">
        <v>2.222</v>
      </c>
      <c r="I17" s="5">
        <v>48.79</v>
      </c>
    </row>
    <row r="18" spans="1:9" ht="15.75" customHeight="1">
      <c r="A18" s="3">
        <v>46176.680555555555</v>
      </c>
      <c r="B18" s="5">
        <v>571</v>
      </c>
      <c r="C18" s="5">
        <v>17620</v>
      </c>
      <c r="D18" s="6">
        <f t="shared" si="0"/>
        <v>251.14084840201437</v>
      </c>
      <c r="E18" s="7">
        <f t="shared" si="1"/>
        <v>262.65000000000146</v>
      </c>
      <c r="F18" s="8">
        <f t="shared" si="2"/>
        <v>11.509151597987085</v>
      </c>
      <c r="G18" s="5">
        <v>34.56</v>
      </c>
      <c r="H18" s="5">
        <v>3.1110000000000002</v>
      </c>
      <c r="I18" s="5">
        <v>49.08</v>
      </c>
    </row>
    <row r="19" spans="1:9" ht="15.75" customHeight="1">
      <c r="A19" s="3">
        <v>46176.673611111109</v>
      </c>
      <c r="B19" s="5">
        <v>618</v>
      </c>
      <c r="C19" s="5">
        <v>17357.349999999999</v>
      </c>
      <c r="D19" s="6">
        <f t="shared" si="0"/>
        <v>272.41525089680198</v>
      </c>
      <c r="E19" s="7">
        <f t="shared" si="1"/>
        <v>280</v>
      </c>
      <c r="F19" s="8">
        <f t="shared" si="2"/>
        <v>7.5847491031980212</v>
      </c>
      <c r="G19" s="5">
        <v>33.630000000000003</v>
      </c>
      <c r="H19" s="5">
        <v>2.778</v>
      </c>
      <c r="I19" s="5">
        <v>48.5</v>
      </c>
    </row>
    <row r="20" spans="1:9" ht="15.75" customHeight="1">
      <c r="A20" s="3">
        <v>46176.666666666664</v>
      </c>
      <c r="B20" s="5">
        <v>651</v>
      </c>
      <c r="C20" s="5">
        <v>17077.349999999999</v>
      </c>
      <c r="D20" s="6">
        <f t="shared" si="0"/>
        <v>286.02053075857702</v>
      </c>
      <c r="E20" s="7">
        <f t="shared" si="1"/>
        <v>297</v>
      </c>
      <c r="F20" s="8">
        <f t="shared" si="2"/>
        <v>10.979469241422976</v>
      </c>
      <c r="G20" s="5">
        <v>33.880000000000003</v>
      </c>
      <c r="H20" s="5">
        <v>1.889</v>
      </c>
      <c r="I20" s="5">
        <v>49.36</v>
      </c>
    </row>
    <row r="21" spans="1:9" ht="15.75" customHeight="1">
      <c r="A21" s="3">
        <v>46176.659722222219</v>
      </c>
      <c r="B21" s="5">
        <v>690</v>
      </c>
      <c r="C21" s="5">
        <v>16780.349999999999</v>
      </c>
      <c r="D21" s="6">
        <f t="shared" si="0"/>
        <v>303.15540126485121</v>
      </c>
      <c r="E21" s="7">
        <f t="shared" si="1"/>
        <v>312.34999999999854</v>
      </c>
      <c r="F21" s="8">
        <f t="shared" si="2"/>
        <v>9.1945987351473377</v>
      </c>
      <c r="G21" s="5">
        <v>33.380000000000003</v>
      </c>
      <c r="H21" s="5">
        <v>1.111</v>
      </c>
      <c r="I21" s="5">
        <v>49.36</v>
      </c>
    </row>
    <row r="22" spans="1:9" ht="15.75" customHeight="1">
      <c r="A22" s="3">
        <v>46176.652777777781</v>
      </c>
      <c r="B22" s="5">
        <v>729</v>
      </c>
      <c r="C22" s="5">
        <v>16468</v>
      </c>
      <c r="D22" s="6">
        <f t="shared" si="0"/>
        <v>320.63341240817601</v>
      </c>
      <c r="E22" s="7">
        <f t="shared" si="1"/>
        <v>325.64999999999964</v>
      </c>
      <c r="F22" s="8">
        <f t="shared" si="2"/>
        <v>5.0165875918236225</v>
      </c>
      <c r="G22" s="5">
        <v>33.94</v>
      </c>
      <c r="H22" s="5">
        <v>3.778</v>
      </c>
      <c r="I22" s="5">
        <v>49.08</v>
      </c>
    </row>
    <row r="23" spans="1:9" ht="15.75" customHeight="1">
      <c r="A23" s="3">
        <v>46176.645833333336</v>
      </c>
      <c r="B23" s="5">
        <v>765</v>
      </c>
      <c r="C23" s="5">
        <v>16142.35</v>
      </c>
      <c r="D23" s="6">
        <f t="shared" si="0"/>
        <v>335.73412925262284</v>
      </c>
      <c r="E23" s="7">
        <f t="shared" si="1"/>
        <v>340</v>
      </c>
      <c r="F23" s="8">
        <f t="shared" si="2"/>
        <v>4.2658707473771642</v>
      </c>
      <c r="G23" s="5">
        <v>33.69</v>
      </c>
      <c r="H23" s="5">
        <v>2.6669999999999998</v>
      </c>
      <c r="I23" s="5">
        <v>49.65</v>
      </c>
    </row>
    <row r="24" spans="1:9" ht="15.75" customHeight="1">
      <c r="A24" s="3">
        <v>46176.638888888891</v>
      </c>
      <c r="B24" s="5">
        <v>800</v>
      </c>
      <c r="C24" s="5">
        <v>15802.35</v>
      </c>
      <c r="D24" s="6">
        <f t="shared" si="0"/>
        <v>351.48452320562455</v>
      </c>
      <c r="E24" s="7">
        <f t="shared" si="1"/>
        <v>352.35000000000036</v>
      </c>
      <c r="F24" s="8">
        <f t="shared" si="2"/>
        <v>0.86547679437580882</v>
      </c>
      <c r="G24" s="5">
        <v>33.5</v>
      </c>
      <c r="H24" s="5">
        <v>2</v>
      </c>
      <c r="I24" s="5">
        <v>49.36</v>
      </c>
    </row>
    <row r="25" spans="1:9" ht="15.75" customHeight="1">
      <c r="A25" s="3">
        <v>46176.631944444445</v>
      </c>
      <c r="B25" s="5">
        <v>826</v>
      </c>
      <c r="C25" s="5">
        <v>15450</v>
      </c>
      <c r="D25" s="6">
        <f t="shared" si="0"/>
        <v>362.90777020980732</v>
      </c>
      <c r="E25" s="7">
        <f t="shared" si="1"/>
        <v>364.64999999999964</v>
      </c>
      <c r="F25" s="8">
        <f t="shared" si="2"/>
        <v>1.7422297901923116</v>
      </c>
      <c r="G25" s="5">
        <v>33.56</v>
      </c>
      <c r="H25" s="5">
        <v>3.556</v>
      </c>
      <c r="I25" s="5">
        <v>49.36</v>
      </c>
    </row>
    <row r="26" spans="1:9" ht="15.75" customHeight="1">
      <c r="A26" s="3">
        <v>46176.625</v>
      </c>
      <c r="B26" s="5">
        <v>861</v>
      </c>
      <c r="C26" s="5">
        <v>15085.35</v>
      </c>
      <c r="D26" s="6">
        <f t="shared" si="0"/>
        <v>379.11023833543129</v>
      </c>
      <c r="E26" s="7">
        <f t="shared" si="1"/>
        <v>375.35000000000036</v>
      </c>
      <c r="F26" s="8">
        <f t="shared" si="2"/>
        <v>-3.7602383354309268</v>
      </c>
      <c r="G26" s="5">
        <v>33.25</v>
      </c>
      <c r="H26" s="5">
        <v>1.778</v>
      </c>
      <c r="I26" s="5">
        <v>48.79</v>
      </c>
    </row>
    <row r="27" spans="1:9" ht="15.75" customHeight="1">
      <c r="A27" s="3">
        <v>46176.618055555555</v>
      </c>
      <c r="B27" s="5">
        <v>887</v>
      </c>
      <c r="C27" s="5">
        <v>14710</v>
      </c>
      <c r="D27" s="6">
        <f t="shared" si="0"/>
        <v>390.55839884265691</v>
      </c>
      <c r="E27" s="7">
        <f t="shared" si="1"/>
        <v>383.64999999999964</v>
      </c>
      <c r="F27" s="8">
        <f t="shared" si="2"/>
        <v>-6.9083988426572773</v>
      </c>
      <c r="G27" s="5">
        <v>33.25</v>
      </c>
      <c r="H27" s="5">
        <v>0.66700000000000004</v>
      </c>
      <c r="I27" s="5">
        <v>48.79</v>
      </c>
    </row>
    <row r="28" spans="1:9" ht="15.75" customHeight="1">
      <c r="A28" s="3">
        <v>46176.611111111109</v>
      </c>
      <c r="B28" s="5">
        <v>907</v>
      </c>
      <c r="C28" s="5">
        <v>14326.35</v>
      </c>
      <c r="D28" s="6">
        <f t="shared" si="0"/>
        <v>398.92250350372512</v>
      </c>
      <c r="E28" s="7">
        <f t="shared" si="1"/>
        <v>393.35000000000036</v>
      </c>
      <c r="F28" s="8">
        <f t="shared" si="2"/>
        <v>-5.5725035037247608</v>
      </c>
      <c r="G28" s="5">
        <v>33.06</v>
      </c>
      <c r="H28" s="5">
        <v>2.778</v>
      </c>
      <c r="I28" s="5">
        <v>49.08</v>
      </c>
    </row>
    <row r="29" spans="1:9" ht="15.75" customHeight="1">
      <c r="A29" s="3">
        <v>46176.604166666664</v>
      </c>
      <c r="B29" s="5">
        <v>933</v>
      </c>
      <c r="C29" s="5">
        <v>13933</v>
      </c>
      <c r="D29" s="6">
        <f t="shared" si="0"/>
        <v>409.91882518855965</v>
      </c>
      <c r="E29" s="7">
        <f t="shared" si="1"/>
        <v>400.64999999999964</v>
      </c>
      <c r="F29" s="8">
        <f t="shared" si="2"/>
        <v>-9.2688251885600152</v>
      </c>
      <c r="G29" s="5">
        <v>32.81</v>
      </c>
      <c r="H29" s="5">
        <v>4.2220000000000004</v>
      </c>
      <c r="I29" s="5">
        <v>49.36</v>
      </c>
    </row>
    <row r="30" spans="1:9" ht="15.75" customHeight="1">
      <c r="A30" s="3">
        <v>46176.597222222219</v>
      </c>
      <c r="B30" s="5">
        <v>961</v>
      </c>
      <c r="C30" s="5">
        <v>13532.35</v>
      </c>
      <c r="D30" s="6">
        <f t="shared" si="0"/>
        <v>423.61012315829544</v>
      </c>
      <c r="E30" s="7">
        <f t="shared" si="1"/>
        <v>408.35000000000036</v>
      </c>
      <c r="F30" s="8">
        <f t="shared" si="2"/>
        <v>-15.260123158295073</v>
      </c>
      <c r="G30" s="5">
        <v>33.06</v>
      </c>
      <c r="H30" s="5">
        <v>0.44400000000000001</v>
      </c>
      <c r="I30" s="5">
        <v>48.5</v>
      </c>
    </row>
    <row r="31" spans="1:9" ht="15.75" customHeight="1">
      <c r="A31" s="3">
        <v>46176.590277777781</v>
      </c>
      <c r="B31" s="5">
        <v>977</v>
      </c>
      <c r="C31" s="5">
        <v>13124</v>
      </c>
      <c r="D31" s="6">
        <f t="shared" si="0"/>
        <v>431.12281953969887</v>
      </c>
      <c r="E31" s="7">
        <f t="shared" si="1"/>
        <v>415</v>
      </c>
      <c r="F31" s="8">
        <f t="shared" si="2"/>
        <v>-16.122819539698867</v>
      </c>
      <c r="G31" s="5">
        <v>32.5</v>
      </c>
      <c r="H31" s="5">
        <v>1.222</v>
      </c>
      <c r="I31" s="5">
        <v>48.22</v>
      </c>
    </row>
    <row r="32" spans="1:9" ht="15.75" customHeight="1">
      <c r="A32" s="3">
        <v>46176.583333333336</v>
      </c>
      <c r="B32" s="5">
        <v>995</v>
      </c>
      <c r="C32" s="5">
        <v>12709</v>
      </c>
      <c r="D32" s="6">
        <f t="shared" si="0"/>
        <v>438.59736997138822</v>
      </c>
      <c r="E32" s="7">
        <f t="shared" si="1"/>
        <v>422</v>
      </c>
      <c r="F32" s="8">
        <f t="shared" si="2"/>
        <v>-16.597369971388218</v>
      </c>
      <c r="G32" s="5">
        <v>32.19</v>
      </c>
      <c r="H32" s="5">
        <v>3.556</v>
      </c>
      <c r="I32" s="5">
        <v>48.5</v>
      </c>
    </row>
    <row r="33" spans="1:9" ht="15.75" customHeight="1">
      <c r="A33" s="3">
        <v>46176.576388888891</v>
      </c>
      <c r="B33" s="5">
        <v>1008</v>
      </c>
      <c r="C33" s="5">
        <v>12287</v>
      </c>
      <c r="D33" s="6">
        <f t="shared" si="0"/>
        <v>444.32778787051188</v>
      </c>
      <c r="E33" s="7">
        <f t="shared" si="1"/>
        <v>425</v>
      </c>
      <c r="F33" s="8">
        <f t="shared" si="2"/>
        <v>-19.327787870511884</v>
      </c>
      <c r="G33" s="5">
        <v>32.5</v>
      </c>
      <c r="H33" s="5">
        <v>2.222</v>
      </c>
      <c r="I33" s="5">
        <v>48.5</v>
      </c>
    </row>
    <row r="34" spans="1:9" ht="15.75" customHeight="1">
      <c r="A34" s="3">
        <v>46176.569444444445</v>
      </c>
      <c r="B34" s="5">
        <v>1019</v>
      </c>
      <c r="C34" s="5">
        <v>11862</v>
      </c>
      <c r="D34" s="6">
        <f t="shared" si="0"/>
        <v>449.17660301592412</v>
      </c>
      <c r="E34" s="7">
        <f t="shared" si="1"/>
        <v>433</v>
      </c>
      <c r="F34" s="8">
        <f t="shared" si="2"/>
        <v>-16.176603015924115</v>
      </c>
      <c r="G34" s="5">
        <v>32.130000000000003</v>
      </c>
      <c r="H34" s="5">
        <v>1.778</v>
      </c>
      <c r="I34" s="5">
        <v>48.5</v>
      </c>
    </row>
    <row r="35" spans="1:9" ht="15.75" customHeight="1">
      <c r="A35" s="3">
        <v>46176.5625</v>
      </c>
      <c r="B35" s="5">
        <v>1031</v>
      </c>
      <c r="C35" s="5">
        <v>11429</v>
      </c>
      <c r="D35" s="6">
        <f t="shared" si="0"/>
        <v>454.46621953819221</v>
      </c>
      <c r="E35" s="7">
        <f t="shared" si="1"/>
        <v>434</v>
      </c>
      <c r="F35" s="8">
        <f t="shared" si="2"/>
        <v>-20.466219538192206</v>
      </c>
      <c r="G35" s="5">
        <v>32.19</v>
      </c>
      <c r="H35" s="5">
        <v>2.778</v>
      </c>
      <c r="I35" s="5">
        <v>48.5</v>
      </c>
    </row>
    <row r="36" spans="1:9" ht="15.75" customHeight="1">
      <c r="A36" s="3">
        <v>46176.555555555555</v>
      </c>
      <c r="B36" s="5">
        <v>1041</v>
      </c>
      <c r="C36" s="5">
        <v>10995</v>
      </c>
      <c r="D36" s="6">
        <f t="shared" si="0"/>
        <v>458.87423330674886</v>
      </c>
      <c r="E36" s="7">
        <f t="shared" si="1"/>
        <v>437</v>
      </c>
      <c r="F36" s="8">
        <f t="shared" si="2"/>
        <v>-21.874233306748863</v>
      </c>
      <c r="G36" s="5">
        <v>32</v>
      </c>
      <c r="H36" s="5">
        <v>3.556</v>
      </c>
      <c r="I36" s="5">
        <v>48.5</v>
      </c>
    </row>
    <row r="37" spans="1:9" ht="15.75" customHeight="1">
      <c r="A37" s="3">
        <v>46176.548611111109</v>
      </c>
      <c r="B37" s="5">
        <v>1048</v>
      </c>
      <c r="C37" s="5">
        <v>10558</v>
      </c>
      <c r="D37" s="6">
        <f t="shared" si="0"/>
        <v>461.44893121432295</v>
      </c>
      <c r="E37" s="7">
        <f t="shared" si="1"/>
        <v>438</v>
      </c>
      <c r="F37" s="8">
        <f t="shared" si="2"/>
        <v>-23.448931214322954</v>
      </c>
      <c r="G37" s="5">
        <v>32.25</v>
      </c>
      <c r="H37" s="5">
        <v>2.556</v>
      </c>
      <c r="I37" s="5">
        <v>48.79</v>
      </c>
    </row>
    <row r="38" spans="1:9" ht="15.75" customHeight="1">
      <c r="A38" s="3">
        <v>46176.541666666664</v>
      </c>
      <c r="B38" s="5">
        <v>1045</v>
      </c>
      <c r="C38" s="5">
        <v>10120</v>
      </c>
      <c r="D38" s="6">
        <f t="shared" si="0"/>
        <v>460.6374388141715</v>
      </c>
      <c r="E38" s="7">
        <f t="shared" si="1"/>
        <v>435</v>
      </c>
      <c r="F38" s="8">
        <f t="shared" si="2"/>
        <v>-25.637438814171503</v>
      </c>
      <c r="G38" s="5">
        <v>31.63</v>
      </c>
      <c r="H38" s="5">
        <v>1.333</v>
      </c>
      <c r="I38" s="5">
        <v>48.5</v>
      </c>
    </row>
    <row r="39" spans="1:9" ht="15.75" customHeight="1">
      <c r="A39" s="3">
        <v>46176.534722222219</v>
      </c>
      <c r="B39" s="5">
        <v>1044</v>
      </c>
      <c r="C39" s="5">
        <v>9685</v>
      </c>
      <c r="D39" s="6">
        <f t="shared" si="0"/>
        <v>459.68767575167277</v>
      </c>
      <c r="E39" s="7">
        <f t="shared" si="1"/>
        <v>433.64700000000084</v>
      </c>
      <c r="F39" s="8">
        <f t="shared" si="2"/>
        <v>-26.040675751671927</v>
      </c>
      <c r="G39" s="5">
        <v>32</v>
      </c>
      <c r="H39" s="5">
        <v>0.66700000000000004</v>
      </c>
      <c r="I39" s="5">
        <v>48.79</v>
      </c>
    </row>
    <row r="40" spans="1:9" ht="15.75" customHeight="1">
      <c r="A40" s="3">
        <v>46176.527777777781</v>
      </c>
      <c r="B40" s="5">
        <v>1045</v>
      </c>
      <c r="C40" s="5">
        <v>9251.3529999999992</v>
      </c>
      <c r="D40" s="6">
        <f t="shared" si="0"/>
        <v>460.12798961733534</v>
      </c>
      <c r="E40" s="7">
        <f t="shared" si="1"/>
        <v>434</v>
      </c>
      <c r="F40" s="8">
        <f t="shared" si="2"/>
        <v>-26.127989617335345</v>
      </c>
      <c r="G40" s="5">
        <v>31.5</v>
      </c>
      <c r="H40" s="5">
        <v>0.44400000000000001</v>
      </c>
      <c r="I40" s="5">
        <v>48.79</v>
      </c>
    </row>
    <row r="41" spans="1:9" ht="15.75" customHeight="1">
      <c r="A41" s="3">
        <v>46176.520833333336</v>
      </c>
      <c r="B41" s="5">
        <v>1043</v>
      </c>
      <c r="C41" s="5">
        <v>8817.3529999999992</v>
      </c>
      <c r="D41" s="6">
        <f t="shared" si="0"/>
        <v>459.2473618860102</v>
      </c>
      <c r="E41" s="7">
        <f t="shared" si="1"/>
        <v>434</v>
      </c>
      <c r="F41" s="8">
        <f t="shared" si="2"/>
        <v>-25.247361886010196</v>
      </c>
      <c r="G41" s="5">
        <v>30.87</v>
      </c>
      <c r="H41" s="5">
        <v>1.333</v>
      </c>
      <c r="I41" s="5">
        <v>48.79</v>
      </c>
    </row>
    <row r="42" spans="1:9" ht="15.75" customHeight="1">
      <c r="A42" s="3">
        <v>46176.513888888891</v>
      </c>
      <c r="B42" s="5">
        <v>1041</v>
      </c>
      <c r="C42" s="5">
        <v>8383.3529999999992</v>
      </c>
      <c r="D42" s="6">
        <f t="shared" si="0"/>
        <v>456.86173666925538</v>
      </c>
      <c r="E42" s="7">
        <f t="shared" si="1"/>
        <v>434.99999999999909</v>
      </c>
      <c r="F42" s="8">
        <f t="shared" si="2"/>
        <v>-21.861736669256288</v>
      </c>
      <c r="G42" s="5">
        <v>30.56</v>
      </c>
      <c r="H42" s="5">
        <v>0.55600000000000005</v>
      </c>
      <c r="I42" s="5">
        <v>49.65</v>
      </c>
    </row>
    <row r="43" spans="1:9" ht="15.75" customHeight="1">
      <c r="A43" s="3">
        <v>46176.506944444445</v>
      </c>
      <c r="B43" s="5">
        <v>1031</v>
      </c>
      <c r="C43" s="5">
        <v>7948.3530000000001</v>
      </c>
      <c r="D43" s="6">
        <f t="shared" si="0"/>
        <v>452.47305524111653</v>
      </c>
      <c r="E43" s="7">
        <f t="shared" si="1"/>
        <v>430.35300000000007</v>
      </c>
      <c r="F43" s="8">
        <f t="shared" si="2"/>
        <v>-22.120055241116461</v>
      </c>
      <c r="G43" s="5">
        <v>29.81</v>
      </c>
      <c r="H43" s="5">
        <v>1.111</v>
      </c>
      <c r="I43" s="5">
        <v>49.65</v>
      </c>
    </row>
    <row r="44" spans="1:9" ht="15.75" customHeight="1">
      <c r="A44" s="3">
        <v>46176.5</v>
      </c>
      <c r="B44" s="5">
        <v>1016</v>
      </c>
      <c r="C44" s="5">
        <v>7518</v>
      </c>
      <c r="D44" s="6">
        <f t="shared" si="0"/>
        <v>445.39472172667325</v>
      </c>
      <c r="E44" s="7">
        <f t="shared" si="1"/>
        <v>426</v>
      </c>
      <c r="F44" s="8">
        <f t="shared" si="2"/>
        <v>-19.394721726673254</v>
      </c>
      <c r="G44" s="5">
        <v>29.5</v>
      </c>
      <c r="H44" s="5">
        <v>0.66700000000000004</v>
      </c>
      <c r="I44" s="5">
        <v>49.94</v>
      </c>
    </row>
    <row r="45" spans="1:9" ht="15.75" customHeight="1">
      <c r="A45" s="3">
        <v>46176.493055555555</v>
      </c>
      <c r="B45" s="5">
        <v>1005</v>
      </c>
      <c r="C45" s="5">
        <v>7092</v>
      </c>
      <c r="D45" s="6">
        <f t="shared" si="0"/>
        <v>441.06248352795546</v>
      </c>
      <c r="E45" s="7">
        <f t="shared" si="1"/>
        <v>422</v>
      </c>
      <c r="F45" s="8">
        <f t="shared" si="2"/>
        <v>-19.062483527955465</v>
      </c>
      <c r="G45" s="5">
        <v>28.81</v>
      </c>
      <c r="H45" s="5">
        <v>1.889</v>
      </c>
      <c r="I45" s="5">
        <v>49.65</v>
      </c>
    </row>
    <row r="46" spans="1:9" ht="15.75" customHeight="1">
      <c r="A46" s="3">
        <v>46176.486111111109</v>
      </c>
      <c r="B46" s="5">
        <v>992</v>
      </c>
      <c r="C46" s="5">
        <v>6670</v>
      </c>
      <c r="D46" s="6">
        <f t="shared" si="0"/>
        <v>434.87358656777548</v>
      </c>
      <c r="E46" s="7">
        <f t="shared" si="1"/>
        <v>419</v>
      </c>
      <c r="F46" s="8">
        <f t="shared" si="2"/>
        <v>-15.873586567775476</v>
      </c>
      <c r="G46" s="5">
        <v>28.87</v>
      </c>
      <c r="H46" s="5">
        <v>0.44400000000000001</v>
      </c>
      <c r="I46" s="5">
        <v>49.94</v>
      </c>
    </row>
    <row r="47" spans="1:9" ht="15.75" customHeight="1">
      <c r="A47" s="3">
        <v>46176.479166666664</v>
      </c>
      <c r="B47" s="5">
        <v>976</v>
      </c>
      <c r="C47" s="5">
        <v>6251</v>
      </c>
      <c r="D47" s="6">
        <f t="shared" si="0"/>
        <v>428.33530738635272</v>
      </c>
      <c r="E47" s="7">
        <f t="shared" si="1"/>
        <v>411.64699999999993</v>
      </c>
      <c r="F47" s="8">
        <f t="shared" si="2"/>
        <v>-16.68830738635279</v>
      </c>
      <c r="G47" s="5">
        <v>28.75</v>
      </c>
      <c r="H47" s="5">
        <v>2</v>
      </c>
      <c r="I47" s="5">
        <v>49.65</v>
      </c>
    </row>
    <row r="48" spans="1:9" ht="15.75" customHeight="1">
      <c r="A48" s="3">
        <v>46176.472222222219</v>
      </c>
      <c r="B48" s="5">
        <v>954</v>
      </c>
      <c r="C48" s="5">
        <v>5839.3530000000001</v>
      </c>
      <c r="D48" s="6">
        <f t="shared" si="0"/>
        <v>418.68020824444721</v>
      </c>
      <c r="E48" s="7">
        <f t="shared" si="1"/>
        <v>404.35300000000007</v>
      </c>
      <c r="F48" s="8">
        <f t="shared" si="2"/>
        <v>-14.327208244447149</v>
      </c>
      <c r="G48" s="5">
        <v>28.5</v>
      </c>
      <c r="H48" s="5">
        <v>2.222</v>
      </c>
      <c r="I48" s="5">
        <v>49.65</v>
      </c>
    </row>
    <row r="49" spans="1:9" ht="15.75" customHeight="1">
      <c r="A49" s="3">
        <v>46176.465277777781</v>
      </c>
      <c r="B49" s="5">
        <v>936</v>
      </c>
      <c r="C49" s="5">
        <v>5435</v>
      </c>
      <c r="D49" s="6">
        <f t="shared" si="0"/>
        <v>410.78058167379731</v>
      </c>
      <c r="E49" s="7">
        <f t="shared" si="1"/>
        <v>398</v>
      </c>
      <c r="F49" s="8">
        <f t="shared" si="2"/>
        <v>-12.780581673797315</v>
      </c>
      <c r="G49" s="5">
        <v>28.31</v>
      </c>
      <c r="H49" s="5">
        <v>2.778</v>
      </c>
      <c r="I49" s="5">
        <v>49.65</v>
      </c>
    </row>
    <row r="50" spans="1:9" ht="15.75" customHeight="1">
      <c r="A50" s="3">
        <v>46176.458333333336</v>
      </c>
      <c r="B50" s="5">
        <v>908</v>
      </c>
      <c r="C50" s="5">
        <v>5037</v>
      </c>
      <c r="D50" s="6">
        <f t="shared" si="0"/>
        <v>397.60695334825783</v>
      </c>
      <c r="E50" s="7">
        <f t="shared" si="1"/>
        <v>391</v>
      </c>
      <c r="F50" s="8">
        <f t="shared" si="2"/>
        <v>-6.6069533482578322</v>
      </c>
      <c r="G50" s="5">
        <v>27.56</v>
      </c>
      <c r="H50" s="5">
        <v>0.66700000000000004</v>
      </c>
      <c r="I50" s="5">
        <v>50.23</v>
      </c>
    </row>
    <row r="51" spans="1:9" ht="15.75" customHeight="1">
      <c r="A51" s="3">
        <v>46176.451388888891</v>
      </c>
      <c r="B51" s="5">
        <v>893</v>
      </c>
      <c r="C51" s="5">
        <v>4646</v>
      </c>
      <c r="D51" s="6">
        <f t="shared" si="0"/>
        <v>391.90925153280017</v>
      </c>
      <c r="E51" s="7">
        <f t="shared" si="1"/>
        <v>382</v>
      </c>
      <c r="F51" s="8">
        <f t="shared" si="2"/>
        <v>-9.9092515328001696</v>
      </c>
      <c r="G51" s="5">
        <v>27.81</v>
      </c>
      <c r="H51" s="5">
        <v>1.556</v>
      </c>
      <c r="I51" s="5">
        <v>49.65</v>
      </c>
    </row>
    <row r="52" spans="1:9" ht="15.75" customHeight="1">
      <c r="A52" s="3">
        <v>46176.444444444445</v>
      </c>
      <c r="B52" s="5">
        <v>863</v>
      </c>
      <c r="C52" s="5">
        <v>4264</v>
      </c>
      <c r="D52" s="6">
        <f t="shared" si="0"/>
        <v>378.74320724838356</v>
      </c>
      <c r="E52" s="7">
        <f t="shared" si="1"/>
        <v>371.64699999999993</v>
      </c>
      <c r="F52" s="8">
        <f t="shared" si="2"/>
        <v>-7.0962072483836209</v>
      </c>
      <c r="G52" s="5">
        <v>26.75</v>
      </c>
      <c r="H52" s="5">
        <v>0.88900000000000001</v>
      </c>
      <c r="I52" s="5">
        <v>49.65</v>
      </c>
    </row>
    <row r="53" spans="1:9" ht="15.75" customHeight="1">
      <c r="A53" s="3">
        <v>46176.4375</v>
      </c>
      <c r="B53" s="5">
        <v>838</v>
      </c>
      <c r="C53" s="5">
        <v>3892.3530000000001</v>
      </c>
      <c r="D53" s="6">
        <f t="shared" si="0"/>
        <v>367.77150367803654</v>
      </c>
      <c r="E53" s="7">
        <f t="shared" si="1"/>
        <v>362.35300000000007</v>
      </c>
      <c r="F53" s="8">
        <f t="shared" si="2"/>
        <v>-5.4185036780364726</v>
      </c>
      <c r="G53" s="5">
        <v>27</v>
      </c>
      <c r="H53" s="5">
        <v>2.556</v>
      </c>
      <c r="I53" s="5">
        <v>49.65</v>
      </c>
    </row>
    <row r="54" spans="1:9" ht="15.75" customHeight="1">
      <c r="A54" s="3">
        <v>46176.430555555555</v>
      </c>
      <c r="B54" s="5">
        <v>803</v>
      </c>
      <c r="C54" s="5">
        <v>3530</v>
      </c>
      <c r="D54" s="6">
        <f t="shared" si="0"/>
        <v>352.41111867955044</v>
      </c>
      <c r="E54" s="7">
        <f t="shared" si="1"/>
        <v>346.64699999999993</v>
      </c>
      <c r="F54" s="8">
        <f t="shared" si="2"/>
        <v>-5.7641186795505064</v>
      </c>
      <c r="G54" s="5">
        <v>26.88</v>
      </c>
      <c r="H54" s="5">
        <v>2.444</v>
      </c>
      <c r="I54" s="5">
        <v>49.65</v>
      </c>
    </row>
    <row r="55" spans="1:9" ht="15.75" customHeight="1">
      <c r="A55" s="3">
        <v>46176.423611111109</v>
      </c>
      <c r="B55" s="5">
        <v>764</v>
      </c>
      <c r="C55" s="5">
        <v>3183.3530000000001</v>
      </c>
      <c r="D55" s="6">
        <f t="shared" si="0"/>
        <v>335.29526110980891</v>
      </c>
      <c r="E55" s="7">
        <f t="shared" si="1"/>
        <v>334.35300000000007</v>
      </c>
      <c r="F55" s="8">
        <f t="shared" si="2"/>
        <v>-0.94226110980883959</v>
      </c>
      <c r="G55" s="5">
        <v>25.68</v>
      </c>
      <c r="H55" s="5">
        <v>0.55600000000000005</v>
      </c>
      <c r="I55" s="5">
        <v>49.65</v>
      </c>
    </row>
    <row r="56" spans="1:9" ht="15.75" customHeight="1">
      <c r="A56" s="3">
        <v>46176.416666666664</v>
      </c>
      <c r="B56" s="5">
        <v>734</v>
      </c>
      <c r="C56" s="5">
        <v>2849</v>
      </c>
      <c r="D56" s="6">
        <f t="shared" si="0"/>
        <v>322.83254418052286</v>
      </c>
      <c r="E56" s="7">
        <f t="shared" si="1"/>
        <v>318.64699999999993</v>
      </c>
      <c r="F56" s="8">
        <f t="shared" si="2"/>
        <v>-4.1855441805229248</v>
      </c>
      <c r="G56" s="5">
        <v>25.93</v>
      </c>
      <c r="H56" s="5">
        <v>1.444</v>
      </c>
      <c r="I56" s="5">
        <v>49.08</v>
      </c>
    </row>
    <row r="57" spans="1:9" ht="15.75" customHeight="1">
      <c r="A57" s="3">
        <v>46176.409722222219</v>
      </c>
      <c r="B57" s="5">
        <v>691</v>
      </c>
      <c r="C57" s="5">
        <v>2530.3530000000001</v>
      </c>
      <c r="D57" s="6">
        <f t="shared" si="0"/>
        <v>303.59475691885814</v>
      </c>
      <c r="E57" s="7">
        <f t="shared" si="1"/>
        <v>304.35300000000007</v>
      </c>
      <c r="F57" s="8">
        <f t="shared" si="2"/>
        <v>0.75824308114192718</v>
      </c>
      <c r="G57" s="5">
        <v>25.75</v>
      </c>
      <c r="H57" s="5">
        <v>0.88900000000000001</v>
      </c>
      <c r="I57" s="5">
        <v>49.36</v>
      </c>
    </row>
    <row r="58" spans="1:9" ht="15.75" customHeight="1">
      <c r="A58" s="3">
        <v>46176.402777777781</v>
      </c>
      <c r="B58" s="5">
        <v>655</v>
      </c>
      <c r="C58" s="5">
        <v>2226</v>
      </c>
      <c r="D58" s="6">
        <f t="shared" si="0"/>
        <v>288.4055820089518</v>
      </c>
      <c r="E58" s="7">
        <f t="shared" si="1"/>
        <v>289.64699999999993</v>
      </c>
      <c r="F58" s="8">
        <f t="shared" si="2"/>
        <v>1.241417991048138</v>
      </c>
      <c r="G58" s="5">
        <v>25.56</v>
      </c>
      <c r="H58" s="5">
        <v>0.55600000000000005</v>
      </c>
      <c r="I58" s="5">
        <v>48.79</v>
      </c>
    </row>
    <row r="59" spans="1:9" ht="15.75" customHeight="1">
      <c r="A59" s="3">
        <v>46176.395833333336</v>
      </c>
      <c r="B59" s="5">
        <v>618</v>
      </c>
      <c r="C59" s="5">
        <v>1936.3530000000001</v>
      </c>
      <c r="D59" s="6">
        <f t="shared" si="0"/>
        <v>272.41525089680198</v>
      </c>
      <c r="E59" s="7">
        <f t="shared" si="1"/>
        <v>274.35300000000007</v>
      </c>
      <c r="F59" s="8">
        <f t="shared" si="2"/>
        <v>1.9377491031980867</v>
      </c>
      <c r="G59" s="5">
        <v>24.56</v>
      </c>
      <c r="H59" s="5">
        <v>1.333</v>
      </c>
      <c r="I59" s="5">
        <v>48.5</v>
      </c>
    </row>
    <row r="60" spans="1:9" ht="15.75" customHeight="1">
      <c r="A60" s="3">
        <v>46176.388888888891</v>
      </c>
      <c r="B60" s="5">
        <v>578</v>
      </c>
      <c r="C60" s="5">
        <v>1662</v>
      </c>
      <c r="D60" s="6">
        <f t="shared" si="0"/>
        <v>254.78319582257524</v>
      </c>
      <c r="E60" s="7">
        <f t="shared" si="1"/>
        <v>255</v>
      </c>
      <c r="F60" s="8">
        <f t="shared" si="2"/>
        <v>0.21680417742476266</v>
      </c>
      <c r="G60" s="5">
        <v>24.56</v>
      </c>
      <c r="H60" s="5">
        <v>1.222</v>
      </c>
      <c r="I60" s="5">
        <v>48.5</v>
      </c>
    </row>
    <row r="61" spans="1:9" ht="15.75" customHeight="1">
      <c r="A61" s="3">
        <v>46176.381944444445</v>
      </c>
      <c r="B61" s="5">
        <v>533</v>
      </c>
      <c r="C61" s="5">
        <v>1407</v>
      </c>
      <c r="D61" s="6">
        <f t="shared" si="0"/>
        <v>234.94713386407028</v>
      </c>
      <c r="E61" s="7">
        <f t="shared" si="1"/>
        <v>235.64699999999993</v>
      </c>
      <c r="F61" s="8">
        <f t="shared" si="2"/>
        <v>0.69986613592965341</v>
      </c>
      <c r="G61" s="5">
        <v>24.06</v>
      </c>
      <c r="H61" s="5">
        <v>0.88900000000000001</v>
      </c>
      <c r="I61" s="5">
        <v>48.5</v>
      </c>
    </row>
    <row r="62" spans="1:9" ht="15.75" customHeight="1">
      <c r="A62" s="3">
        <v>46176.375</v>
      </c>
      <c r="B62" s="5">
        <v>491</v>
      </c>
      <c r="C62" s="5">
        <v>1171.3530000000001</v>
      </c>
      <c r="D62" s="6">
        <f t="shared" si="0"/>
        <v>216.66458996314444</v>
      </c>
      <c r="E62" s="7">
        <f t="shared" si="1"/>
        <v>216.00000000000011</v>
      </c>
      <c r="F62" s="8">
        <f t="shared" si="2"/>
        <v>-0.66458996314432284</v>
      </c>
      <c r="G62" s="5">
        <v>24.06</v>
      </c>
      <c r="H62" s="5">
        <v>0.44400000000000001</v>
      </c>
      <c r="I62" s="5">
        <v>48.22</v>
      </c>
    </row>
    <row r="63" spans="1:9" ht="15.75" customHeight="1">
      <c r="A63" s="3">
        <v>46176.368055555555</v>
      </c>
      <c r="B63" s="5">
        <v>447</v>
      </c>
      <c r="C63" s="5">
        <v>955.35299999999995</v>
      </c>
      <c r="D63" s="6">
        <f t="shared" si="0"/>
        <v>197.46653606448751</v>
      </c>
      <c r="E63" s="7">
        <f t="shared" si="1"/>
        <v>195</v>
      </c>
      <c r="F63" s="8">
        <f t="shared" si="2"/>
        <v>-2.4665360644875136</v>
      </c>
      <c r="G63" s="5">
        <v>23.44</v>
      </c>
      <c r="H63" s="5">
        <v>0.44400000000000001</v>
      </c>
      <c r="I63" s="5">
        <v>47.93</v>
      </c>
    </row>
    <row r="64" spans="1:9" ht="15.75" customHeight="1">
      <c r="A64" s="3">
        <v>46176.361111111109</v>
      </c>
      <c r="B64" s="5">
        <v>402</v>
      </c>
      <c r="C64" s="5">
        <v>760.35299999999995</v>
      </c>
      <c r="D64" s="6">
        <f t="shared" si="0"/>
        <v>179.52687583658442</v>
      </c>
      <c r="E64" s="7">
        <f t="shared" si="1"/>
        <v>171</v>
      </c>
      <c r="F64" s="8">
        <f t="shared" si="2"/>
        <v>-8.5268758365844235</v>
      </c>
      <c r="G64" s="5">
        <v>22.81</v>
      </c>
      <c r="H64" s="5">
        <v>0.44400000000000001</v>
      </c>
      <c r="I64" s="5">
        <v>45.06</v>
      </c>
    </row>
    <row r="65" spans="1:26" ht="15.75" customHeight="1">
      <c r="A65" s="3">
        <v>46176.354166666664</v>
      </c>
      <c r="B65" s="5">
        <v>357</v>
      </c>
      <c r="C65" s="5">
        <v>589.35299999999995</v>
      </c>
      <c r="D65" s="6">
        <f t="shared" si="0"/>
        <v>161.84315898508223</v>
      </c>
      <c r="E65" s="7">
        <f>(C65-C67)</f>
        <v>275.35299999999995</v>
      </c>
      <c r="F65" s="8">
        <f t="shared" si="2"/>
        <v>113.50984101491773</v>
      </c>
      <c r="G65" s="5">
        <v>22.13</v>
      </c>
      <c r="H65" s="5">
        <v>0.44400000000000001</v>
      </c>
      <c r="I65" s="5">
        <v>41.04</v>
      </c>
    </row>
    <row r="66" spans="1:26" ht="15.75" customHeight="1">
      <c r="A66" s="3">
        <v>46176.347222222219</v>
      </c>
      <c r="B66" s="5">
        <v>312</v>
      </c>
      <c r="D66" s="6">
        <f t="shared" si="0"/>
        <v>143.69808843755723</v>
      </c>
      <c r="E66" s="25">
        <v>0</v>
      </c>
      <c r="F66" s="8">
        <f t="shared" si="2"/>
        <v>-143.69808843755723</v>
      </c>
      <c r="G66" s="5">
        <v>21.63</v>
      </c>
      <c r="H66" s="5">
        <v>0.55600000000000005</v>
      </c>
      <c r="I66" s="5">
        <v>36.74</v>
      </c>
    </row>
    <row r="67" spans="1:26" ht="15.75" customHeight="1">
      <c r="A67" s="3">
        <v>46176.340277777781</v>
      </c>
      <c r="B67" s="5">
        <v>267</v>
      </c>
      <c r="C67" s="5">
        <v>314</v>
      </c>
      <c r="D67" s="6">
        <f t="shared" si="0"/>
        <v>125.16277358528538</v>
      </c>
      <c r="E67" s="7">
        <f t="shared" ref="E67:E74" si="3">(C67-C68)</f>
        <v>103</v>
      </c>
      <c r="F67" s="8">
        <f t="shared" si="2"/>
        <v>-22.162773585285379</v>
      </c>
      <c r="G67" s="5">
        <v>21.13</v>
      </c>
      <c r="H67" s="5">
        <v>0.44400000000000001</v>
      </c>
      <c r="I67" s="5">
        <v>31.86</v>
      </c>
    </row>
    <row r="68" spans="1:26" ht="15.75" customHeight="1">
      <c r="A68" s="3">
        <v>46176.333333333336</v>
      </c>
      <c r="B68" s="5">
        <v>222</v>
      </c>
      <c r="C68" s="5">
        <v>211</v>
      </c>
      <c r="D68" s="6">
        <f t="shared" si="0"/>
        <v>104.92628001916984</v>
      </c>
      <c r="E68" s="7">
        <f t="shared" si="3"/>
        <v>80</v>
      </c>
      <c r="F68" s="8">
        <f t="shared" si="2"/>
        <v>-24.926280019169837</v>
      </c>
      <c r="G68" s="5">
        <v>20.63</v>
      </c>
      <c r="H68" s="5">
        <v>1.667</v>
      </c>
      <c r="I68" s="5">
        <v>29.56</v>
      </c>
    </row>
    <row r="69" spans="1:26" ht="15.75" customHeight="1">
      <c r="A69" s="3">
        <v>46176.326388888891</v>
      </c>
      <c r="B69" s="5">
        <v>176</v>
      </c>
      <c r="C69" s="5">
        <v>131</v>
      </c>
      <c r="D69" s="6">
        <f t="shared" si="0"/>
        <v>83.865296956462984</v>
      </c>
      <c r="E69" s="7">
        <f t="shared" si="3"/>
        <v>58</v>
      </c>
      <c r="F69" s="8">
        <f t="shared" si="2"/>
        <v>-25.865296956462984</v>
      </c>
      <c r="G69" s="5">
        <v>20.75</v>
      </c>
      <c r="H69" s="5">
        <v>0.44400000000000001</v>
      </c>
      <c r="I69" s="5">
        <v>27.26</v>
      </c>
    </row>
    <row r="70" spans="1:26" ht="15.75" customHeight="1">
      <c r="A70" s="3">
        <v>46176.319444444445</v>
      </c>
      <c r="B70" s="5">
        <v>131</v>
      </c>
      <c r="C70" s="5">
        <v>73</v>
      </c>
      <c r="D70" s="6">
        <f t="shared" si="0"/>
        <v>63.369413814132919</v>
      </c>
      <c r="E70" s="7">
        <f t="shared" si="3"/>
        <v>39</v>
      </c>
      <c r="F70" s="8">
        <f t="shared" si="2"/>
        <v>-24.369413814132919</v>
      </c>
      <c r="G70" s="5">
        <v>21.56</v>
      </c>
      <c r="H70" s="5">
        <v>0.44400000000000001</v>
      </c>
      <c r="I70" s="5">
        <v>22.96</v>
      </c>
    </row>
    <row r="71" spans="1:26" ht="15.75" customHeight="1">
      <c r="A71" s="3">
        <v>46176.3125</v>
      </c>
      <c r="B71" s="5">
        <v>87</v>
      </c>
      <c r="C71" s="5">
        <v>34</v>
      </c>
      <c r="D71" s="6">
        <f t="shared" si="0"/>
        <v>42.378999797783514</v>
      </c>
      <c r="E71" s="7">
        <f t="shared" si="3"/>
        <v>21.646999999999998</v>
      </c>
      <c r="F71" s="8">
        <f t="shared" si="2"/>
        <v>-20.731999797783516</v>
      </c>
      <c r="G71" s="5">
        <v>21.31</v>
      </c>
      <c r="H71" s="5">
        <v>1.778</v>
      </c>
      <c r="I71" s="5">
        <v>20.95</v>
      </c>
    </row>
    <row r="72" spans="1:26" ht="15.75" customHeight="1">
      <c r="A72" s="3">
        <v>46176.305555555555</v>
      </c>
      <c r="B72" s="5">
        <v>21</v>
      </c>
      <c r="C72" s="5">
        <v>12.353</v>
      </c>
      <c r="D72" s="6">
        <f t="shared" si="0"/>
        <v>10.229413744292575</v>
      </c>
      <c r="E72" s="7">
        <f t="shared" si="3"/>
        <v>10</v>
      </c>
      <c r="F72" s="8">
        <f t="shared" si="2"/>
        <v>-0.22941374429257522</v>
      </c>
      <c r="G72" s="5">
        <v>21.25</v>
      </c>
      <c r="H72" s="5">
        <v>3.222</v>
      </c>
      <c r="I72" s="5">
        <v>20.95</v>
      </c>
    </row>
    <row r="73" spans="1:26" ht="15.75" customHeight="1">
      <c r="A73" s="3">
        <v>46176.298611111109</v>
      </c>
      <c r="B73" s="5">
        <v>11</v>
      </c>
      <c r="C73" s="5">
        <v>2.3530000000000002</v>
      </c>
      <c r="D73" s="6">
        <f t="shared" si="0"/>
        <v>5.3688046704588919</v>
      </c>
      <c r="E73" s="7">
        <f t="shared" si="3"/>
        <v>2.3530000000000002</v>
      </c>
      <c r="F73" s="8">
        <f t="shared" si="2"/>
        <v>-3.0158046704588917</v>
      </c>
      <c r="G73" s="5">
        <v>21.31</v>
      </c>
      <c r="H73" s="5">
        <v>1.333</v>
      </c>
      <c r="I73" s="5">
        <v>20.38</v>
      </c>
    </row>
    <row r="74" spans="1:26" ht="15.75" customHeight="1">
      <c r="A74" s="3">
        <v>46176.291666666664</v>
      </c>
      <c r="B74" s="5">
        <v>1</v>
      </c>
      <c r="C74" s="5">
        <v>0</v>
      </c>
      <c r="D74" s="6">
        <f t="shared" si="0"/>
        <v>0.48807315185989941</v>
      </c>
      <c r="E74" s="7">
        <f t="shared" si="3"/>
        <v>0</v>
      </c>
      <c r="F74" s="8">
        <f t="shared" si="2"/>
        <v>-0.48807315185989941</v>
      </c>
      <c r="G74" s="5">
        <v>21.25</v>
      </c>
      <c r="H74" s="5">
        <v>3.556</v>
      </c>
      <c r="I74" s="5">
        <v>20.38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7.4195000000000002</v>
      </c>
      <c r="C76" s="11"/>
      <c r="D76" s="16">
        <f>SUM(D2:D75)</f>
        <v>19628.720153157345</v>
      </c>
      <c r="E76" s="15">
        <f>SUM(E1:E74)</f>
        <v>18975</v>
      </c>
      <c r="F76" s="11"/>
      <c r="G76" s="17">
        <f t="shared" ref="G76:I76" si="4">AVERAGE(G1:G74)</f>
        <v>29.123150684931502</v>
      </c>
      <c r="H76" s="17">
        <f t="shared" si="4"/>
        <v>1.9208767123287667</v>
      </c>
      <c r="I76" s="17">
        <f t="shared" si="4"/>
        <v>45.070410958904112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5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46206.791666666664</v>
      </c>
      <c r="B2" s="4">
        <v>0</v>
      </c>
      <c r="C2" s="5">
        <v>19423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31.06</v>
      </c>
      <c r="H2" s="5">
        <v>2.1110000000000002</v>
      </c>
      <c r="I2" s="5">
        <v>38.17</v>
      </c>
    </row>
    <row r="3" spans="1:26" ht="15.75" customHeight="1">
      <c r="A3" s="3">
        <v>46206.784722222219</v>
      </c>
      <c r="B3" s="4">
        <v>0</v>
      </c>
      <c r="C3" s="5">
        <v>19423</v>
      </c>
      <c r="D3" s="6">
        <f t="shared" si="0"/>
        <v>0</v>
      </c>
      <c r="E3" s="7">
        <f t="shared" si="1"/>
        <v>0.65000000000145519</v>
      </c>
      <c r="F3" s="8">
        <f t="shared" si="2"/>
        <v>0.65000000000145519</v>
      </c>
      <c r="G3" s="5">
        <v>31</v>
      </c>
      <c r="H3" s="5">
        <v>3.3330000000000002</v>
      </c>
      <c r="I3" s="5">
        <v>39.61</v>
      </c>
    </row>
    <row r="4" spans="1:26" ht="15.75" customHeight="1">
      <c r="A4" s="3">
        <v>46206.777777777781</v>
      </c>
      <c r="B4" s="5">
        <v>2</v>
      </c>
      <c r="C4" s="5">
        <v>19422.349999999999</v>
      </c>
      <c r="D4" s="6">
        <f t="shared" si="0"/>
        <v>0.9057093416757962</v>
      </c>
      <c r="E4" s="7">
        <f t="shared" si="1"/>
        <v>5.3499999999985448</v>
      </c>
      <c r="F4" s="8">
        <f t="shared" si="2"/>
        <v>4.4442906583227488</v>
      </c>
      <c r="G4" s="5">
        <v>31.56</v>
      </c>
      <c r="H4" s="5">
        <v>2.1110000000000002</v>
      </c>
      <c r="I4" s="5">
        <v>41.33</v>
      </c>
    </row>
    <row r="5" spans="1:26" ht="15.75" customHeight="1">
      <c r="A5" s="3">
        <v>46206.770833333336</v>
      </c>
      <c r="B5" s="5">
        <v>13</v>
      </c>
      <c r="C5" s="5">
        <v>19417</v>
      </c>
      <c r="D5" s="6">
        <f t="shared" si="0"/>
        <v>5.843184281317261</v>
      </c>
      <c r="E5" s="7">
        <f t="shared" si="1"/>
        <v>12</v>
      </c>
      <c r="F5" s="8">
        <f t="shared" si="2"/>
        <v>6.156815718682739</v>
      </c>
      <c r="G5" s="5">
        <v>32.25</v>
      </c>
      <c r="H5" s="5">
        <v>2.444</v>
      </c>
      <c r="I5" s="5">
        <v>43.34</v>
      </c>
    </row>
    <row r="6" spans="1:26" ht="15.75" customHeight="1">
      <c r="A6" s="3">
        <v>46206.763888888891</v>
      </c>
      <c r="B6" s="5">
        <v>25</v>
      </c>
      <c r="C6" s="5">
        <v>19405</v>
      </c>
      <c r="D6" s="6">
        <f t="shared" si="0"/>
        <v>11.164606706255251</v>
      </c>
      <c r="E6" s="7">
        <f t="shared" si="1"/>
        <v>22</v>
      </c>
      <c r="F6" s="8">
        <f t="shared" si="2"/>
        <v>10.835393293744749</v>
      </c>
      <c r="G6" s="5">
        <v>32.81</v>
      </c>
      <c r="H6" s="5">
        <v>2.556</v>
      </c>
      <c r="I6" s="5">
        <v>45.06</v>
      </c>
    </row>
    <row r="7" spans="1:26" ht="15.75" customHeight="1">
      <c r="A7" s="3">
        <v>46206.756944444445</v>
      </c>
      <c r="B7" s="5">
        <v>36</v>
      </c>
      <c r="C7" s="5">
        <v>19383</v>
      </c>
      <c r="D7" s="6">
        <f t="shared" si="0"/>
        <v>15.955391208952566</v>
      </c>
      <c r="E7" s="7">
        <f t="shared" si="1"/>
        <v>36</v>
      </c>
      <c r="F7" s="8">
        <f t="shared" si="2"/>
        <v>20.044608791047434</v>
      </c>
      <c r="G7" s="5">
        <v>33.380000000000003</v>
      </c>
      <c r="H7" s="5">
        <v>2.778</v>
      </c>
      <c r="I7" s="5">
        <v>47.07</v>
      </c>
    </row>
    <row r="8" spans="1:26" ht="15.75" customHeight="1">
      <c r="A8" s="3">
        <v>46206.75</v>
      </c>
      <c r="B8" s="5">
        <v>47</v>
      </c>
      <c r="C8" s="5">
        <v>19347</v>
      </c>
      <c r="D8" s="6">
        <f t="shared" si="0"/>
        <v>20.785613686102209</v>
      </c>
      <c r="E8" s="7">
        <f t="shared" si="1"/>
        <v>54</v>
      </c>
      <c r="F8" s="8">
        <f t="shared" si="2"/>
        <v>33.214386313897791</v>
      </c>
      <c r="G8" s="5">
        <v>33.69</v>
      </c>
      <c r="H8" s="5">
        <v>2.1110000000000002</v>
      </c>
      <c r="I8" s="5">
        <v>47.64</v>
      </c>
    </row>
    <row r="9" spans="1:26" ht="15.75" customHeight="1">
      <c r="A9" s="3">
        <v>46206.743055555555</v>
      </c>
      <c r="B9" s="5">
        <v>157</v>
      </c>
      <c r="C9" s="5">
        <v>19293</v>
      </c>
      <c r="D9" s="6">
        <f t="shared" si="0"/>
        <v>69.356255396251768</v>
      </c>
      <c r="E9" s="7">
        <f t="shared" si="1"/>
        <v>75</v>
      </c>
      <c r="F9" s="8">
        <f t="shared" si="2"/>
        <v>5.6437446037482317</v>
      </c>
      <c r="G9" s="5">
        <v>33.94</v>
      </c>
      <c r="H9" s="5">
        <v>2.8889999999999998</v>
      </c>
      <c r="I9" s="5">
        <v>47.93</v>
      </c>
    </row>
    <row r="10" spans="1:26" ht="15.75" customHeight="1">
      <c r="A10" s="3">
        <v>46206.736111111109</v>
      </c>
      <c r="B10" s="5">
        <v>213</v>
      </c>
      <c r="C10" s="5">
        <v>19218</v>
      </c>
      <c r="D10" s="6">
        <f t="shared" si="0"/>
        <v>94.094792352876595</v>
      </c>
      <c r="E10" s="7">
        <f t="shared" si="1"/>
        <v>96.650000000001455</v>
      </c>
      <c r="F10" s="8">
        <f t="shared" si="2"/>
        <v>2.5552076471248597</v>
      </c>
      <c r="G10" s="5">
        <v>34.380000000000003</v>
      </c>
      <c r="H10" s="5">
        <v>2.6669999999999998</v>
      </c>
      <c r="I10" s="5">
        <v>47.93</v>
      </c>
    </row>
    <row r="11" spans="1:26" ht="15.75" customHeight="1">
      <c r="A11" s="3">
        <v>46206.729166666664</v>
      </c>
      <c r="B11" s="5">
        <v>259</v>
      </c>
      <c r="C11" s="5">
        <v>19121.349999999999</v>
      </c>
      <c r="D11" s="6">
        <f t="shared" si="0"/>
        <v>114.54199882341432</v>
      </c>
      <c r="E11" s="7">
        <f t="shared" si="1"/>
        <v>117.34999999999854</v>
      </c>
      <c r="F11" s="8">
        <f t="shared" si="2"/>
        <v>2.8080011765842272</v>
      </c>
      <c r="G11" s="5">
        <v>34.5</v>
      </c>
      <c r="H11" s="5">
        <v>2.778</v>
      </c>
      <c r="I11" s="5">
        <v>47.64</v>
      </c>
    </row>
    <row r="12" spans="1:26" ht="15.75" customHeight="1">
      <c r="A12" s="3">
        <v>46206.722222222219</v>
      </c>
      <c r="B12" s="5">
        <v>306</v>
      </c>
      <c r="C12" s="5">
        <v>19004</v>
      </c>
      <c r="D12" s="6">
        <f t="shared" si="0"/>
        <v>135.17843408441425</v>
      </c>
      <c r="E12" s="7">
        <f t="shared" si="1"/>
        <v>140</v>
      </c>
      <c r="F12" s="8">
        <f t="shared" si="2"/>
        <v>4.8215659155857509</v>
      </c>
      <c r="G12" s="5">
        <v>34.619999999999997</v>
      </c>
      <c r="H12" s="5">
        <v>3.222</v>
      </c>
      <c r="I12" s="5">
        <v>47.93</v>
      </c>
    </row>
    <row r="13" spans="1:26" ht="15.75" customHeight="1">
      <c r="A13" s="3">
        <v>46206.715277777781</v>
      </c>
      <c r="B13" s="5">
        <v>353</v>
      </c>
      <c r="C13" s="5">
        <v>18864</v>
      </c>
      <c r="D13" s="6">
        <f t="shared" si="0"/>
        <v>155.76904329325865</v>
      </c>
      <c r="E13" s="7">
        <f t="shared" si="1"/>
        <v>161.65000000000146</v>
      </c>
      <c r="F13" s="8">
        <f t="shared" si="2"/>
        <v>5.8809567067428077</v>
      </c>
      <c r="G13" s="5">
        <v>35</v>
      </c>
      <c r="H13" s="5">
        <v>3.444</v>
      </c>
      <c r="I13" s="5">
        <v>48.22</v>
      </c>
    </row>
    <row r="14" spans="1:26" ht="15.75" customHeight="1">
      <c r="A14" s="3">
        <v>46206.708333333336</v>
      </c>
      <c r="B14" s="5">
        <v>401</v>
      </c>
      <c r="C14" s="5">
        <v>18702.349999999999</v>
      </c>
      <c r="D14" s="6">
        <f t="shared" si="0"/>
        <v>176.76135211912228</v>
      </c>
      <c r="E14" s="7">
        <f t="shared" si="1"/>
        <v>184.34999999999854</v>
      </c>
      <c r="F14" s="8">
        <f t="shared" si="2"/>
        <v>7.5886478808762661</v>
      </c>
      <c r="G14" s="5">
        <v>35.25</v>
      </c>
      <c r="H14" s="5">
        <v>2.778</v>
      </c>
      <c r="I14" s="5">
        <v>48.5</v>
      </c>
    </row>
    <row r="15" spans="1:26" ht="15.75" customHeight="1">
      <c r="A15" s="3">
        <v>46206.701388888891</v>
      </c>
      <c r="B15" s="5">
        <v>445</v>
      </c>
      <c r="C15" s="5">
        <v>18518</v>
      </c>
      <c r="D15" s="6">
        <f t="shared" si="0"/>
        <v>196.15661270077157</v>
      </c>
      <c r="E15" s="7">
        <f t="shared" si="1"/>
        <v>204</v>
      </c>
      <c r="F15" s="8">
        <f t="shared" si="2"/>
        <v>7.843387299228425</v>
      </c>
      <c r="G15" s="5">
        <v>35.5</v>
      </c>
      <c r="H15" s="5">
        <v>2.3330000000000002</v>
      </c>
      <c r="I15" s="5">
        <v>48.5</v>
      </c>
    </row>
    <row r="16" spans="1:26" ht="15.75" customHeight="1">
      <c r="A16" s="3">
        <v>46206.694444444445</v>
      </c>
      <c r="B16" s="5">
        <v>493</v>
      </c>
      <c r="C16" s="5">
        <v>18314</v>
      </c>
      <c r="D16" s="6">
        <f t="shared" si="0"/>
        <v>217.31507878984362</v>
      </c>
      <c r="E16" s="7">
        <f t="shared" si="1"/>
        <v>226</v>
      </c>
      <c r="F16" s="8">
        <f t="shared" si="2"/>
        <v>8.6849212101563751</v>
      </c>
      <c r="G16" s="5">
        <v>35.380000000000003</v>
      </c>
      <c r="H16" s="5">
        <v>1.889</v>
      </c>
      <c r="I16" s="5">
        <v>48.5</v>
      </c>
    </row>
    <row r="17" spans="1:9" ht="15.75" customHeight="1">
      <c r="A17" s="3">
        <v>46206.6875</v>
      </c>
      <c r="B17" s="5">
        <v>542</v>
      </c>
      <c r="C17" s="5">
        <v>18088</v>
      </c>
      <c r="D17" s="6">
        <f t="shared" si="0"/>
        <v>238.91434625577122</v>
      </c>
      <c r="E17" s="7">
        <f t="shared" si="1"/>
        <v>246.65000000000146</v>
      </c>
      <c r="F17" s="8">
        <f t="shared" si="2"/>
        <v>7.735653744230234</v>
      </c>
      <c r="G17" s="5">
        <v>35.81</v>
      </c>
      <c r="H17" s="5">
        <v>0.55600000000000005</v>
      </c>
      <c r="I17" s="5">
        <v>48.5</v>
      </c>
    </row>
    <row r="18" spans="1:9" ht="15.75" customHeight="1">
      <c r="A18" s="3">
        <v>46206.680555555555</v>
      </c>
      <c r="B18" s="5">
        <v>581</v>
      </c>
      <c r="C18" s="5">
        <v>17841.349999999999</v>
      </c>
      <c r="D18" s="6">
        <f t="shared" si="0"/>
        <v>255.8223559499252</v>
      </c>
      <c r="E18" s="7">
        <f t="shared" si="1"/>
        <v>264</v>
      </c>
      <c r="F18" s="8">
        <f t="shared" si="2"/>
        <v>8.1776440500748038</v>
      </c>
      <c r="G18" s="5">
        <v>36.119999999999997</v>
      </c>
      <c r="H18" s="5">
        <v>1.889</v>
      </c>
      <c r="I18" s="5">
        <v>48.79</v>
      </c>
    </row>
    <row r="19" spans="1:9" ht="15.75" customHeight="1">
      <c r="A19" s="3">
        <v>46206.673611111109</v>
      </c>
      <c r="B19" s="5">
        <v>624</v>
      </c>
      <c r="C19" s="5">
        <v>17577.349999999999</v>
      </c>
      <c r="D19" s="6">
        <f t="shared" si="0"/>
        <v>274.75585217341364</v>
      </c>
      <c r="E19" s="7">
        <f t="shared" si="1"/>
        <v>281.34999999999854</v>
      </c>
      <c r="F19" s="8">
        <f t="shared" si="2"/>
        <v>6.5941478265849014</v>
      </c>
      <c r="G19" s="5">
        <v>35.81</v>
      </c>
      <c r="H19" s="5">
        <v>1.889</v>
      </c>
      <c r="I19" s="5">
        <v>48.79</v>
      </c>
    </row>
    <row r="20" spans="1:9" ht="15.75" customHeight="1">
      <c r="A20" s="3">
        <v>46206.666666666664</v>
      </c>
      <c r="B20" s="5">
        <v>667</v>
      </c>
      <c r="C20" s="5">
        <v>17296</v>
      </c>
      <c r="D20" s="6">
        <f t="shared" si="0"/>
        <v>293.36417843107461</v>
      </c>
      <c r="E20" s="7">
        <f t="shared" si="1"/>
        <v>300</v>
      </c>
      <c r="F20" s="8">
        <f t="shared" si="2"/>
        <v>6.6358215689253939</v>
      </c>
      <c r="G20" s="5">
        <v>35.69</v>
      </c>
      <c r="H20" s="5">
        <v>3.778</v>
      </c>
      <c r="I20" s="5">
        <v>49.08</v>
      </c>
    </row>
    <row r="21" spans="1:9" ht="15.75" customHeight="1">
      <c r="A21" s="3">
        <v>46206.659722222219</v>
      </c>
      <c r="B21" s="5">
        <v>707</v>
      </c>
      <c r="C21" s="5">
        <v>16996</v>
      </c>
      <c r="D21" s="6">
        <f t="shared" si="0"/>
        <v>310.9572326098496</v>
      </c>
      <c r="E21" s="7">
        <f t="shared" si="1"/>
        <v>314.65000000000146</v>
      </c>
      <c r="F21" s="8">
        <f t="shared" si="2"/>
        <v>3.6927673901518574</v>
      </c>
      <c r="G21" s="5">
        <v>36</v>
      </c>
      <c r="H21" s="5">
        <v>3</v>
      </c>
      <c r="I21" s="5">
        <v>49.08</v>
      </c>
    </row>
    <row r="22" spans="1:9" ht="15.75" customHeight="1">
      <c r="A22" s="3">
        <v>46206.652777777781</v>
      </c>
      <c r="B22" s="5">
        <v>744</v>
      </c>
      <c r="C22" s="5">
        <v>16681.349999999999</v>
      </c>
      <c r="D22" s="6">
        <f t="shared" si="0"/>
        <v>327.59351605291624</v>
      </c>
      <c r="E22" s="7">
        <f t="shared" si="1"/>
        <v>328.99999999999818</v>
      </c>
      <c r="F22" s="8">
        <f t="shared" si="2"/>
        <v>1.4064839470819379</v>
      </c>
      <c r="G22" s="5">
        <v>35.56</v>
      </c>
      <c r="H22" s="5">
        <v>4.556</v>
      </c>
      <c r="I22" s="5">
        <v>48.79</v>
      </c>
    </row>
    <row r="23" spans="1:9" ht="15.75" customHeight="1">
      <c r="A23" s="3">
        <v>46206.645833333336</v>
      </c>
      <c r="B23" s="5">
        <v>776</v>
      </c>
      <c r="C23" s="5">
        <v>16352.35</v>
      </c>
      <c r="D23" s="6">
        <f t="shared" si="0"/>
        <v>341.68355975411703</v>
      </c>
      <c r="E23" s="7">
        <f t="shared" si="1"/>
        <v>342.35000000000036</v>
      </c>
      <c r="F23" s="8">
        <f t="shared" si="2"/>
        <v>0.6664402458833365</v>
      </c>
      <c r="G23" s="5">
        <v>36.119999999999997</v>
      </c>
      <c r="H23" s="5">
        <v>3.778</v>
      </c>
      <c r="I23" s="5">
        <v>48.79</v>
      </c>
    </row>
    <row r="24" spans="1:9" ht="15.75" customHeight="1">
      <c r="A24" s="3">
        <v>46206.638888888891</v>
      </c>
      <c r="B24" s="5">
        <v>811</v>
      </c>
      <c r="C24" s="5">
        <v>16010</v>
      </c>
      <c r="D24" s="6">
        <f t="shared" si="0"/>
        <v>357.09454505230519</v>
      </c>
      <c r="E24" s="7">
        <f t="shared" si="1"/>
        <v>355</v>
      </c>
      <c r="F24" s="8">
        <f t="shared" si="2"/>
        <v>-2.0945450523051932</v>
      </c>
      <c r="G24" s="5">
        <v>35.81</v>
      </c>
      <c r="H24" s="5">
        <v>3.3330000000000002</v>
      </c>
      <c r="I24" s="5">
        <v>48.79</v>
      </c>
    </row>
    <row r="25" spans="1:9" ht="15.75" customHeight="1">
      <c r="A25" s="3">
        <v>46206.631944444445</v>
      </c>
      <c r="B25" s="5">
        <v>843</v>
      </c>
      <c r="C25" s="5">
        <v>15655</v>
      </c>
      <c r="D25" s="6">
        <f t="shared" si="0"/>
        <v>370.3768163279268</v>
      </c>
      <c r="E25" s="7">
        <f t="shared" si="1"/>
        <v>365.64999999999964</v>
      </c>
      <c r="F25" s="8">
        <f t="shared" si="2"/>
        <v>-4.7268163279271675</v>
      </c>
      <c r="G25" s="5">
        <v>36.19</v>
      </c>
      <c r="H25" s="5">
        <v>2.1110000000000002</v>
      </c>
      <c r="I25" s="5">
        <v>49.36</v>
      </c>
    </row>
    <row r="26" spans="1:9" ht="15.75" customHeight="1">
      <c r="A26" s="3">
        <v>46206.625</v>
      </c>
      <c r="B26" s="5">
        <v>874</v>
      </c>
      <c r="C26" s="5">
        <v>15289.35</v>
      </c>
      <c r="D26" s="6">
        <f t="shared" si="0"/>
        <v>384.40823380623567</v>
      </c>
      <c r="E26" s="7">
        <f t="shared" si="1"/>
        <v>379</v>
      </c>
      <c r="F26" s="8">
        <f t="shared" si="2"/>
        <v>-5.4082338062356712</v>
      </c>
      <c r="G26" s="5">
        <v>35.75</v>
      </c>
      <c r="H26" s="5">
        <v>3.556</v>
      </c>
      <c r="I26" s="5">
        <v>49.08</v>
      </c>
    </row>
    <row r="27" spans="1:9" ht="15.75" customHeight="1">
      <c r="A27" s="3">
        <v>46206.618055555555</v>
      </c>
      <c r="B27" s="5">
        <v>904</v>
      </c>
      <c r="C27" s="5">
        <v>14910.35</v>
      </c>
      <c r="D27" s="6">
        <f t="shared" si="0"/>
        <v>396.73680110375301</v>
      </c>
      <c r="E27" s="7">
        <f t="shared" si="1"/>
        <v>388.35000000000036</v>
      </c>
      <c r="F27" s="8">
        <f t="shared" si="2"/>
        <v>-8.3868011037526458</v>
      </c>
      <c r="G27" s="5">
        <v>36.19</v>
      </c>
      <c r="H27" s="5">
        <v>2.556</v>
      </c>
      <c r="I27" s="5">
        <v>49.65</v>
      </c>
    </row>
    <row r="28" spans="1:9" ht="15.75" customHeight="1">
      <c r="A28" s="3">
        <v>46206.611111111109</v>
      </c>
      <c r="B28" s="5">
        <v>931</v>
      </c>
      <c r="C28" s="5">
        <v>14522</v>
      </c>
      <c r="D28" s="6">
        <f t="shared" si="0"/>
        <v>409.47833601099023</v>
      </c>
      <c r="E28" s="7">
        <f t="shared" si="1"/>
        <v>395</v>
      </c>
      <c r="F28" s="8">
        <f t="shared" si="2"/>
        <v>-14.478336010990233</v>
      </c>
      <c r="G28" s="5">
        <v>35.5</v>
      </c>
      <c r="H28" s="5">
        <v>6.3330000000000002</v>
      </c>
      <c r="I28" s="5">
        <v>49.08</v>
      </c>
    </row>
    <row r="29" spans="1:9" ht="15.75" customHeight="1">
      <c r="A29" s="3">
        <v>46206.604166666664</v>
      </c>
      <c r="B29" s="5">
        <v>950</v>
      </c>
      <c r="C29" s="5">
        <v>14127</v>
      </c>
      <c r="D29" s="6">
        <f t="shared" si="0"/>
        <v>417.83503674590833</v>
      </c>
      <c r="E29" s="7">
        <f t="shared" si="1"/>
        <v>405</v>
      </c>
      <c r="F29" s="8">
        <f t="shared" si="2"/>
        <v>-12.835036745908326</v>
      </c>
      <c r="G29" s="5">
        <v>35.619999999999997</v>
      </c>
      <c r="H29" s="5">
        <v>3</v>
      </c>
      <c r="I29" s="5">
        <v>49.08</v>
      </c>
    </row>
    <row r="30" spans="1:9" ht="15.75" customHeight="1">
      <c r="A30" s="3">
        <v>46206.597222222219</v>
      </c>
      <c r="B30" s="5">
        <v>982</v>
      </c>
      <c r="C30" s="5">
        <v>13722</v>
      </c>
      <c r="D30" s="6">
        <f t="shared" si="0"/>
        <v>431.90948008892843</v>
      </c>
      <c r="E30" s="7">
        <f t="shared" si="1"/>
        <v>410</v>
      </c>
      <c r="F30" s="8">
        <f t="shared" si="2"/>
        <v>-21.909480088928433</v>
      </c>
      <c r="G30" s="5">
        <v>35.380000000000003</v>
      </c>
      <c r="H30" s="5">
        <v>3.556</v>
      </c>
      <c r="I30" s="5">
        <v>49.08</v>
      </c>
    </row>
    <row r="31" spans="1:9" ht="15.75" customHeight="1">
      <c r="A31" s="3">
        <v>46206.590277777781</v>
      </c>
      <c r="B31" s="5">
        <v>993</v>
      </c>
      <c r="C31" s="5">
        <v>13312</v>
      </c>
      <c r="D31" s="6">
        <f t="shared" si="0"/>
        <v>437.23166860288416</v>
      </c>
      <c r="E31" s="7">
        <f t="shared" si="1"/>
        <v>419</v>
      </c>
      <c r="F31" s="8">
        <f t="shared" si="2"/>
        <v>-18.231668602884156</v>
      </c>
      <c r="G31" s="5">
        <v>35</v>
      </c>
      <c r="H31" s="5">
        <v>2.3330000000000002</v>
      </c>
      <c r="I31" s="5">
        <v>48.79</v>
      </c>
    </row>
    <row r="32" spans="1:9" ht="15.75" customHeight="1">
      <c r="A32" s="3">
        <v>46206.583333333336</v>
      </c>
      <c r="B32" s="5">
        <v>1013</v>
      </c>
      <c r="C32" s="5">
        <v>12893</v>
      </c>
      <c r="D32" s="6">
        <f t="shared" si="0"/>
        <v>445.54409707747908</v>
      </c>
      <c r="E32" s="7">
        <f t="shared" si="1"/>
        <v>421</v>
      </c>
      <c r="F32" s="8">
        <f t="shared" si="2"/>
        <v>-24.54409707747908</v>
      </c>
      <c r="G32" s="5">
        <v>34.81</v>
      </c>
      <c r="H32" s="5">
        <v>4.3330000000000002</v>
      </c>
      <c r="I32" s="5">
        <v>49.08</v>
      </c>
    </row>
    <row r="33" spans="1:9" ht="15.75" customHeight="1">
      <c r="A33" s="3">
        <v>46206.576388888891</v>
      </c>
      <c r="B33" s="5">
        <v>1021</v>
      </c>
      <c r="C33" s="5">
        <v>12472</v>
      </c>
      <c r="D33" s="6">
        <f t="shared" si="0"/>
        <v>449.06270791323408</v>
      </c>
      <c r="E33" s="7">
        <f t="shared" si="1"/>
        <v>427.64999999999964</v>
      </c>
      <c r="F33" s="8">
        <f t="shared" si="2"/>
        <v>-21.412707913234442</v>
      </c>
      <c r="G33" s="5">
        <v>34.06</v>
      </c>
      <c r="H33" s="5">
        <v>0.77800000000000002</v>
      </c>
      <c r="I33" s="5">
        <v>49.08</v>
      </c>
    </row>
    <row r="34" spans="1:9" ht="15.75" customHeight="1">
      <c r="A34" s="3">
        <v>46206.569444444445</v>
      </c>
      <c r="B34" s="5">
        <v>1043</v>
      </c>
      <c r="C34" s="5">
        <v>12044.35</v>
      </c>
      <c r="D34" s="6">
        <f t="shared" si="0"/>
        <v>459.2473618860102</v>
      </c>
      <c r="E34" s="7">
        <f t="shared" si="1"/>
        <v>428.35000000000036</v>
      </c>
      <c r="F34" s="8">
        <f t="shared" si="2"/>
        <v>-30.897361886009833</v>
      </c>
      <c r="G34" s="5">
        <v>34.69</v>
      </c>
      <c r="H34" s="5">
        <v>2.8889999999999998</v>
      </c>
      <c r="I34" s="5">
        <v>48.79</v>
      </c>
    </row>
    <row r="35" spans="1:9" ht="15.75" customHeight="1">
      <c r="A35" s="3">
        <v>46206.5625</v>
      </c>
      <c r="B35" s="5">
        <v>1053</v>
      </c>
      <c r="C35" s="5">
        <v>11616</v>
      </c>
      <c r="D35" s="6">
        <f t="shared" si="0"/>
        <v>463.65050054263548</v>
      </c>
      <c r="E35" s="7">
        <f t="shared" si="1"/>
        <v>431</v>
      </c>
      <c r="F35" s="8">
        <f t="shared" si="2"/>
        <v>-32.650500542635484</v>
      </c>
      <c r="G35" s="5">
        <v>34.81</v>
      </c>
      <c r="H35" s="5">
        <v>2.6669999999999998</v>
      </c>
      <c r="I35" s="5">
        <v>48.79</v>
      </c>
    </row>
    <row r="36" spans="1:9" ht="15.75" customHeight="1">
      <c r="A36" s="3">
        <v>46206.555555555555</v>
      </c>
      <c r="B36" s="5">
        <v>1059</v>
      </c>
      <c r="C36" s="5">
        <v>11185</v>
      </c>
      <c r="D36" s="6">
        <f t="shared" si="0"/>
        <v>466.80865809015086</v>
      </c>
      <c r="E36" s="7">
        <f t="shared" si="1"/>
        <v>434</v>
      </c>
      <c r="F36" s="8">
        <f t="shared" si="2"/>
        <v>-32.808658090150857</v>
      </c>
      <c r="G36" s="5">
        <v>33.880000000000003</v>
      </c>
      <c r="H36" s="5">
        <v>1.111</v>
      </c>
      <c r="I36" s="5">
        <v>48.5</v>
      </c>
    </row>
    <row r="37" spans="1:9" ht="15.75" customHeight="1">
      <c r="A37" s="3">
        <v>46206.548611111109</v>
      </c>
      <c r="B37" s="5">
        <v>1069</v>
      </c>
      <c r="C37" s="5">
        <v>10751</v>
      </c>
      <c r="D37" s="6">
        <f t="shared" si="0"/>
        <v>471.21667185870746</v>
      </c>
      <c r="E37" s="7">
        <f t="shared" si="1"/>
        <v>437</v>
      </c>
      <c r="F37" s="8">
        <f t="shared" si="2"/>
        <v>-34.216671858707457</v>
      </c>
      <c r="G37" s="5">
        <v>33.25</v>
      </c>
      <c r="H37" s="5">
        <v>1</v>
      </c>
      <c r="I37" s="5">
        <v>48.5</v>
      </c>
    </row>
    <row r="38" spans="1:9" ht="15.75" customHeight="1">
      <c r="A38" s="3">
        <v>46206.541666666664</v>
      </c>
      <c r="B38" s="5">
        <v>1075</v>
      </c>
      <c r="C38" s="5">
        <v>10314</v>
      </c>
      <c r="D38" s="6">
        <f t="shared" si="0"/>
        <v>473.86148011984136</v>
      </c>
      <c r="E38" s="7">
        <f t="shared" si="1"/>
        <v>437</v>
      </c>
      <c r="F38" s="8">
        <f t="shared" si="2"/>
        <v>-36.86148011984136</v>
      </c>
      <c r="G38" s="5">
        <v>32.880000000000003</v>
      </c>
      <c r="H38" s="5">
        <v>2.8889999999999998</v>
      </c>
      <c r="I38" s="5">
        <v>48.5</v>
      </c>
    </row>
    <row r="39" spans="1:9" ht="15.75" customHeight="1">
      <c r="A39" s="3">
        <v>46206.534722222219</v>
      </c>
      <c r="B39" s="5">
        <v>1074</v>
      </c>
      <c r="C39" s="5">
        <v>9877</v>
      </c>
      <c r="D39" s="6">
        <f t="shared" si="0"/>
        <v>473.4206787429859</v>
      </c>
      <c r="E39" s="7">
        <f t="shared" si="1"/>
        <v>436</v>
      </c>
      <c r="F39" s="8">
        <f t="shared" si="2"/>
        <v>-37.420678742985899</v>
      </c>
      <c r="G39" s="5">
        <v>33.130000000000003</v>
      </c>
      <c r="H39" s="5">
        <v>3.222</v>
      </c>
      <c r="I39" s="5">
        <v>48.5</v>
      </c>
    </row>
    <row r="40" spans="1:9" ht="15.75" customHeight="1">
      <c r="A40" s="3">
        <v>46206.527777777781</v>
      </c>
      <c r="B40" s="5">
        <v>1069</v>
      </c>
      <c r="C40" s="5">
        <v>9441</v>
      </c>
      <c r="D40" s="6">
        <f t="shared" si="0"/>
        <v>470.69552239323576</v>
      </c>
      <c r="E40" s="7">
        <f t="shared" si="1"/>
        <v>438</v>
      </c>
      <c r="F40" s="8">
        <f t="shared" si="2"/>
        <v>-32.695522393235763</v>
      </c>
      <c r="G40" s="5">
        <v>32.630000000000003</v>
      </c>
      <c r="H40" s="5">
        <v>1.778</v>
      </c>
      <c r="I40" s="5">
        <v>48.79</v>
      </c>
    </row>
    <row r="41" spans="1:9" ht="15.75" customHeight="1">
      <c r="A41" s="3">
        <v>46206.520833333336</v>
      </c>
      <c r="B41" s="5">
        <v>1072</v>
      </c>
      <c r="C41" s="5">
        <v>9003</v>
      </c>
      <c r="D41" s="6">
        <f t="shared" si="0"/>
        <v>472.01646399022354</v>
      </c>
      <c r="E41" s="7">
        <f t="shared" si="1"/>
        <v>440.64700000000084</v>
      </c>
      <c r="F41" s="8">
        <f t="shared" si="2"/>
        <v>-31.369463990222698</v>
      </c>
      <c r="G41" s="5">
        <v>33</v>
      </c>
      <c r="H41" s="5">
        <v>1.778</v>
      </c>
      <c r="I41" s="5">
        <v>48.79</v>
      </c>
    </row>
    <row r="42" spans="1:9" ht="15.75" customHeight="1">
      <c r="A42" s="3">
        <v>46206.513888888891</v>
      </c>
      <c r="B42" s="5">
        <v>1060</v>
      </c>
      <c r="C42" s="5">
        <v>8562.3529999999992</v>
      </c>
      <c r="D42" s="6">
        <f t="shared" si="0"/>
        <v>466.21593573753984</v>
      </c>
      <c r="E42" s="7">
        <f t="shared" si="1"/>
        <v>437.99999999999909</v>
      </c>
      <c r="F42" s="8">
        <f t="shared" si="2"/>
        <v>-28.215935737540747</v>
      </c>
      <c r="G42" s="5">
        <v>32</v>
      </c>
      <c r="H42" s="5">
        <v>0.44400000000000001</v>
      </c>
      <c r="I42" s="5">
        <v>49.08</v>
      </c>
    </row>
    <row r="43" spans="1:9" ht="15.75" customHeight="1">
      <c r="A43" s="3">
        <v>46206.506944444445</v>
      </c>
      <c r="B43" s="5">
        <v>1055</v>
      </c>
      <c r="C43" s="5">
        <v>8124.3530000000001</v>
      </c>
      <c r="D43" s="6">
        <f t="shared" si="0"/>
        <v>464.01680396519299</v>
      </c>
      <c r="E43" s="7">
        <f t="shared" si="1"/>
        <v>440.35300000000007</v>
      </c>
      <c r="F43" s="8">
        <f t="shared" si="2"/>
        <v>-23.663803965192926</v>
      </c>
      <c r="G43" s="5">
        <v>31.5</v>
      </c>
      <c r="H43" s="5">
        <v>1</v>
      </c>
      <c r="I43" s="5">
        <v>49.08</v>
      </c>
    </row>
    <row r="44" spans="1:9" ht="15.75" customHeight="1">
      <c r="A44" s="3">
        <v>46206.5</v>
      </c>
      <c r="B44" s="5">
        <v>1047</v>
      </c>
      <c r="C44" s="5">
        <v>7684</v>
      </c>
      <c r="D44" s="6">
        <f t="shared" si="0"/>
        <v>460.00536974536107</v>
      </c>
      <c r="E44" s="7">
        <f t="shared" si="1"/>
        <v>431.64699999999993</v>
      </c>
      <c r="F44" s="8">
        <f t="shared" si="2"/>
        <v>-28.358369745361131</v>
      </c>
      <c r="G44" s="5">
        <v>31.13</v>
      </c>
      <c r="H44" s="5">
        <v>3.778</v>
      </c>
      <c r="I44" s="5">
        <v>49.36</v>
      </c>
    </row>
    <row r="45" spans="1:9" ht="15.75" customHeight="1">
      <c r="A45" s="3">
        <v>46206.493055555555</v>
      </c>
      <c r="B45" s="5">
        <v>1033</v>
      </c>
      <c r="C45" s="5">
        <v>7252.3530000000001</v>
      </c>
      <c r="D45" s="6">
        <f t="shared" si="0"/>
        <v>453.85439058926255</v>
      </c>
      <c r="E45" s="7">
        <f t="shared" si="1"/>
        <v>427.35300000000007</v>
      </c>
      <c r="F45" s="8">
        <f t="shared" si="2"/>
        <v>-26.501390589262485</v>
      </c>
      <c r="G45" s="5">
        <v>30.56</v>
      </c>
      <c r="H45" s="5">
        <v>2.444</v>
      </c>
      <c r="I45" s="5">
        <v>49.36</v>
      </c>
    </row>
    <row r="46" spans="1:9" ht="15.75" customHeight="1">
      <c r="A46" s="26" t="s">
        <v>13</v>
      </c>
      <c r="B46" s="27">
        <v>1017.5</v>
      </c>
      <c r="C46" s="5">
        <v>6825</v>
      </c>
      <c r="D46" s="6">
        <f t="shared" si="0"/>
        <v>447.04437795215381</v>
      </c>
      <c r="E46" s="7">
        <f t="shared" si="1"/>
        <v>422.64699999999993</v>
      </c>
      <c r="F46" s="8">
        <f t="shared" si="2"/>
        <v>-24.397377952153875</v>
      </c>
      <c r="G46" s="27">
        <v>30.125</v>
      </c>
      <c r="I46" s="5">
        <v>49.36</v>
      </c>
    </row>
    <row r="47" spans="1:9" ht="15.75" customHeight="1">
      <c r="A47" s="3">
        <v>46206.479166666664</v>
      </c>
      <c r="B47" s="5">
        <v>1002</v>
      </c>
      <c r="C47" s="5">
        <v>6402.3530000000001</v>
      </c>
      <c r="D47" s="6">
        <f t="shared" si="0"/>
        <v>440.23436531504467</v>
      </c>
      <c r="E47" s="7">
        <f t="shared" si="1"/>
        <v>417.35300000000007</v>
      </c>
      <c r="F47" s="8">
        <f t="shared" si="2"/>
        <v>-22.881365315044604</v>
      </c>
      <c r="G47" s="5">
        <v>29.69</v>
      </c>
      <c r="H47" s="5">
        <v>1.667</v>
      </c>
      <c r="I47" s="5">
        <v>49.36</v>
      </c>
    </row>
    <row r="48" spans="1:9" ht="15.75" customHeight="1">
      <c r="A48" s="3">
        <v>46206.472222222219</v>
      </c>
      <c r="B48" s="5">
        <v>973</v>
      </c>
      <c r="C48" s="5">
        <v>5985</v>
      </c>
      <c r="D48" s="6">
        <f t="shared" si="0"/>
        <v>427.0187029579111</v>
      </c>
      <c r="E48" s="7">
        <f t="shared" si="1"/>
        <v>411</v>
      </c>
      <c r="F48" s="8">
        <f t="shared" si="2"/>
        <v>-16.018702957911103</v>
      </c>
      <c r="G48" s="5">
        <v>29.81</v>
      </c>
      <c r="H48" s="5">
        <v>2.3330000000000002</v>
      </c>
      <c r="I48" s="5">
        <v>49.65</v>
      </c>
    </row>
    <row r="49" spans="1:9" ht="15.75" customHeight="1">
      <c r="A49" s="3">
        <v>46206.465277777781</v>
      </c>
      <c r="B49" s="5">
        <v>954</v>
      </c>
      <c r="C49" s="5">
        <v>5574</v>
      </c>
      <c r="D49" s="6">
        <f t="shared" si="0"/>
        <v>418.68020824444721</v>
      </c>
      <c r="E49" s="7">
        <f t="shared" si="1"/>
        <v>405</v>
      </c>
      <c r="F49" s="8">
        <f t="shared" si="2"/>
        <v>-13.680208244447215</v>
      </c>
      <c r="G49" s="5">
        <v>28.94</v>
      </c>
      <c r="H49" s="5">
        <v>1.333</v>
      </c>
      <c r="I49" s="5">
        <v>49.65</v>
      </c>
    </row>
    <row r="50" spans="1:9" ht="15.75" customHeight="1">
      <c r="A50" s="3">
        <v>46206.458333333336</v>
      </c>
      <c r="B50" s="5">
        <v>936</v>
      </c>
      <c r="C50" s="5">
        <v>5169</v>
      </c>
      <c r="D50" s="6">
        <f t="shared" si="0"/>
        <v>411.23689215058067</v>
      </c>
      <c r="E50" s="7">
        <f t="shared" si="1"/>
        <v>398</v>
      </c>
      <c r="F50" s="8">
        <f t="shared" si="2"/>
        <v>-13.236892150580672</v>
      </c>
      <c r="G50" s="5">
        <v>28.94</v>
      </c>
      <c r="H50" s="5">
        <v>0.77800000000000002</v>
      </c>
      <c r="I50" s="5">
        <v>49.36</v>
      </c>
    </row>
    <row r="51" spans="1:9" ht="15.75" customHeight="1">
      <c r="A51" s="3">
        <v>46206.451388888891</v>
      </c>
      <c r="B51" s="5">
        <v>909</v>
      </c>
      <c r="C51" s="5">
        <v>4771</v>
      </c>
      <c r="D51" s="6">
        <f t="shared" si="0"/>
        <v>398.93114181782238</v>
      </c>
      <c r="E51" s="7">
        <f t="shared" si="1"/>
        <v>388</v>
      </c>
      <c r="F51" s="8">
        <f t="shared" si="2"/>
        <v>-10.931141817822379</v>
      </c>
      <c r="G51" s="5">
        <v>28.5</v>
      </c>
      <c r="H51" s="5">
        <v>0.77800000000000002</v>
      </c>
      <c r="I51" s="5">
        <v>49.65</v>
      </c>
    </row>
    <row r="52" spans="1:9" ht="15.75" customHeight="1">
      <c r="A52" s="26" t="s">
        <v>14</v>
      </c>
      <c r="B52" s="27">
        <v>879</v>
      </c>
      <c r="C52" s="5">
        <v>4383</v>
      </c>
      <c r="D52" s="6">
        <f t="shared" si="0"/>
        <v>386.1862315559942</v>
      </c>
      <c r="E52" s="7">
        <f t="shared" si="1"/>
        <v>378</v>
      </c>
      <c r="F52" s="8">
        <f t="shared" si="2"/>
        <v>-8.1862315559941976</v>
      </c>
      <c r="G52" s="27">
        <v>28</v>
      </c>
      <c r="I52" s="27">
        <v>49.365000000000002</v>
      </c>
    </row>
    <row r="53" spans="1:9" ht="15.75" customHeight="1">
      <c r="A53" s="3">
        <v>46206.4375</v>
      </c>
      <c r="B53" s="5">
        <v>849</v>
      </c>
      <c r="C53" s="5">
        <v>4005</v>
      </c>
      <c r="D53" s="6">
        <f t="shared" si="0"/>
        <v>373.41257494450122</v>
      </c>
      <c r="E53" s="7">
        <f t="shared" si="1"/>
        <v>368</v>
      </c>
      <c r="F53" s="8">
        <f t="shared" si="2"/>
        <v>-5.4125749445012161</v>
      </c>
      <c r="G53" s="5">
        <v>27.5</v>
      </c>
      <c r="H53" s="5">
        <v>1.778</v>
      </c>
      <c r="I53" s="5">
        <v>49.08</v>
      </c>
    </row>
    <row r="54" spans="1:9" ht="15.75" customHeight="1">
      <c r="A54" s="3">
        <v>46206.430555555555</v>
      </c>
      <c r="B54" s="5">
        <v>817</v>
      </c>
      <c r="C54" s="5">
        <v>3637</v>
      </c>
      <c r="D54" s="6">
        <f t="shared" si="0"/>
        <v>359.33813160148117</v>
      </c>
      <c r="E54" s="7">
        <f t="shared" si="1"/>
        <v>355</v>
      </c>
      <c r="F54" s="8">
        <f t="shared" si="2"/>
        <v>-4.3381316014811659</v>
      </c>
      <c r="G54" s="5">
        <v>27.25</v>
      </c>
      <c r="H54" s="5">
        <v>2.6669999999999998</v>
      </c>
      <c r="I54" s="5">
        <v>49.08</v>
      </c>
    </row>
    <row r="55" spans="1:9" ht="15.75" customHeight="1">
      <c r="A55" s="3">
        <v>46206.423611111109</v>
      </c>
      <c r="B55" s="5">
        <v>777</v>
      </c>
      <c r="C55" s="5">
        <v>3282</v>
      </c>
      <c r="D55" s="6">
        <f t="shared" si="0"/>
        <v>341.00054696638944</v>
      </c>
      <c r="E55" s="7">
        <f t="shared" si="1"/>
        <v>342</v>
      </c>
      <c r="F55" s="8">
        <f t="shared" si="2"/>
        <v>0.99945303361056403</v>
      </c>
      <c r="G55" s="5">
        <v>27.13</v>
      </c>
      <c r="H55" s="5">
        <v>3.1110000000000002</v>
      </c>
      <c r="I55" s="5">
        <v>49.65</v>
      </c>
    </row>
    <row r="56" spans="1:9" ht="15.75" customHeight="1">
      <c r="A56" s="26" t="s">
        <v>15</v>
      </c>
      <c r="B56" s="27">
        <v>742.5</v>
      </c>
      <c r="C56" s="5">
        <v>2940</v>
      </c>
      <c r="D56" s="6">
        <f t="shared" si="0"/>
        <v>326.2153321164115</v>
      </c>
      <c r="E56" s="7">
        <f t="shared" si="1"/>
        <v>330</v>
      </c>
      <c r="F56" s="8">
        <f t="shared" si="2"/>
        <v>3.7846678835884973</v>
      </c>
      <c r="G56" s="27">
        <v>27.065000000000001</v>
      </c>
      <c r="I56" s="27">
        <v>49.365000000000002</v>
      </c>
    </row>
    <row r="57" spans="1:9" ht="15.75" customHeight="1">
      <c r="A57" s="3">
        <v>46206.409722222219</v>
      </c>
      <c r="B57" s="5">
        <v>708</v>
      </c>
      <c r="C57" s="5">
        <v>2610</v>
      </c>
      <c r="D57" s="6">
        <f t="shared" si="0"/>
        <v>311.39705896431906</v>
      </c>
      <c r="E57" s="7">
        <f t="shared" si="1"/>
        <v>312</v>
      </c>
      <c r="F57" s="8">
        <f t="shared" si="2"/>
        <v>0.60294103568094215</v>
      </c>
      <c r="G57" s="5">
        <v>27</v>
      </c>
      <c r="H57" s="5">
        <v>1.778</v>
      </c>
      <c r="I57" s="5">
        <v>49.08</v>
      </c>
    </row>
    <row r="58" spans="1:9" ht="15.75" customHeight="1">
      <c r="A58" s="3">
        <v>46206.402777777781</v>
      </c>
      <c r="B58" s="5">
        <v>668</v>
      </c>
      <c r="C58" s="5">
        <v>2298</v>
      </c>
      <c r="D58" s="6">
        <f t="shared" si="0"/>
        <v>294.12966226256469</v>
      </c>
      <c r="E58" s="7">
        <f t="shared" si="1"/>
        <v>297</v>
      </c>
      <c r="F58" s="8">
        <f t="shared" si="2"/>
        <v>2.8703377374353067</v>
      </c>
      <c r="G58" s="5">
        <v>26.69</v>
      </c>
      <c r="H58" s="5">
        <v>3.222</v>
      </c>
      <c r="I58" s="5">
        <v>48.79</v>
      </c>
    </row>
    <row r="59" spans="1:9" ht="15.75" customHeight="1">
      <c r="A59" s="3">
        <v>46206.395833333336</v>
      </c>
      <c r="B59" s="5">
        <v>631</v>
      </c>
      <c r="C59" s="5">
        <v>2001</v>
      </c>
      <c r="D59" s="6">
        <f t="shared" si="0"/>
        <v>277.83804923305127</v>
      </c>
      <c r="E59" s="7">
        <f t="shared" si="1"/>
        <v>279.64699999999993</v>
      </c>
      <c r="F59" s="8">
        <f t="shared" si="2"/>
        <v>1.8089507669486693</v>
      </c>
      <c r="G59" s="5">
        <v>26.69</v>
      </c>
      <c r="H59" s="5">
        <v>2.222</v>
      </c>
      <c r="I59" s="5">
        <v>48.79</v>
      </c>
    </row>
    <row r="60" spans="1:9" ht="15.75" customHeight="1">
      <c r="A60" s="3">
        <v>46206.388888888891</v>
      </c>
      <c r="B60" s="5">
        <v>592</v>
      </c>
      <c r="C60" s="5">
        <v>1721.3530000000001</v>
      </c>
      <c r="D60" s="6">
        <f t="shared" si="0"/>
        <v>260.95441509855459</v>
      </c>
      <c r="E60" s="7">
        <f t="shared" si="1"/>
        <v>260</v>
      </c>
      <c r="F60" s="8">
        <f t="shared" si="2"/>
        <v>-0.95441509855459117</v>
      </c>
      <c r="G60" s="5">
        <v>26.31</v>
      </c>
      <c r="H60" s="5">
        <v>2.222</v>
      </c>
      <c r="I60" s="5">
        <v>48.5</v>
      </c>
    </row>
    <row r="61" spans="1:9" ht="15.75" customHeight="1">
      <c r="A61" s="3">
        <v>46206.381944444445</v>
      </c>
      <c r="B61" s="5">
        <v>550</v>
      </c>
      <c r="C61" s="5">
        <v>1461.3530000000001</v>
      </c>
      <c r="D61" s="6">
        <f t="shared" si="0"/>
        <v>242.69964252490726</v>
      </c>
      <c r="E61" s="7">
        <f t="shared" si="1"/>
        <v>240.35300000000007</v>
      </c>
      <c r="F61" s="8">
        <f t="shared" si="2"/>
        <v>-2.346642524907196</v>
      </c>
      <c r="G61" s="5">
        <v>26</v>
      </c>
      <c r="H61" s="5">
        <v>2.3330000000000002</v>
      </c>
      <c r="I61" s="5">
        <v>48.22</v>
      </c>
    </row>
    <row r="62" spans="1:9" ht="15.75" customHeight="1">
      <c r="A62" s="3">
        <v>46206.375</v>
      </c>
      <c r="B62" s="5">
        <v>507</v>
      </c>
      <c r="C62" s="5">
        <v>1221</v>
      </c>
      <c r="D62" s="6">
        <f t="shared" si="0"/>
        <v>224.21927955008132</v>
      </c>
      <c r="E62" s="7">
        <f t="shared" si="1"/>
        <v>219.64700000000005</v>
      </c>
      <c r="F62" s="8">
        <f t="shared" si="2"/>
        <v>-4.5722795500812765</v>
      </c>
      <c r="G62" s="5">
        <v>25.25</v>
      </c>
      <c r="H62" s="5">
        <v>2.1110000000000002</v>
      </c>
      <c r="I62" s="5">
        <v>47.64</v>
      </c>
    </row>
    <row r="63" spans="1:9" ht="15.75" customHeight="1">
      <c r="A63" s="3">
        <v>46206.368055555555</v>
      </c>
      <c r="B63" s="5">
        <v>460</v>
      </c>
      <c r="C63" s="5">
        <v>1001.353</v>
      </c>
      <c r="D63" s="6">
        <f t="shared" si="0"/>
        <v>203.6579210128256</v>
      </c>
      <c r="E63" s="7">
        <f t="shared" si="1"/>
        <v>198.35299999999995</v>
      </c>
      <c r="F63" s="8">
        <f t="shared" si="2"/>
        <v>-5.3049210128256448</v>
      </c>
      <c r="G63" s="5">
        <v>25.06</v>
      </c>
      <c r="H63" s="5">
        <v>0.66700000000000004</v>
      </c>
      <c r="I63" s="5">
        <v>47.35</v>
      </c>
    </row>
    <row r="64" spans="1:9" ht="15.75" customHeight="1">
      <c r="A64" s="3">
        <v>46206.361111111109</v>
      </c>
      <c r="B64" s="5">
        <v>417</v>
      </c>
      <c r="C64" s="5">
        <v>803</v>
      </c>
      <c r="D64" s="6">
        <f t="shared" si="0"/>
        <v>184.62033274423538</v>
      </c>
      <c r="E64" s="7">
        <f t="shared" si="1"/>
        <v>178</v>
      </c>
      <c r="F64" s="8">
        <f t="shared" si="2"/>
        <v>-6.6203327442353839</v>
      </c>
      <c r="G64" s="5">
        <v>24.19</v>
      </c>
      <c r="H64" s="5">
        <v>0.44400000000000001</v>
      </c>
      <c r="I64" s="5">
        <v>47.35</v>
      </c>
    </row>
    <row r="65" spans="1:26" ht="15.75" customHeight="1">
      <c r="A65" s="3">
        <v>46206.354166666664</v>
      </c>
      <c r="B65" s="5">
        <v>373</v>
      </c>
      <c r="C65" s="5">
        <v>625</v>
      </c>
      <c r="D65" s="6">
        <f t="shared" si="0"/>
        <v>167.83628297745361</v>
      </c>
      <c r="E65" s="7">
        <f t="shared" si="1"/>
        <v>155.64699999999999</v>
      </c>
      <c r="F65" s="8">
        <f t="shared" si="2"/>
        <v>-12.189282977453615</v>
      </c>
      <c r="G65" s="5">
        <v>22.5</v>
      </c>
      <c r="H65" s="5">
        <v>0.44400000000000001</v>
      </c>
      <c r="I65" s="5">
        <v>43.05</v>
      </c>
    </row>
    <row r="66" spans="1:26" ht="15.75" customHeight="1">
      <c r="A66" s="3">
        <v>46206.347222222219</v>
      </c>
      <c r="B66" s="5">
        <v>327</v>
      </c>
      <c r="C66" s="5">
        <v>469.35300000000001</v>
      </c>
      <c r="D66" s="6">
        <f t="shared" si="0"/>
        <v>150.13389901016669</v>
      </c>
      <c r="E66" s="7">
        <f t="shared" si="1"/>
        <v>132</v>
      </c>
      <c r="F66" s="8">
        <f t="shared" si="2"/>
        <v>-18.133899010166687</v>
      </c>
      <c r="G66" s="5">
        <v>20.94</v>
      </c>
      <c r="H66" s="5">
        <v>0.44400000000000001</v>
      </c>
      <c r="I66" s="5">
        <v>37.6</v>
      </c>
    </row>
    <row r="67" spans="1:26" ht="15.75" customHeight="1">
      <c r="A67" s="3">
        <v>46206.340277777781</v>
      </c>
      <c r="B67" s="5">
        <v>281</v>
      </c>
      <c r="C67" s="5">
        <v>337.35300000000001</v>
      </c>
      <c r="D67" s="6">
        <f t="shared" si="0"/>
        <v>131.31936752547037</v>
      </c>
      <c r="E67" s="7">
        <f t="shared" si="1"/>
        <v>109</v>
      </c>
      <c r="F67" s="8">
        <f t="shared" si="2"/>
        <v>-22.319367525470369</v>
      </c>
      <c r="G67" s="5">
        <v>19.5</v>
      </c>
      <c r="H67" s="5">
        <v>0.44400000000000001</v>
      </c>
      <c r="I67" s="5">
        <v>32.72</v>
      </c>
    </row>
    <row r="68" spans="1:26" ht="15.75" customHeight="1">
      <c r="A68" s="3">
        <v>46206.333333333336</v>
      </c>
      <c r="B68" s="5">
        <v>234</v>
      </c>
      <c r="C68" s="5">
        <v>228.35300000000001</v>
      </c>
      <c r="D68" s="6">
        <f t="shared" si="0"/>
        <v>112.06524503653586</v>
      </c>
      <c r="E68" s="7">
        <f t="shared" si="1"/>
        <v>85</v>
      </c>
      <c r="F68" s="8">
        <f t="shared" si="2"/>
        <v>-27.065245036535856</v>
      </c>
      <c r="G68" s="5">
        <v>17.559999999999999</v>
      </c>
      <c r="H68" s="5">
        <v>0.44400000000000001</v>
      </c>
      <c r="I68" s="5">
        <v>25.83</v>
      </c>
    </row>
    <row r="69" spans="1:26" ht="15.75" customHeight="1">
      <c r="A69" s="3">
        <v>46206.326388888891</v>
      </c>
      <c r="B69" s="5">
        <v>187</v>
      </c>
      <c r="C69" s="5">
        <v>143.35300000000001</v>
      </c>
      <c r="D69" s="6">
        <f t="shared" si="0"/>
        <v>92.442244681698853</v>
      </c>
      <c r="E69" s="7">
        <f t="shared" si="1"/>
        <v>62.000000000000014</v>
      </c>
      <c r="F69" s="8">
        <f t="shared" si="2"/>
        <v>-30.442244681698838</v>
      </c>
      <c r="G69" s="5">
        <v>15.56</v>
      </c>
      <c r="H69" s="5">
        <v>0.44400000000000001</v>
      </c>
      <c r="I69" s="5">
        <v>16.649999999999999</v>
      </c>
    </row>
    <row r="70" spans="1:26" ht="15.75" customHeight="1">
      <c r="A70" s="3">
        <v>46206.319444444445</v>
      </c>
      <c r="B70" s="5">
        <v>141</v>
      </c>
      <c r="C70" s="5">
        <v>81.352999999999994</v>
      </c>
      <c r="D70" s="6">
        <f t="shared" si="0"/>
        <v>71.131739941755939</v>
      </c>
      <c r="E70" s="7">
        <f t="shared" si="1"/>
        <v>42.352999999999994</v>
      </c>
      <c r="F70" s="8">
        <f t="shared" si="2"/>
        <v>-28.778739941755944</v>
      </c>
      <c r="G70" s="5">
        <v>14.44</v>
      </c>
      <c r="H70" s="5">
        <v>0.44400000000000001</v>
      </c>
      <c r="I70" s="5">
        <v>10.62</v>
      </c>
    </row>
    <row r="71" spans="1:26" ht="15.75" customHeight="1">
      <c r="A71" s="3">
        <v>46206.3125</v>
      </c>
      <c r="B71" s="5">
        <v>99</v>
      </c>
      <c r="C71" s="5">
        <v>39</v>
      </c>
      <c r="D71" s="6">
        <f t="shared" si="0"/>
        <v>50.229815210794712</v>
      </c>
      <c r="E71" s="7">
        <f t="shared" si="1"/>
        <v>24.646999999999998</v>
      </c>
      <c r="F71" s="8">
        <f t="shared" si="2"/>
        <v>-25.582815210794713</v>
      </c>
      <c r="G71" s="5">
        <v>13.69</v>
      </c>
      <c r="H71" s="5">
        <v>0.44400000000000001</v>
      </c>
      <c r="I71" s="5">
        <v>8.9</v>
      </c>
    </row>
    <row r="72" spans="1:26" ht="15.75" customHeight="1">
      <c r="A72" s="3">
        <v>46206.305555555555</v>
      </c>
      <c r="B72" s="5">
        <v>23</v>
      </c>
      <c r="C72" s="5">
        <v>14.353</v>
      </c>
      <c r="D72" s="6">
        <f t="shared" si="0"/>
        <v>11.702804654289116</v>
      </c>
      <c r="E72" s="7">
        <f t="shared" si="1"/>
        <v>11.353</v>
      </c>
      <c r="F72" s="8">
        <f t="shared" si="2"/>
        <v>-0.349804654289116</v>
      </c>
      <c r="G72" s="5">
        <v>12.94</v>
      </c>
      <c r="H72" s="5">
        <v>0.44400000000000001</v>
      </c>
      <c r="I72" s="5">
        <v>8.0399999999999991</v>
      </c>
    </row>
    <row r="73" spans="1:26" ht="15.75" customHeight="1">
      <c r="A73" s="3">
        <v>46206.298611111109</v>
      </c>
      <c r="B73" s="5">
        <v>13</v>
      </c>
      <c r="C73" s="5">
        <v>3</v>
      </c>
      <c r="D73" s="6">
        <f t="shared" si="0"/>
        <v>6.6336416541743137</v>
      </c>
      <c r="E73" s="7">
        <f t="shared" si="1"/>
        <v>3</v>
      </c>
      <c r="F73" s="8">
        <f t="shared" si="2"/>
        <v>-3.6336416541743137</v>
      </c>
      <c r="G73" s="5">
        <v>13</v>
      </c>
      <c r="H73" s="5">
        <v>0.44400000000000001</v>
      </c>
      <c r="I73" s="5">
        <v>7.17</v>
      </c>
    </row>
    <row r="74" spans="1:26" ht="15.75" customHeight="1">
      <c r="A74" s="3">
        <v>46206.291666666664</v>
      </c>
      <c r="B74" s="5">
        <v>4</v>
      </c>
      <c r="C74" s="5">
        <v>0</v>
      </c>
      <c r="D74" s="6">
        <f t="shared" si="0"/>
        <v>2.0372204194315553</v>
      </c>
      <c r="E74" s="7">
        <f t="shared" si="1"/>
        <v>0</v>
      </c>
      <c r="F74" s="8">
        <f t="shared" si="2"/>
        <v>-2.0372204194315553</v>
      </c>
      <c r="G74" s="5">
        <v>13.12</v>
      </c>
      <c r="H74" s="5">
        <v>0.44400000000000001</v>
      </c>
      <c r="I74" s="5">
        <v>7.75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7.5821666666666667</v>
      </c>
      <c r="C76" s="11"/>
      <c r="D76" s="16">
        <f>SUM(D2:D75)</f>
        <v>20075.95380252715</v>
      </c>
      <c r="E76" s="15">
        <f>SUM(E1:E74)</f>
        <v>19423</v>
      </c>
      <c r="F76" s="11"/>
      <c r="G76" s="17">
        <f t="shared" ref="G76:I76" si="3">AVERAGE(G1:G74)</f>
        <v>29.953287671232886</v>
      </c>
      <c r="H76" s="17">
        <f t="shared" si="3"/>
        <v>2.1380428571428558</v>
      </c>
      <c r="I76" s="17">
        <f t="shared" si="3"/>
        <v>44.300273972602724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46237.791666666664</v>
      </c>
      <c r="B2" s="4">
        <v>0</v>
      </c>
      <c r="C2" s="5">
        <v>19048.349999999999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30.75</v>
      </c>
      <c r="H2" s="5">
        <v>1.889</v>
      </c>
      <c r="I2" s="5">
        <v>36.159999999999997</v>
      </c>
    </row>
    <row r="3" spans="1:26" ht="15.75" customHeight="1">
      <c r="A3" s="3">
        <v>46237.784722222219</v>
      </c>
      <c r="B3" s="4">
        <v>0</v>
      </c>
      <c r="C3" s="5">
        <v>19048.349999999999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5">
        <v>31.44</v>
      </c>
      <c r="H3" s="5">
        <v>1.333</v>
      </c>
      <c r="I3" s="5">
        <v>37.880000000000003</v>
      </c>
    </row>
    <row r="4" spans="1:26" ht="15.75" customHeight="1">
      <c r="A4" s="3">
        <v>46237.777777777781</v>
      </c>
      <c r="B4" s="5">
        <v>1</v>
      </c>
      <c r="C4" s="5">
        <v>19047.349999999999</v>
      </c>
      <c r="D4" s="6">
        <f t="shared" si="0"/>
        <v>0.45430039368653385</v>
      </c>
      <c r="E4" s="7">
        <f t="shared" si="1"/>
        <v>5.3499999999985448</v>
      </c>
      <c r="F4" s="8">
        <f t="shared" si="2"/>
        <v>4.8956996063120108</v>
      </c>
      <c r="G4" s="5">
        <v>32.31</v>
      </c>
      <c r="H4" s="5">
        <v>1</v>
      </c>
      <c r="I4" s="5">
        <v>40.47</v>
      </c>
    </row>
    <row r="5" spans="1:26" ht="15.75" customHeight="1">
      <c r="A5" s="3">
        <v>46237.770833333336</v>
      </c>
      <c r="B5" s="5">
        <v>13</v>
      </c>
      <c r="C5" s="5">
        <v>19042</v>
      </c>
      <c r="D5" s="6">
        <f t="shared" si="0"/>
        <v>5.8495219268281424</v>
      </c>
      <c r="E5" s="7">
        <f t="shared" si="1"/>
        <v>12</v>
      </c>
      <c r="F5" s="8">
        <f t="shared" si="2"/>
        <v>6.1504780731718576</v>
      </c>
      <c r="G5" s="5">
        <v>33.25</v>
      </c>
      <c r="H5" s="5">
        <v>2</v>
      </c>
      <c r="I5" s="5">
        <v>43.05</v>
      </c>
    </row>
    <row r="6" spans="1:26" ht="15.75" customHeight="1">
      <c r="A6" s="3">
        <v>46237.763888888891</v>
      </c>
      <c r="B6" s="5">
        <v>26</v>
      </c>
      <c r="C6" s="5">
        <v>19030</v>
      </c>
      <c r="D6" s="6">
        <f t="shared" si="0"/>
        <v>11.598515683483697</v>
      </c>
      <c r="E6" s="7">
        <f t="shared" si="1"/>
        <v>23</v>
      </c>
      <c r="F6" s="8">
        <f t="shared" si="2"/>
        <v>11.401484316516303</v>
      </c>
      <c r="G6" s="5">
        <v>34</v>
      </c>
      <c r="H6" s="5">
        <v>2</v>
      </c>
      <c r="I6" s="5">
        <v>45.35</v>
      </c>
    </row>
    <row r="7" spans="1:26" ht="15.75" customHeight="1">
      <c r="A7" s="3">
        <v>46237.756944444445</v>
      </c>
      <c r="B7" s="5">
        <v>38</v>
      </c>
      <c r="C7" s="5">
        <v>19007</v>
      </c>
      <c r="D7" s="6">
        <f t="shared" si="0"/>
        <v>16.860327257011654</v>
      </c>
      <c r="E7" s="7">
        <f t="shared" si="1"/>
        <v>37</v>
      </c>
      <c r="F7" s="8">
        <f t="shared" si="2"/>
        <v>20.139672742988346</v>
      </c>
      <c r="G7" s="5">
        <v>34.56</v>
      </c>
      <c r="H7" s="5">
        <v>2.556</v>
      </c>
      <c r="I7" s="5">
        <v>46.78</v>
      </c>
    </row>
    <row r="8" spans="1:26" ht="15.75" customHeight="1">
      <c r="A8" s="3">
        <v>46237.75</v>
      </c>
      <c r="B8" s="5">
        <v>51</v>
      </c>
      <c r="C8" s="5">
        <v>18970</v>
      </c>
      <c r="D8" s="6">
        <f t="shared" si="0"/>
        <v>22.529739014069044</v>
      </c>
      <c r="E8" s="7">
        <f t="shared" si="1"/>
        <v>55</v>
      </c>
      <c r="F8" s="8">
        <f t="shared" si="2"/>
        <v>32.470260985930956</v>
      </c>
      <c r="G8" s="5">
        <v>34.94</v>
      </c>
      <c r="H8" s="5">
        <v>3.556</v>
      </c>
      <c r="I8" s="5">
        <v>47.93</v>
      </c>
    </row>
    <row r="9" spans="1:26" ht="15.75" customHeight="1">
      <c r="A9" s="3">
        <v>46237.743055555555</v>
      </c>
      <c r="B9" s="5">
        <v>155</v>
      </c>
      <c r="C9" s="5">
        <v>18915</v>
      </c>
      <c r="D9" s="6">
        <f t="shared" si="0"/>
        <v>68.472736219229461</v>
      </c>
      <c r="E9" s="7">
        <f t="shared" si="1"/>
        <v>74</v>
      </c>
      <c r="F9" s="8">
        <f t="shared" si="2"/>
        <v>5.5272637807705394</v>
      </c>
      <c r="G9" s="5">
        <v>35.380000000000003</v>
      </c>
      <c r="H9" s="5">
        <v>2.3330000000000002</v>
      </c>
      <c r="I9" s="5">
        <v>47.93</v>
      </c>
    </row>
    <row r="10" spans="1:26" ht="15.75" customHeight="1">
      <c r="A10" s="3">
        <v>46237.736111111109</v>
      </c>
      <c r="B10" s="5">
        <v>211</v>
      </c>
      <c r="C10" s="5">
        <v>18841</v>
      </c>
      <c r="D10" s="6">
        <f t="shared" si="0"/>
        <v>93.211273175854288</v>
      </c>
      <c r="E10" s="7">
        <f t="shared" si="1"/>
        <v>95</v>
      </c>
      <c r="F10" s="8">
        <f t="shared" si="2"/>
        <v>1.7887268241457122</v>
      </c>
      <c r="G10" s="5">
        <v>35.69</v>
      </c>
      <c r="H10" s="5">
        <v>1.667</v>
      </c>
      <c r="I10" s="5">
        <v>47.93</v>
      </c>
    </row>
    <row r="11" spans="1:26" ht="15.75" customHeight="1">
      <c r="A11" s="3">
        <v>46237.729166666664</v>
      </c>
      <c r="B11" s="5">
        <v>257</v>
      </c>
      <c r="C11" s="5">
        <v>18746</v>
      </c>
      <c r="D11" s="6">
        <f t="shared" si="0"/>
        <v>113.7827950006439</v>
      </c>
      <c r="E11" s="7">
        <f t="shared" si="1"/>
        <v>117</v>
      </c>
      <c r="F11" s="8">
        <f t="shared" si="2"/>
        <v>3.2172049993560989</v>
      </c>
      <c r="G11" s="5">
        <v>36</v>
      </c>
      <c r="H11" s="5">
        <v>3</v>
      </c>
      <c r="I11" s="5">
        <v>47.35</v>
      </c>
    </row>
    <row r="12" spans="1:26" ht="15.75" customHeight="1">
      <c r="A12" s="3">
        <v>46237.722222222219</v>
      </c>
      <c r="B12" s="5">
        <v>288</v>
      </c>
      <c r="C12" s="5">
        <v>18629</v>
      </c>
      <c r="D12" s="6">
        <f t="shared" si="0"/>
        <v>127.36716471483908</v>
      </c>
      <c r="E12" s="7">
        <f t="shared" si="1"/>
        <v>139</v>
      </c>
      <c r="F12" s="8">
        <f t="shared" si="2"/>
        <v>11.632835285160922</v>
      </c>
      <c r="G12" s="5">
        <v>36.119999999999997</v>
      </c>
      <c r="H12" s="5">
        <v>2.778</v>
      </c>
      <c r="I12" s="5">
        <v>47.64</v>
      </c>
    </row>
    <row r="13" spans="1:26" ht="15.75" customHeight="1">
      <c r="A13" s="3">
        <v>46237.715277777781</v>
      </c>
      <c r="B13" s="5">
        <v>352</v>
      </c>
      <c r="C13" s="5">
        <v>18490</v>
      </c>
      <c r="D13" s="6">
        <f t="shared" si="0"/>
        <v>155.49937515592751</v>
      </c>
      <c r="E13" s="7">
        <f t="shared" si="1"/>
        <v>160</v>
      </c>
      <c r="F13" s="8">
        <f t="shared" si="2"/>
        <v>4.5006248440724903</v>
      </c>
      <c r="G13" s="5">
        <v>36.5</v>
      </c>
      <c r="H13" s="5">
        <v>1.889</v>
      </c>
      <c r="I13" s="5">
        <v>47.93</v>
      </c>
    </row>
    <row r="14" spans="1:26" ht="15.75" customHeight="1">
      <c r="A14" s="3">
        <v>46237.708333333336</v>
      </c>
      <c r="B14" s="5">
        <v>394</v>
      </c>
      <c r="C14" s="5">
        <v>18330</v>
      </c>
      <c r="D14" s="6">
        <f t="shared" si="0"/>
        <v>173.86119846329717</v>
      </c>
      <c r="E14" s="7">
        <f t="shared" si="1"/>
        <v>181</v>
      </c>
      <c r="F14" s="8">
        <f t="shared" si="2"/>
        <v>7.1388015367028288</v>
      </c>
      <c r="G14" s="5">
        <v>37.06</v>
      </c>
      <c r="H14" s="5">
        <v>1.556</v>
      </c>
      <c r="I14" s="5">
        <v>48.22</v>
      </c>
    </row>
    <row r="15" spans="1:26" ht="15.75" customHeight="1">
      <c r="A15" s="3">
        <v>46237.701388888891</v>
      </c>
      <c r="B15" s="5">
        <v>439</v>
      </c>
      <c r="C15" s="5">
        <v>18149</v>
      </c>
      <c r="D15" s="6">
        <f t="shared" si="0"/>
        <v>193.71844194260771</v>
      </c>
      <c r="E15" s="7">
        <f t="shared" si="1"/>
        <v>202</v>
      </c>
      <c r="F15" s="8">
        <f t="shared" si="2"/>
        <v>8.2815580573922887</v>
      </c>
      <c r="G15" s="5">
        <v>37.06</v>
      </c>
      <c r="H15" s="5">
        <v>3.3330000000000002</v>
      </c>
      <c r="I15" s="5">
        <v>48.22</v>
      </c>
    </row>
    <row r="16" spans="1:26" ht="15.75" customHeight="1">
      <c r="A16" s="3">
        <v>46237.694444444445</v>
      </c>
      <c r="B16" s="5">
        <v>482</v>
      </c>
      <c r="C16" s="5">
        <v>17947</v>
      </c>
      <c r="D16" s="6">
        <f t="shared" si="0"/>
        <v>212.46626364443125</v>
      </c>
      <c r="E16" s="7">
        <f t="shared" si="1"/>
        <v>221</v>
      </c>
      <c r="F16" s="8">
        <f t="shared" si="2"/>
        <v>8.5337363555687489</v>
      </c>
      <c r="G16" s="5">
        <v>36.880000000000003</v>
      </c>
      <c r="H16" s="5">
        <v>0.77800000000000002</v>
      </c>
      <c r="I16" s="5">
        <v>48.5</v>
      </c>
    </row>
    <row r="17" spans="1:9" ht="15.75" customHeight="1">
      <c r="A17" s="3">
        <v>46237.6875</v>
      </c>
      <c r="B17" s="5">
        <v>530</v>
      </c>
      <c r="C17" s="5">
        <v>17726</v>
      </c>
      <c r="D17" s="6">
        <f t="shared" si="0"/>
        <v>233.10796786876992</v>
      </c>
      <c r="E17" s="7">
        <f t="shared" si="1"/>
        <v>238</v>
      </c>
      <c r="F17" s="8">
        <f t="shared" si="2"/>
        <v>4.8920321312300814</v>
      </c>
      <c r="G17" s="5">
        <v>37.19</v>
      </c>
      <c r="H17" s="5">
        <v>1.778</v>
      </c>
      <c r="I17" s="5">
        <v>49.08</v>
      </c>
    </row>
    <row r="18" spans="1:9" ht="15.75" customHeight="1">
      <c r="A18" s="3">
        <v>46237.680555555555</v>
      </c>
      <c r="B18" s="5">
        <v>568</v>
      </c>
      <c r="C18" s="5">
        <v>17488</v>
      </c>
      <c r="D18" s="6">
        <f t="shared" si="0"/>
        <v>250.09827569631236</v>
      </c>
      <c r="E18" s="7">
        <f t="shared" si="1"/>
        <v>258</v>
      </c>
      <c r="F18" s="8">
        <f t="shared" si="2"/>
        <v>7.9017243036876437</v>
      </c>
      <c r="G18" s="5">
        <v>37</v>
      </c>
      <c r="H18" s="5">
        <v>0.88900000000000001</v>
      </c>
      <c r="I18" s="5">
        <v>48.79</v>
      </c>
    </row>
    <row r="19" spans="1:9" ht="15.75" customHeight="1">
      <c r="A19" s="3">
        <v>46237.673611111109</v>
      </c>
      <c r="B19" s="5">
        <v>613</v>
      </c>
      <c r="C19" s="5">
        <v>17230</v>
      </c>
      <c r="D19" s="6">
        <f t="shared" si="0"/>
        <v>270.21124401252359</v>
      </c>
      <c r="E19" s="7">
        <f t="shared" si="1"/>
        <v>275</v>
      </c>
      <c r="F19" s="8">
        <f t="shared" si="2"/>
        <v>4.7887559874764065</v>
      </c>
      <c r="G19" s="5">
        <v>36.94</v>
      </c>
      <c r="H19" s="5">
        <v>1.889</v>
      </c>
      <c r="I19" s="5">
        <v>48.5</v>
      </c>
    </row>
    <row r="20" spans="1:9" ht="15.75" customHeight="1">
      <c r="A20" s="3">
        <v>46237.666666666664</v>
      </c>
      <c r="B20" s="5">
        <v>655</v>
      </c>
      <c r="C20" s="5">
        <v>16955</v>
      </c>
      <c r="D20" s="6">
        <f t="shared" si="0"/>
        <v>288.7249018404616</v>
      </c>
      <c r="E20" s="7">
        <f t="shared" si="1"/>
        <v>290</v>
      </c>
      <c r="F20" s="8">
        <f t="shared" si="2"/>
        <v>1.2750981595384019</v>
      </c>
      <c r="G20" s="5">
        <v>37.380000000000003</v>
      </c>
      <c r="H20" s="5">
        <v>1.111</v>
      </c>
      <c r="I20" s="5">
        <v>48.5</v>
      </c>
    </row>
    <row r="21" spans="1:9" ht="15.75" customHeight="1">
      <c r="A21" s="3">
        <v>46237.659722222219</v>
      </c>
      <c r="B21" s="5">
        <v>687</v>
      </c>
      <c r="C21" s="5">
        <v>16665</v>
      </c>
      <c r="D21" s="6">
        <f t="shared" si="0"/>
        <v>302.83054589984289</v>
      </c>
      <c r="E21" s="7">
        <f t="shared" si="1"/>
        <v>306</v>
      </c>
      <c r="F21" s="8">
        <f t="shared" si="2"/>
        <v>3.169454100157111</v>
      </c>
      <c r="G21" s="5">
        <v>37.380000000000003</v>
      </c>
      <c r="H21" s="5">
        <v>4</v>
      </c>
      <c r="I21" s="5">
        <v>48.5</v>
      </c>
    </row>
    <row r="22" spans="1:9" ht="15.75" customHeight="1">
      <c r="A22" s="3">
        <v>46237.652777777781</v>
      </c>
      <c r="B22" s="5">
        <v>735</v>
      </c>
      <c r="C22" s="5">
        <v>16359</v>
      </c>
      <c r="D22" s="6">
        <f t="shared" si="0"/>
        <v>323.98901198891485</v>
      </c>
      <c r="E22" s="7">
        <f t="shared" si="1"/>
        <v>323</v>
      </c>
      <c r="F22" s="8">
        <f t="shared" si="2"/>
        <v>-0.98901198891485365</v>
      </c>
      <c r="G22" s="5">
        <v>37.06</v>
      </c>
      <c r="H22" s="5">
        <v>4</v>
      </c>
      <c r="I22" s="5">
        <v>48.5</v>
      </c>
    </row>
    <row r="23" spans="1:9" ht="15.75" customHeight="1">
      <c r="A23" s="3">
        <v>46237.645833333336</v>
      </c>
      <c r="B23" s="5">
        <v>754</v>
      </c>
      <c r="C23" s="5">
        <v>16036</v>
      </c>
      <c r="D23" s="6">
        <f t="shared" si="0"/>
        <v>331.99665470954142</v>
      </c>
      <c r="E23" s="7">
        <f t="shared" si="1"/>
        <v>328</v>
      </c>
      <c r="F23" s="8">
        <f t="shared" si="2"/>
        <v>-3.9966547095414171</v>
      </c>
      <c r="G23" s="5">
        <v>37.380000000000003</v>
      </c>
      <c r="H23" s="5">
        <v>2.778</v>
      </c>
      <c r="I23" s="5">
        <v>48.79</v>
      </c>
    </row>
    <row r="24" spans="1:9" ht="15.75" customHeight="1">
      <c r="A24" s="3">
        <v>46237.638888888891</v>
      </c>
      <c r="B24" s="5">
        <v>778</v>
      </c>
      <c r="C24" s="5">
        <v>15708</v>
      </c>
      <c r="D24" s="6">
        <f t="shared" si="0"/>
        <v>341.81869881746991</v>
      </c>
      <c r="E24" s="7">
        <f t="shared" si="1"/>
        <v>338</v>
      </c>
      <c r="F24" s="8">
        <f t="shared" si="2"/>
        <v>-3.8186988174699081</v>
      </c>
      <c r="G24" s="5">
        <v>37.880000000000003</v>
      </c>
      <c r="H24" s="5">
        <v>0.88900000000000001</v>
      </c>
      <c r="I24" s="5">
        <v>49.36</v>
      </c>
    </row>
    <row r="25" spans="1:9" ht="15.75" customHeight="1">
      <c r="A25" s="3">
        <v>46237.631944444445</v>
      </c>
      <c r="B25" s="5">
        <v>810</v>
      </c>
      <c r="C25" s="5">
        <v>15370</v>
      </c>
      <c r="D25" s="6">
        <f t="shared" si="0"/>
        <v>356.65423118664273</v>
      </c>
      <c r="E25" s="7">
        <f t="shared" si="1"/>
        <v>348</v>
      </c>
      <c r="F25" s="8">
        <f t="shared" si="2"/>
        <v>-8.6542311866427326</v>
      </c>
      <c r="G25" s="5">
        <v>36.56</v>
      </c>
      <c r="H25" s="5">
        <v>1.222</v>
      </c>
      <c r="I25" s="5">
        <v>48.79</v>
      </c>
    </row>
    <row r="26" spans="1:9" ht="15.75" customHeight="1">
      <c r="A26" s="3">
        <v>46237.625</v>
      </c>
      <c r="B26" s="5">
        <v>838</v>
      </c>
      <c r="C26" s="5">
        <v>15022</v>
      </c>
      <c r="D26" s="6">
        <f t="shared" si="0"/>
        <v>368.57448504533818</v>
      </c>
      <c r="E26" s="7">
        <f t="shared" si="1"/>
        <v>364</v>
      </c>
      <c r="F26" s="8">
        <f t="shared" si="2"/>
        <v>-4.5744850453381787</v>
      </c>
      <c r="G26" s="5">
        <v>36.119999999999997</v>
      </c>
      <c r="H26" s="5">
        <v>1</v>
      </c>
      <c r="I26" s="5">
        <v>49.08</v>
      </c>
    </row>
    <row r="27" spans="1:9" ht="15.75" customHeight="1">
      <c r="A27" s="3">
        <v>46237.618055555555</v>
      </c>
      <c r="B27" s="5">
        <v>879</v>
      </c>
      <c r="C27" s="5">
        <v>14658</v>
      </c>
      <c r="D27" s="6">
        <f t="shared" si="0"/>
        <v>386.19361987217991</v>
      </c>
      <c r="E27" s="7">
        <f t="shared" si="1"/>
        <v>373</v>
      </c>
      <c r="F27" s="8">
        <f t="shared" si="2"/>
        <v>-13.193619872179909</v>
      </c>
      <c r="G27" s="5">
        <v>36.31</v>
      </c>
      <c r="H27" s="5">
        <v>1</v>
      </c>
      <c r="I27" s="5">
        <v>49.36</v>
      </c>
    </row>
    <row r="28" spans="1:9" ht="15.75" customHeight="1">
      <c r="A28" s="3">
        <v>46237.611111111109</v>
      </c>
      <c r="B28" s="5">
        <v>899</v>
      </c>
      <c r="C28" s="5">
        <v>14285</v>
      </c>
      <c r="D28" s="6">
        <f t="shared" si="0"/>
        <v>394.98073295232058</v>
      </c>
      <c r="E28" s="7">
        <f t="shared" si="1"/>
        <v>383</v>
      </c>
      <c r="F28" s="8">
        <f t="shared" si="2"/>
        <v>-11.980732952320579</v>
      </c>
      <c r="G28" s="5">
        <v>37.19</v>
      </c>
      <c r="H28" s="5">
        <v>3</v>
      </c>
      <c r="I28" s="5">
        <v>49.36</v>
      </c>
    </row>
    <row r="29" spans="1:9" ht="15.75" customHeight="1">
      <c r="A29" s="3">
        <v>46237.604166666664</v>
      </c>
      <c r="B29" s="5">
        <v>935</v>
      </c>
      <c r="C29" s="5">
        <v>13902</v>
      </c>
      <c r="D29" s="6">
        <f t="shared" si="0"/>
        <v>411.23764142886773</v>
      </c>
      <c r="E29" s="7">
        <f t="shared" si="1"/>
        <v>394</v>
      </c>
      <c r="F29" s="8">
        <f t="shared" si="2"/>
        <v>-17.237641428867732</v>
      </c>
      <c r="G29" s="5">
        <v>35.81</v>
      </c>
      <c r="H29" s="5">
        <v>0.44400000000000001</v>
      </c>
      <c r="I29" s="5">
        <v>49.08</v>
      </c>
    </row>
    <row r="30" spans="1:9" ht="15.75" customHeight="1">
      <c r="A30" s="3">
        <v>46237.597222222219</v>
      </c>
      <c r="B30" s="5">
        <v>956</v>
      </c>
      <c r="C30" s="5">
        <v>13508</v>
      </c>
      <c r="D30" s="6">
        <f t="shared" si="0"/>
        <v>420.02400523072134</v>
      </c>
      <c r="E30" s="7">
        <f t="shared" si="1"/>
        <v>402</v>
      </c>
      <c r="F30" s="8">
        <f t="shared" si="2"/>
        <v>-18.024005230721343</v>
      </c>
      <c r="G30" s="5">
        <v>36.119999999999997</v>
      </c>
      <c r="H30" s="5">
        <v>1.444</v>
      </c>
      <c r="I30" s="5">
        <v>49.36</v>
      </c>
    </row>
    <row r="31" spans="1:9" ht="15.75" customHeight="1">
      <c r="A31" s="3">
        <v>46237.590277777781</v>
      </c>
      <c r="B31" s="5">
        <v>968</v>
      </c>
      <c r="C31" s="5">
        <v>13106</v>
      </c>
      <c r="D31" s="6">
        <f t="shared" si="0"/>
        <v>425.75191112635719</v>
      </c>
      <c r="E31" s="7">
        <f t="shared" si="1"/>
        <v>406.64999999999964</v>
      </c>
      <c r="F31" s="8">
        <f t="shared" si="2"/>
        <v>-19.10191112635755</v>
      </c>
      <c r="G31" s="5">
        <v>36.19</v>
      </c>
      <c r="H31" s="5">
        <v>1.778</v>
      </c>
      <c r="I31" s="5">
        <v>49.08</v>
      </c>
    </row>
    <row r="32" spans="1:9" ht="15.75" customHeight="1">
      <c r="A32" s="3">
        <v>46237.583333333336</v>
      </c>
      <c r="B32" s="5">
        <v>1000</v>
      </c>
      <c r="C32" s="5">
        <v>12699.35</v>
      </c>
      <c r="D32" s="6">
        <f t="shared" si="0"/>
        <v>439.35565400703069</v>
      </c>
      <c r="E32" s="7">
        <f t="shared" si="1"/>
        <v>417.35000000000036</v>
      </c>
      <c r="F32" s="8">
        <f t="shared" si="2"/>
        <v>-22.00565400703033</v>
      </c>
      <c r="G32" s="5">
        <v>35.380000000000003</v>
      </c>
      <c r="H32" s="5">
        <v>2.1110000000000002</v>
      </c>
      <c r="I32" s="5">
        <v>49.36</v>
      </c>
    </row>
    <row r="33" spans="1:9" ht="15.75" customHeight="1">
      <c r="A33" s="3">
        <v>46237.576388888891</v>
      </c>
      <c r="B33" s="5">
        <v>1015</v>
      </c>
      <c r="C33" s="5">
        <v>12282</v>
      </c>
      <c r="D33" s="6">
        <f t="shared" si="0"/>
        <v>447.41339750850142</v>
      </c>
      <c r="E33" s="7">
        <f t="shared" si="1"/>
        <v>422.64999999999964</v>
      </c>
      <c r="F33" s="8">
        <f t="shared" si="2"/>
        <v>-24.763397508501782</v>
      </c>
      <c r="G33" s="5">
        <v>35.69</v>
      </c>
      <c r="H33" s="5">
        <v>1.778</v>
      </c>
      <c r="I33" s="5">
        <v>48.5</v>
      </c>
    </row>
    <row r="34" spans="1:9" ht="15.75" customHeight="1">
      <c r="A34" s="3">
        <v>46237.569444444445</v>
      </c>
      <c r="B34" s="5">
        <v>1032</v>
      </c>
      <c r="C34" s="5">
        <v>11859.35</v>
      </c>
      <c r="D34" s="6">
        <f t="shared" si="0"/>
        <v>454.90702091504778</v>
      </c>
      <c r="E34" s="7">
        <f t="shared" si="1"/>
        <v>429</v>
      </c>
      <c r="F34" s="8">
        <f t="shared" si="2"/>
        <v>-25.907020915047781</v>
      </c>
      <c r="G34" s="5">
        <v>34.880000000000003</v>
      </c>
      <c r="H34" s="5">
        <v>1.444</v>
      </c>
      <c r="I34" s="5">
        <v>48.5</v>
      </c>
    </row>
    <row r="35" spans="1:9" ht="15.75" customHeight="1">
      <c r="A35" s="3">
        <v>46237.5625</v>
      </c>
      <c r="B35" s="5">
        <v>1048</v>
      </c>
      <c r="C35" s="5">
        <v>11430.35</v>
      </c>
      <c r="D35" s="6">
        <f t="shared" si="0"/>
        <v>463.47496049010891</v>
      </c>
      <c r="E35" s="7">
        <f t="shared" si="1"/>
        <v>428.35000000000036</v>
      </c>
      <c r="F35" s="8">
        <f t="shared" si="2"/>
        <v>-35.124960490108549</v>
      </c>
      <c r="G35" s="5">
        <v>34.880000000000003</v>
      </c>
      <c r="H35" s="5">
        <v>1.333</v>
      </c>
      <c r="I35" s="5">
        <v>47.64</v>
      </c>
    </row>
    <row r="36" spans="1:9" ht="15.75" customHeight="1">
      <c r="A36" s="3">
        <v>46237.555555555555</v>
      </c>
      <c r="B36" s="5">
        <v>1055</v>
      </c>
      <c r="C36" s="5">
        <v>11002</v>
      </c>
      <c r="D36" s="6">
        <f t="shared" si="0"/>
        <v>466.05636587927137</v>
      </c>
      <c r="E36" s="7">
        <f t="shared" si="1"/>
        <v>433</v>
      </c>
      <c r="F36" s="8">
        <f t="shared" si="2"/>
        <v>-33.056365879271368</v>
      </c>
      <c r="G36" s="5">
        <v>35</v>
      </c>
      <c r="H36" s="5">
        <v>1.333</v>
      </c>
      <c r="I36" s="5">
        <v>47.93</v>
      </c>
    </row>
    <row r="37" spans="1:9" ht="15.75" customHeight="1">
      <c r="A37" s="3">
        <v>46237.548611111109</v>
      </c>
      <c r="B37" s="5">
        <v>1064</v>
      </c>
      <c r="C37" s="5">
        <v>10569</v>
      </c>
      <c r="D37" s="6">
        <f t="shared" si="0"/>
        <v>470.03220217587193</v>
      </c>
      <c r="E37" s="7">
        <f t="shared" si="1"/>
        <v>435</v>
      </c>
      <c r="F37" s="8">
        <f t="shared" si="2"/>
        <v>-35.03220217587193</v>
      </c>
      <c r="G37" s="5">
        <v>34.56</v>
      </c>
      <c r="H37" s="5">
        <v>2.1110000000000002</v>
      </c>
      <c r="I37" s="5">
        <v>47.93</v>
      </c>
    </row>
    <row r="38" spans="1:9" ht="15.75" customHeight="1">
      <c r="A38" s="3">
        <v>46237.541666666664</v>
      </c>
      <c r="B38" s="5">
        <v>1058</v>
      </c>
      <c r="C38" s="5">
        <v>10134</v>
      </c>
      <c r="D38" s="6">
        <f t="shared" si="0"/>
        <v>467.38164464480485</v>
      </c>
      <c r="E38" s="7">
        <f t="shared" si="1"/>
        <v>434.64700000000084</v>
      </c>
      <c r="F38" s="8">
        <f t="shared" si="2"/>
        <v>-32.734644644804007</v>
      </c>
      <c r="G38" s="5">
        <v>33.880000000000003</v>
      </c>
      <c r="H38" s="5">
        <v>1.222</v>
      </c>
      <c r="I38" s="5">
        <v>47.93</v>
      </c>
    </row>
    <row r="39" spans="1:9" ht="15.75" customHeight="1">
      <c r="A39" s="3">
        <v>46237.534722222219</v>
      </c>
      <c r="B39" s="5">
        <v>1066</v>
      </c>
      <c r="C39" s="5">
        <v>9699.3529999999992</v>
      </c>
      <c r="D39" s="6">
        <f t="shared" si="0"/>
        <v>471.43540828478632</v>
      </c>
      <c r="E39" s="7">
        <f t="shared" si="1"/>
        <v>432.35299999999916</v>
      </c>
      <c r="F39" s="8">
        <f t="shared" si="2"/>
        <v>-39.082408284787164</v>
      </c>
      <c r="G39" s="5">
        <v>33.880000000000003</v>
      </c>
      <c r="H39" s="5">
        <v>2.1110000000000002</v>
      </c>
      <c r="I39" s="5">
        <v>47.64</v>
      </c>
    </row>
    <row r="40" spans="1:9" ht="15.75" customHeight="1">
      <c r="A40" s="3">
        <v>46237.527777777781</v>
      </c>
      <c r="B40" s="5">
        <v>1056</v>
      </c>
      <c r="C40" s="5">
        <v>9267</v>
      </c>
      <c r="D40" s="6">
        <f t="shared" si="0"/>
        <v>466.49812546778253</v>
      </c>
      <c r="E40" s="7">
        <f t="shared" si="1"/>
        <v>432</v>
      </c>
      <c r="F40" s="8">
        <f t="shared" si="2"/>
        <v>-34.498125467782529</v>
      </c>
      <c r="G40" s="5">
        <v>33.380000000000003</v>
      </c>
      <c r="H40" s="5">
        <v>2.3330000000000002</v>
      </c>
      <c r="I40" s="5">
        <v>47.93</v>
      </c>
    </row>
    <row r="41" spans="1:9" ht="15.75" customHeight="1">
      <c r="A41" s="3">
        <v>46237.520833333336</v>
      </c>
      <c r="B41" s="5">
        <v>1056</v>
      </c>
      <c r="C41" s="5">
        <v>8835</v>
      </c>
      <c r="D41" s="6">
        <f t="shared" si="0"/>
        <v>465.98331364782177</v>
      </c>
      <c r="E41" s="7">
        <f t="shared" si="1"/>
        <v>431.64700000000084</v>
      </c>
      <c r="F41" s="8">
        <f t="shared" si="2"/>
        <v>-34.33631364782093</v>
      </c>
      <c r="G41" s="5">
        <v>33.130000000000003</v>
      </c>
      <c r="H41" s="5">
        <v>0.55600000000000005</v>
      </c>
      <c r="I41" s="5">
        <v>48.22</v>
      </c>
    </row>
    <row r="42" spans="1:9" ht="15.75" customHeight="1">
      <c r="A42" s="3">
        <v>46237.513888888891</v>
      </c>
      <c r="B42" s="5">
        <v>1057</v>
      </c>
      <c r="C42" s="5">
        <v>8403.3529999999992</v>
      </c>
      <c r="D42" s="6">
        <f t="shared" si="0"/>
        <v>465.92705533643942</v>
      </c>
      <c r="E42" s="7">
        <f t="shared" si="1"/>
        <v>434.35299999999916</v>
      </c>
      <c r="F42" s="8">
        <f t="shared" si="2"/>
        <v>-31.574055336440267</v>
      </c>
      <c r="G42" s="5">
        <v>32.69</v>
      </c>
      <c r="H42" s="5">
        <v>2.444</v>
      </c>
      <c r="I42" s="5">
        <v>48.5</v>
      </c>
    </row>
    <row r="43" spans="1:9" ht="15.75" customHeight="1">
      <c r="A43" s="3">
        <v>46237.506944444445</v>
      </c>
      <c r="B43" s="5">
        <v>1047</v>
      </c>
      <c r="C43" s="5">
        <v>7969</v>
      </c>
      <c r="D43" s="6">
        <f t="shared" si="0"/>
        <v>461.51904156788277</v>
      </c>
      <c r="E43" s="7">
        <f t="shared" si="1"/>
        <v>431</v>
      </c>
      <c r="F43" s="8">
        <f t="shared" si="2"/>
        <v>-30.519041567882766</v>
      </c>
      <c r="G43" s="5">
        <v>32.56</v>
      </c>
      <c r="H43" s="5">
        <v>0.55600000000000005</v>
      </c>
      <c r="I43" s="5">
        <v>48.5</v>
      </c>
    </row>
    <row r="44" spans="1:9" ht="15.75" customHeight="1">
      <c r="A44" s="3">
        <v>46237.5</v>
      </c>
      <c r="B44" s="5">
        <v>1032</v>
      </c>
      <c r="C44" s="5">
        <v>7538</v>
      </c>
      <c r="D44" s="6">
        <f t="shared" si="0"/>
        <v>454.90702091504778</v>
      </c>
      <c r="E44" s="7">
        <f t="shared" si="1"/>
        <v>428</v>
      </c>
      <c r="F44" s="8">
        <f t="shared" si="2"/>
        <v>-26.907020915047781</v>
      </c>
      <c r="G44" s="5">
        <v>32.880000000000003</v>
      </c>
      <c r="H44" s="5">
        <v>1.111</v>
      </c>
      <c r="I44" s="5">
        <v>48.5</v>
      </c>
    </row>
    <row r="45" spans="1:9" ht="15.75" customHeight="1">
      <c r="A45" s="3">
        <v>46237.493055555555</v>
      </c>
      <c r="B45" s="5">
        <v>1023</v>
      </c>
      <c r="C45" s="5">
        <v>7110</v>
      </c>
      <c r="D45" s="6">
        <f t="shared" si="0"/>
        <v>451.42133509632743</v>
      </c>
      <c r="E45" s="7">
        <f t="shared" si="1"/>
        <v>423</v>
      </c>
      <c r="F45" s="8">
        <f t="shared" si="2"/>
        <v>-28.421335096327425</v>
      </c>
      <c r="G45" s="5">
        <v>32</v>
      </c>
      <c r="H45" s="5">
        <v>1.333</v>
      </c>
      <c r="I45" s="5">
        <v>48.22</v>
      </c>
    </row>
    <row r="46" spans="1:9" ht="15.75" customHeight="1">
      <c r="A46" s="3">
        <v>46237.486111111109</v>
      </c>
      <c r="B46" s="5">
        <v>1008</v>
      </c>
      <c r="C46" s="5">
        <v>6687</v>
      </c>
      <c r="D46" s="6">
        <f t="shared" si="0"/>
        <v>444.80225393655729</v>
      </c>
      <c r="E46" s="7">
        <f t="shared" si="1"/>
        <v>421</v>
      </c>
      <c r="F46" s="8">
        <f t="shared" si="2"/>
        <v>-23.802253936557292</v>
      </c>
      <c r="G46" s="5">
        <v>31.31</v>
      </c>
      <c r="H46" s="5">
        <v>0.55600000000000005</v>
      </c>
      <c r="I46" s="5">
        <v>48.22</v>
      </c>
    </row>
    <row r="47" spans="1:9" ht="15.75" customHeight="1">
      <c r="A47" s="3">
        <v>46237.479166666664</v>
      </c>
      <c r="B47" s="5">
        <v>990</v>
      </c>
      <c r="C47" s="5">
        <v>6266</v>
      </c>
      <c r="D47" s="6">
        <f t="shared" si="0"/>
        <v>436.39336308710983</v>
      </c>
      <c r="E47" s="7">
        <f t="shared" si="1"/>
        <v>412</v>
      </c>
      <c r="F47" s="8">
        <f t="shared" si="2"/>
        <v>-24.393363087109833</v>
      </c>
      <c r="G47" s="5">
        <v>31.06</v>
      </c>
      <c r="H47" s="5">
        <v>0.44400000000000001</v>
      </c>
      <c r="I47" s="5">
        <v>48.5</v>
      </c>
    </row>
    <row r="48" spans="1:9" ht="15.75" customHeight="1">
      <c r="A48" s="3">
        <v>46237.472222222219</v>
      </c>
      <c r="B48" s="5">
        <v>966</v>
      </c>
      <c r="C48" s="5">
        <v>5854</v>
      </c>
      <c r="D48" s="6">
        <f t="shared" si="0"/>
        <v>425.81413004257382</v>
      </c>
      <c r="E48" s="7">
        <f t="shared" si="1"/>
        <v>406</v>
      </c>
      <c r="F48" s="8">
        <f t="shared" si="2"/>
        <v>-19.814130042573822</v>
      </c>
      <c r="G48" s="5">
        <v>30.94</v>
      </c>
      <c r="H48" s="5">
        <v>1.333</v>
      </c>
      <c r="I48" s="5">
        <v>48.5</v>
      </c>
    </row>
    <row r="49" spans="1:9" ht="15.75" customHeight="1">
      <c r="A49" s="3">
        <v>46237.465277777781</v>
      </c>
      <c r="B49" s="5">
        <v>943</v>
      </c>
      <c r="C49" s="5">
        <v>5448</v>
      </c>
      <c r="D49" s="6">
        <f t="shared" si="0"/>
        <v>415.6756983748935</v>
      </c>
      <c r="E49" s="7">
        <f t="shared" si="1"/>
        <v>397</v>
      </c>
      <c r="F49" s="8">
        <f t="shared" si="2"/>
        <v>-18.6756983748935</v>
      </c>
      <c r="G49" s="5">
        <v>30.19</v>
      </c>
      <c r="H49" s="5">
        <v>0.55600000000000005</v>
      </c>
      <c r="I49" s="5">
        <v>48.5</v>
      </c>
    </row>
    <row r="50" spans="1:9" ht="15.75" customHeight="1">
      <c r="A50" s="3">
        <v>46237.458333333336</v>
      </c>
      <c r="B50" s="5">
        <v>917</v>
      </c>
      <c r="C50" s="5">
        <v>5051</v>
      </c>
      <c r="D50" s="6">
        <f t="shared" si="0"/>
        <v>403.76781481253249</v>
      </c>
      <c r="E50" s="7">
        <f t="shared" si="1"/>
        <v>388.64699999999993</v>
      </c>
      <c r="F50" s="8">
        <f t="shared" si="2"/>
        <v>-15.120814812532558</v>
      </c>
      <c r="G50" s="5">
        <v>29.63</v>
      </c>
      <c r="H50" s="5">
        <v>0.77800000000000002</v>
      </c>
      <c r="I50" s="5">
        <v>48.79</v>
      </c>
    </row>
    <row r="51" spans="1:9" ht="15.75" customHeight="1">
      <c r="A51" s="3">
        <v>46237.451388888891</v>
      </c>
      <c r="B51" s="5">
        <v>895</v>
      </c>
      <c r="C51" s="5">
        <v>4662.3530000000001</v>
      </c>
      <c r="D51" s="6">
        <f t="shared" si="0"/>
        <v>394.08090976795705</v>
      </c>
      <c r="E51" s="7">
        <f t="shared" si="1"/>
        <v>380.35300000000007</v>
      </c>
      <c r="F51" s="8">
        <f t="shared" si="2"/>
        <v>-13.727909767956987</v>
      </c>
      <c r="G51" s="5">
        <v>29.31</v>
      </c>
      <c r="H51" s="5">
        <v>0.44400000000000001</v>
      </c>
      <c r="I51" s="5">
        <v>48.79</v>
      </c>
    </row>
    <row r="52" spans="1:9" ht="15.75" customHeight="1">
      <c r="A52" s="3">
        <v>46237.444444444445</v>
      </c>
      <c r="B52" s="5">
        <v>865</v>
      </c>
      <c r="C52" s="5">
        <v>4282</v>
      </c>
      <c r="D52" s="6">
        <f t="shared" si="0"/>
        <v>380.87149379808142</v>
      </c>
      <c r="E52" s="7">
        <f t="shared" si="1"/>
        <v>370.64699999999993</v>
      </c>
      <c r="F52" s="8">
        <f t="shared" si="2"/>
        <v>-10.224493798081483</v>
      </c>
      <c r="G52" s="5">
        <v>28.69</v>
      </c>
      <c r="H52" s="5">
        <v>2</v>
      </c>
      <c r="I52" s="5">
        <v>48.79</v>
      </c>
    </row>
    <row r="53" spans="1:9" ht="15.75" customHeight="1">
      <c r="A53" s="3">
        <v>46237.4375</v>
      </c>
      <c r="B53" s="5">
        <v>834</v>
      </c>
      <c r="C53" s="5">
        <v>3911.3530000000001</v>
      </c>
      <c r="D53" s="6">
        <f t="shared" si="0"/>
        <v>367.22176396254321</v>
      </c>
      <c r="E53" s="7">
        <f t="shared" si="1"/>
        <v>360.35300000000007</v>
      </c>
      <c r="F53" s="8">
        <f t="shared" si="2"/>
        <v>-6.8687639625431416</v>
      </c>
      <c r="G53" s="5">
        <v>28.19</v>
      </c>
      <c r="H53" s="5">
        <v>0.88900000000000001</v>
      </c>
      <c r="I53" s="5">
        <v>48.79</v>
      </c>
    </row>
    <row r="54" spans="1:9" ht="15.75" customHeight="1">
      <c r="A54" s="3">
        <v>46237.430555555555</v>
      </c>
      <c r="B54" s="5">
        <v>804</v>
      </c>
      <c r="C54" s="5">
        <v>3551</v>
      </c>
      <c r="D54" s="6">
        <f t="shared" si="0"/>
        <v>352.84998682236437</v>
      </c>
      <c r="E54" s="7">
        <f t="shared" si="1"/>
        <v>347.64699999999993</v>
      </c>
      <c r="F54" s="8">
        <f t="shared" si="2"/>
        <v>-5.2029868223644371</v>
      </c>
      <c r="G54" s="5">
        <v>28.5</v>
      </c>
      <c r="H54" s="5">
        <v>2.222</v>
      </c>
      <c r="I54" s="5">
        <v>49.65</v>
      </c>
    </row>
    <row r="55" spans="1:9" ht="15.75" customHeight="1">
      <c r="A55" s="3">
        <v>46237.423611111109</v>
      </c>
      <c r="B55" s="5">
        <v>768</v>
      </c>
      <c r="C55" s="5">
        <v>3203.3530000000001</v>
      </c>
      <c r="D55" s="6">
        <f t="shared" si="0"/>
        <v>337.05073368106446</v>
      </c>
      <c r="E55" s="7">
        <f t="shared" si="1"/>
        <v>335.35300000000007</v>
      </c>
      <c r="F55" s="8">
        <f t="shared" si="2"/>
        <v>-1.6977336810643919</v>
      </c>
      <c r="G55" s="5">
        <v>27.63</v>
      </c>
      <c r="H55" s="5">
        <v>1.889</v>
      </c>
      <c r="I55" s="5">
        <v>49.65</v>
      </c>
    </row>
    <row r="56" spans="1:9" ht="15.75" customHeight="1">
      <c r="A56" s="3">
        <v>46237.416666666664</v>
      </c>
      <c r="B56" s="5">
        <v>732</v>
      </c>
      <c r="C56" s="5">
        <v>2868</v>
      </c>
      <c r="D56" s="6">
        <f t="shared" si="0"/>
        <v>321.2514805397646</v>
      </c>
      <c r="E56" s="7">
        <f t="shared" si="1"/>
        <v>320.64699999999993</v>
      </c>
      <c r="F56" s="8">
        <f t="shared" si="2"/>
        <v>-0.60448053976466554</v>
      </c>
      <c r="G56" s="5">
        <v>27.88</v>
      </c>
      <c r="H56" s="5">
        <v>0.88900000000000001</v>
      </c>
      <c r="I56" s="5">
        <v>49.65</v>
      </c>
    </row>
    <row r="57" spans="1:9" ht="15.75" customHeight="1">
      <c r="A57" s="3">
        <v>46237.409722222219</v>
      </c>
      <c r="B57" s="5">
        <v>694</v>
      </c>
      <c r="C57" s="5">
        <v>2547.3530000000001</v>
      </c>
      <c r="D57" s="6">
        <f t="shared" si="0"/>
        <v>304.91282388087927</v>
      </c>
      <c r="E57" s="7">
        <f t="shared" si="1"/>
        <v>305.35300000000007</v>
      </c>
      <c r="F57" s="8">
        <f t="shared" si="2"/>
        <v>0.44017611912079246</v>
      </c>
      <c r="G57" s="5">
        <v>27.19</v>
      </c>
      <c r="H57" s="5">
        <v>1.333</v>
      </c>
      <c r="I57" s="5">
        <v>49.36</v>
      </c>
    </row>
    <row r="58" spans="1:9" ht="15.75" customHeight="1">
      <c r="A58" s="3">
        <v>46237.402777777781</v>
      </c>
      <c r="B58" s="5">
        <v>656</v>
      </c>
      <c r="C58" s="5">
        <v>2242</v>
      </c>
      <c r="D58" s="6">
        <f t="shared" si="0"/>
        <v>289.16570321731729</v>
      </c>
      <c r="E58" s="7">
        <f t="shared" si="1"/>
        <v>289</v>
      </c>
      <c r="F58" s="8">
        <f t="shared" si="2"/>
        <v>-0.16570321731728654</v>
      </c>
      <c r="G58" s="5">
        <v>27.38</v>
      </c>
      <c r="H58" s="5">
        <v>1</v>
      </c>
      <c r="I58" s="5">
        <v>48.5</v>
      </c>
    </row>
    <row r="59" spans="1:9" ht="15.75" customHeight="1">
      <c r="A59" s="3">
        <v>46237.395833333336</v>
      </c>
      <c r="B59" s="5">
        <v>617</v>
      </c>
      <c r="C59" s="5">
        <v>1953</v>
      </c>
      <c r="D59" s="6">
        <f t="shared" si="0"/>
        <v>271.67365511377602</v>
      </c>
      <c r="E59" s="7">
        <f t="shared" si="1"/>
        <v>272</v>
      </c>
      <c r="F59" s="8">
        <f t="shared" si="2"/>
        <v>0.32634488622397839</v>
      </c>
      <c r="G59" s="5">
        <v>26.94</v>
      </c>
      <c r="H59" s="5">
        <v>1.222</v>
      </c>
      <c r="I59" s="5">
        <v>48.79</v>
      </c>
    </row>
    <row r="60" spans="1:9" ht="15.75" customHeight="1">
      <c r="A60" s="3">
        <v>46237.388888888891</v>
      </c>
      <c r="B60" s="5">
        <v>576</v>
      </c>
      <c r="C60" s="5">
        <v>1681</v>
      </c>
      <c r="D60" s="6">
        <f t="shared" si="0"/>
        <v>253.90159306886389</v>
      </c>
      <c r="E60" s="7">
        <f t="shared" si="1"/>
        <v>255</v>
      </c>
      <c r="F60" s="8">
        <f t="shared" si="2"/>
        <v>1.0984069311361111</v>
      </c>
      <c r="G60" s="5">
        <v>26.13</v>
      </c>
      <c r="H60" s="5">
        <v>0.44400000000000001</v>
      </c>
      <c r="I60" s="5">
        <v>48.5</v>
      </c>
    </row>
    <row r="61" spans="1:9" ht="15.75" customHeight="1">
      <c r="A61" s="3">
        <v>46237.381944444445</v>
      </c>
      <c r="B61" s="5">
        <v>535</v>
      </c>
      <c r="C61" s="5">
        <v>1426</v>
      </c>
      <c r="D61" s="6">
        <f t="shared" si="0"/>
        <v>236.34137985346939</v>
      </c>
      <c r="E61" s="7">
        <f t="shared" si="1"/>
        <v>235.64699999999993</v>
      </c>
      <c r="F61" s="8">
        <f t="shared" si="2"/>
        <v>-0.69437985346945652</v>
      </c>
      <c r="G61" s="5">
        <v>25.38</v>
      </c>
      <c r="H61" s="5">
        <v>0.55600000000000005</v>
      </c>
      <c r="I61" s="5">
        <v>47.93</v>
      </c>
    </row>
    <row r="62" spans="1:9" ht="15.75" customHeight="1">
      <c r="A62" s="3">
        <v>46237.375</v>
      </c>
      <c r="B62" s="5">
        <v>492</v>
      </c>
      <c r="C62" s="5">
        <v>1190.3530000000001</v>
      </c>
      <c r="D62" s="6">
        <f t="shared" si="0"/>
        <v>217.58557305451674</v>
      </c>
      <c r="E62" s="7">
        <f t="shared" si="1"/>
        <v>215.35300000000007</v>
      </c>
      <c r="F62" s="8">
        <f t="shared" si="2"/>
        <v>-2.2325730545166778</v>
      </c>
      <c r="G62" s="5">
        <v>24.44</v>
      </c>
      <c r="H62" s="5">
        <v>0.44400000000000001</v>
      </c>
      <c r="I62" s="5">
        <v>47.64</v>
      </c>
    </row>
    <row r="63" spans="1:9" ht="15.75" customHeight="1">
      <c r="A63" s="3">
        <v>46237.368055555555</v>
      </c>
      <c r="B63" s="5">
        <v>449</v>
      </c>
      <c r="C63" s="5">
        <v>975</v>
      </c>
      <c r="D63" s="6">
        <f t="shared" si="0"/>
        <v>198.5689477672318</v>
      </c>
      <c r="E63" s="7">
        <f t="shared" si="1"/>
        <v>196</v>
      </c>
      <c r="F63" s="8">
        <f t="shared" si="2"/>
        <v>-2.5689477672318048</v>
      </c>
      <c r="G63" s="5">
        <v>23.5</v>
      </c>
      <c r="H63" s="5">
        <v>0.88900000000000001</v>
      </c>
      <c r="I63" s="5">
        <v>47.64</v>
      </c>
    </row>
    <row r="64" spans="1:9" ht="15.75" customHeight="1">
      <c r="A64" s="3">
        <v>46237.361111111109</v>
      </c>
      <c r="B64" s="5">
        <v>402</v>
      </c>
      <c r="C64" s="5">
        <v>779</v>
      </c>
      <c r="D64" s="6">
        <f t="shared" si="0"/>
        <v>179.52687583658442</v>
      </c>
      <c r="E64" s="7">
        <f t="shared" si="1"/>
        <v>172</v>
      </c>
      <c r="F64" s="8">
        <f t="shared" si="2"/>
        <v>-7.5268758365844235</v>
      </c>
      <c r="G64" s="5">
        <v>22.63</v>
      </c>
      <c r="H64" s="5">
        <v>0.66700000000000004</v>
      </c>
      <c r="I64" s="5">
        <v>45.06</v>
      </c>
    </row>
    <row r="65" spans="1:26" ht="15.75" customHeight="1">
      <c r="A65" s="3">
        <v>46237.354166666664</v>
      </c>
      <c r="B65" s="5">
        <v>359</v>
      </c>
      <c r="C65" s="5">
        <v>607</v>
      </c>
      <c r="D65" s="6">
        <f t="shared" si="0"/>
        <v>162.57482683080542</v>
      </c>
      <c r="E65" s="7">
        <f t="shared" si="1"/>
        <v>152</v>
      </c>
      <c r="F65" s="8">
        <f t="shared" si="2"/>
        <v>-10.574826830805421</v>
      </c>
      <c r="G65" s="5">
        <v>22.25</v>
      </c>
      <c r="H65" s="5">
        <v>1.444</v>
      </c>
      <c r="I65" s="5">
        <v>41.33</v>
      </c>
    </row>
    <row r="66" spans="1:26" ht="15.75" customHeight="1">
      <c r="A66" s="3">
        <v>46237.347222222219</v>
      </c>
      <c r="B66" s="5">
        <v>314</v>
      </c>
      <c r="C66" s="5">
        <v>455</v>
      </c>
      <c r="D66" s="6">
        <f t="shared" si="0"/>
        <v>146.13417946816807</v>
      </c>
      <c r="E66" s="7">
        <f t="shared" si="1"/>
        <v>128</v>
      </c>
      <c r="F66" s="8">
        <f t="shared" si="2"/>
        <v>-18.134179468168071</v>
      </c>
      <c r="G66" s="5">
        <v>21.63</v>
      </c>
      <c r="H66" s="5">
        <v>0.55600000000000005</v>
      </c>
      <c r="I66" s="5">
        <v>33.869999999999997</v>
      </c>
    </row>
    <row r="67" spans="1:26" ht="15.75" customHeight="1">
      <c r="A67" s="3">
        <v>46237.340277777781</v>
      </c>
      <c r="B67" s="5">
        <v>266</v>
      </c>
      <c r="C67" s="5">
        <v>327</v>
      </c>
      <c r="D67" s="6">
        <f t="shared" si="0"/>
        <v>125.59280168523244</v>
      </c>
      <c r="E67" s="7">
        <f t="shared" si="1"/>
        <v>104.64699999999999</v>
      </c>
      <c r="F67" s="8">
        <f t="shared" si="2"/>
        <v>-20.945801685232453</v>
      </c>
      <c r="G67" s="5">
        <v>20.56</v>
      </c>
      <c r="H67" s="5">
        <v>1.111</v>
      </c>
      <c r="I67" s="5">
        <v>29.85</v>
      </c>
    </row>
    <row r="68" spans="1:26" ht="15.75" customHeight="1">
      <c r="A68" s="3">
        <v>46237.333333333336</v>
      </c>
      <c r="B68" s="5">
        <v>222</v>
      </c>
      <c r="C68" s="5">
        <v>222.35300000000001</v>
      </c>
      <c r="D68" s="6">
        <f t="shared" si="0"/>
        <v>105.78463593372039</v>
      </c>
      <c r="E68" s="7">
        <f t="shared" si="1"/>
        <v>82.353000000000009</v>
      </c>
      <c r="F68" s="8">
        <f t="shared" si="2"/>
        <v>-23.431635933720386</v>
      </c>
      <c r="G68" s="5">
        <v>19.62</v>
      </c>
      <c r="H68" s="5">
        <v>0.44400000000000001</v>
      </c>
      <c r="I68" s="5">
        <v>27.26</v>
      </c>
    </row>
    <row r="69" spans="1:26" ht="15.75" customHeight="1">
      <c r="A69" s="3">
        <v>46237.326388888891</v>
      </c>
      <c r="B69" s="5">
        <v>176</v>
      </c>
      <c r="C69" s="5">
        <v>140</v>
      </c>
      <c r="D69" s="6">
        <f t="shared" si="0"/>
        <v>84.968887811896096</v>
      </c>
      <c r="E69" s="7">
        <f t="shared" si="1"/>
        <v>60.647000000000006</v>
      </c>
      <c r="F69" s="8">
        <f t="shared" si="2"/>
        <v>-24.32188781189609</v>
      </c>
      <c r="G69" s="5">
        <v>18.5</v>
      </c>
      <c r="H69" s="5">
        <v>0.44400000000000001</v>
      </c>
      <c r="I69" s="5">
        <v>23.53</v>
      </c>
    </row>
    <row r="70" spans="1:26" ht="15.75" customHeight="1">
      <c r="A70" s="3">
        <v>46237.319444444445</v>
      </c>
      <c r="B70" s="5">
        <v>132</v>
      </c>
      <c r="C70" s="5">
        <v>79.352999999999994</v>
      </c>
      <c r="D70" s="6">
        <f t="shared" si="0"/>
        <v>64.299172106981885</v>
      </c>
      <c r="E70" s="7">
        <f t="shared" si="1"/>
        <v>40.999999999999993</v>
      </c>
      <c r="F70" s="8">
        <f t="shared" si="2"/>
        <v>-23.299172106981892</v>
      </c>
      <c r="G70" s="5">
        <v>17.809999999999999</v>
      </c>
      <c r="H70" s="5">
        <v>0.66700000000000004</v>
      </c>
      <c r="I70" s="5">
        <v>20.95</v>
      </c>
    </row>
    <row r="71" spans="1:26" ht="15.75" customHeight="1">
      <c r="A71" s="3">
        <v>46237.3125</v>
      </c>
      <c r="B71" s="5">
        <v>90</v>
      </c>
      <c r="C71" s="5">
        <v>38.353000000000002</v>
      </c>
      <c r="D71" s="6">
        <f t="shared" si="0"/>
        <v>44.100574731151191</v>
      </c>
      <c r="E71" s="7">
        <f t="shared" si="1"/>
        <v>23.353000000000002</v>
      </c>
      <c r="F71" s="8">
        <f t="shared" si="2"/>
        <v>-20.74757473115119</v>
      </c>
      <c r="G71" s="5">
        <v>17.690000000000001</v>
      </c>
      <c r="H71" s="5">
        <v>1.444</v>
      </c>
      <c r="I71" s="5">
        <v>19.23</v>
      </c>
    </row>
    <row r="72" spans="1:26" ht="15.75" customHeight="1">
      <c r="A72" s="3">
        <v>46237.305555555555</v>
      </c>
      <c r="B72" s="5">
        <v>26</v>
      </c>
      <c r="C72" s="5">
        <v>15</v>
      </c>
      <c r="D72" s="6">
        <f t="shared" si="0"/>
        <v>12.828018912594503</v>
      </c>
      <c r="E72" s="7">
        <f t="shared" si="1"/>
        <v>11.647</v>
      </c>
      <c r="F72" s="8">
        <f t="shared" si="2"/>
        <v>-1.181018912594503</v>
      </c>
      <c r="G72" s="5">
        <v>17.25</v>
      </c>
      <c r="H72" s="5">
        <v>1.111</v>
      </c>
      <c r="I72" s="5">
        <v>17.22</v>
      </c>
    </row>
    <row r="73" spans="1:26" ht="15.75" customHeight="1">
      <c r="A73" s="3">
        <v>46237.298611111109</v>
      </c>
      <c r="B73" s="5">
        <v>13</v>
      </c>
      <c r="C73" s="5">
        <v>3.3530000000000002</v>
      </c>
      <c r="D73" s="6">
        <f t="shared" si="0"/>
        <v>6.4642735413835446</v>
      </c>
      <c r="E73" s="7">
        <f t="shared" si="1"/>
        <v>3.3530000000000002</v>
      </c>
      <c r="F73" s="8">
        <f t="shared" si="2"/>
        <v>-3.1112735413835444</v>
      </c>
      <c r="G73" s="5">
        <v>15.44</v>
      </c>
      <c r="H73" s="5">
        <v>0.88900000000000001</v>
      </c>
      <c r="I73" s="5">
        <v>14.92</v>
      </c>
    </row>
    <row r="74" spans="1:26" ht="15.75" customHeight="1">
      <c r="A74" s="3">
        <v>46237.291666666664</v>
      </c>
      <c r="B74" s="5">
        <v>3</v>
      </c>
      <c r="C74" s="5">
        <v>0</v>
      </c>
      <c r="D74" s="6">
        <f t="shared" si="0"/>
        <v>1.4888303654681039</v>
      </c>
      <c r="E74" s="7">
        <f t="shared" si="1"/>
        <v>0</v>
      </c>
      <c r="F74" s="8">
        <f t="shared" si="2"/>
        <v>-1.4888303654681039</v>
      </c>
      <c r="G74" s="5">
        <v>14.94</v>
      </c>
      <c r="H74" s="5">
        <v>0.44400000000000001</v>
      </c>
      <c r="I74" s="5">
        <v>15.5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7.4441666666666668</v>
      </c>
      <c r="C76" s="11"/>
      <c r="D76" s="16">
        <f>SUM(D2:D75)</f>
        <v>19733.870508210392</v>
      </c>
      <c r="E76" s="15">
        <f>SUM(E1:E74)</f>
        <v>19048.349999999999</v>
      </c>
      <c r="F76" s="11"/>
      <c r="G76" s="17">
        <f t="shared" ref="G76:I76" si="3">AVERAGE(G1:G74)</f>
        <v>30.984246575342489</v>
      </c>
      <c r="H76" s="17">
        <f t="shared" si="3"/>
        <v>1.4763698630136985</v>
      </c>
      <c r="I76" s="17">
        <f t="shared" si="3"/>
        <v>44.598356164383546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3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46268.791666666664</v>
      </c>
      <c r="B2" s="4">
        <v>0</v>
      </c>
      <c r="C2" s="5">
        <v>16068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29.19</v>
      </c>
      <c r="H2" s="5">
        <v>0.55600000000000005</v>
      </c>
      <c r="I2" s="5">
        <v>33.29</v>
      </c>
    </row>
    <row r="3" spans="1:26" ht="15.75" customHeight="1">
      <c r="A3" s="3">
        <v>46268.784722222219</v>
      </c>
      <c r="B3" s="4">
        <v>0</v>
      </c>
      <c r="C3" s="5">
        <v>16068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5">
        <v>30.81</v>
      </c>
      <c r="H3" s="5">
        <v>0.55600000000000005</v>
      </c>
      <c r="I3" s="5">
        <v>35.590000000000003</v>
      </c>
    </row>
    <row r="4" spans="1:26" ht="15.75" customHeight="1">
      <c r="A4" s="3">
        <v>46268.777777777781</v>
      </c>
      <c r="B4" s="5">
        <v>0</v>
      </c>
      <c r="C4" s="5">
        <v>16067</v>
      </c>
      <c r="D4" s="6">
        <f t="shared" si="0"/>
        <v>0</v>
      </c>
      <c r="E4" s="7">
        <f t="shared" si="1"/>
        <v>5</v>
      </c>
      <c r="F4" s="8">
        <f t="shared" si="2"/>
        <v>5</v>
      </c>
      <c r="G4" s="5">
        <v>32.5</v>
      </c>
      <c r="H4" s="5">
        <v>0.55600000000000005</v>
      </c>
      <c r="I4" s="5">
        <v>37.880000000000003</v>
      </c>
    </row>
    <row r="5" spans="1:26" ht="15.75" customHeight="1">
      <c r="A5" s="3">
        <v>46268.770833333336</v>
      </c>
      <c r="B5" s="5">
        <v>11</v>
      </c>
      <c r="C5" s="5">
        <v>16062</v>
      </c>
      <c r="D5" s="6">
        <f t="shared" si="0"/>
        <v>4.9921266254660601</v>
      </c>
      <c r="E5" s="7">
        <f t="shared" si="1"/>
        <v>11.350000000000364</v>
      </c>
      <c r="F5" s="8">
        <f t="shared" si="2"/>
        <v>6.3578733745343037</v>
      </c>
      <c r="G5" s="5">
        <v>33.69</v>
      </c>
      <c r="H5" s="5">
        <v>0.55600000000000005</v>
      </c>
      <c r="I5" s="5">
        <v>40.75</v>
      </c>
    </row>
    <row r="6" spans="1:26" ht="15.75" customHeight="1">
      <c r="A6" s="3">
        <v>46268.763888888891</v>
      </c>
      <c r="B6" s="5">
        <v>22</v>
      </c>
      <c r="C6" s="5">
        <v>16050.65</v>
      </c>
      <c r="D6" s="6">
        <f t="shared" si="0"/>
        <v>9.8673850504237883</v>
      </c>
      <c r="E6" s="7">
        <f t="shared" si="1"/>
        <v>21</v>
      </c>
      <c r="F6" s="8">
        <f t="shared" si="2"/>
        <v>11.132614949576212</v>
      </c>
      <c r="G6" s="5">
        <v>34.5</v>
      </c>
      <c r="H6" s="5">
        <v>1</v>
      </c>
      <c r="I6" s="5">
        <v>43.91</v>
      </c>
    </row>
    <row r="7" spans="1:26" ht="15.75" customHeight="1">
      <c r="A7" s="3">
        <v>46268.756944444445</v>
      </c>
      <c r="B7" s="5">
        <v>35</v>
      </c>
      <c r="C7" s="5">
        <v>16029.65</v>
      </c>
      <c r="D7" s="6">
        <f t="shared" si="0"/>
        <v>15.546311681112901</v>
      </c>
      <c r="E7" s="7">
        <f t="shared" si="1"/>
        <v>34</v>
      </c>
      <c r="F7" s="8">
        <f t="shared" si="2"/>
        <v>18.453688318887099</v>
      </c>
      <c r="G7" s="5">
        <v>35.19</v>
      </c>
      <c r="H7" s="5">
        <v>1</v>
      </c>
      <c r="I7" s="5">
        <v>46.49</v>
      </c>
    </row>
    <row r="8" spans="1:26" ht="15.75" customHeight="1">
      <c r="A8" s="3">
        <v>46268.75</v>
      </c>
      <c r="B8" s="5">
        <v>48</v>
      </c>
      <c r="C8" s="5">
        <v>15995.65</v>
      </c>
      <c r="D8" s="6">
        <f t="shared" si="0"/>
        <v>21.227860785806516</v>
      </c>
      <c r="E8" s="7">
        <f t="shared" si="1"/>
        <v>53</v>
      </c>
      <c r="F8" s="8">
        <f t="shared" si="2"/>
        <v>31.772139214193484</v>
      </c>
      <c r="G8" s="5">
        <v>35.31</v>
      </c>
      <c r="H8" s="5">
        <v>1.444</v>
      </c>
      <c r="I8" s="5">
        <v>47.64</v>
      </c>
    </row>
    <row r="9" spans="1:26" ht="15.75" customHeight="1">
      <c r="A9" s="3">
        <v>46268.743055555555</v>
      </c>
      <c r="B9" s="5">
        <v>147</v>
      </c>
      <c r="C9" s="5">
        <v>15942.65</v>
      </c>
      <c r="D9" s="6">
        <f t="shared" si="0"/>
        <v>64.938659511140187</v>
      </c>
      <c r="E9" s="7">
        <f t="shared" si="1"/>
        <v>73</v>
      </c>
      <c r="F9" s="8">
        <f t="shared" si="2"/>
        <v>8.0613404888598126</v>
      </c>
      <c r="G9" s="5">
        <v>35.619999999999997</v>
      </c>
      <c r="H9" s="5">
        <v>2.8889999999999998</v>
      </c>
      <c r="I9" s="5">
        <v>47.93</v>
      </c>
    </row>
    <row r="10" spans="1:26" ht="15.75" customHeight="1">
      <c r="A10" s="3">
        <v>46268.736111111109</v>
      </c>
      <c r="B10" s="5">
        <v>207</v>
      </c>
      <c r="C10" s="5">
        <v>15869.65</v>
      </c>
      <c r="D10" s="6">
        <f t="shared" si="0"/>
        <v>91.444234821809658</v>
      </c>
      <c r="E10" s="7">
        <f t="shared" si="1"/>
        <v>94</v>
      </c>
      <c r="F10" s="8">
        <f t="shared" si="2"/>
        <v>2.5557651781903417</v>
      </c>
      <c r="G10" s="5">
        <v>36.25</v>
      </c>
      <c r="H10" s="5">
        <v>1.889</v>
      </c>
      <c r="I10" s="5">
        <v>47.93</v>
      </c>
    </row>
    <row r="11" spans="1:26" ht="15.75" customHeight="1">
      <c r="A11" s="3">
        <v>46268.729166666664</v>
      </c>
      <c r="B11" s="5">
        <v>255</v>
      </c>
      <c r="C11" s="5">
        <v>15775.65</v>
      </c>
      <c r="D11" s="6">
        <f t="shared" si="0"/>
        <v>112.64869507034521</v>
      </c>
      <c r="E11" s="7">
        <f t="shared" si="1"/>
        <v>118</v>
      </c>
      <c r="F11" s="8">
        <f t="shared" si="2"/>
        <v>5.3513049296547877</v>
      </c>
      <c r="G11" s="5">
        <v>36.5</v>
      </c>
      <c r="H11" s="5">
        <v>2.6669999999999998</v>
      </c>
      <c r="I11" s="5">
        <v>47.93</v>
      </c>
    </row>
    <row r="12" spans="1:26" ht="15.75" customHeight="1">
      <c r="A12" s="3">
        <v>46268.722222222219</v>
      </c>
      <c r="B12" s="5">
        <v>309</v>
      </c>
      <c r="C12" s="5">
        <v>15657.65</v>
      </c>
      <c r="D12" s="6">
        <f t="shared" si="0"/>
        <v>136.35307189126604</v>
      </c>
      <c r="E12" s="7">
        <f t="shared" si="1"/>
        <v>140</v>
      </c>
      <c r="F12" s="8">
        <f t="shared" si="2"/>
        <v>3.6469281087339596</v>
      </c>
      <c r="G12" s="5">
        <v>36.44</v>
      </c>
      <c r="H12" s="5">
        <v>2.1110000000000002</v>
      </c>
      <c r="I12" s="5">
        <v>48.22</v>
      </c>
    </row>
    <row r="13" spans="1:26" ht="15.75" customHeight="1">
      <c r="A13" s="3">
        <v>46268.715277777781</v>
      </c>
      <c r="B13" s="5">
        <v>349</v>
      </c>
      <c r="C13" s="5">
        <v>15517.65</v>
      </c>
      <c r="D13" s="6">
        <f t="shared" si="0"/>
        <v>153.83968052262759</v>
      </c>
      <c r="E13" s="7">
        <f t="shared" si="1"/>
        <v>160.64999999999964</v>
      </c>
      <c r="F13" s="8">
        <f t="shared" si="2"/>
        <v>6.8103194773720475</v>
      </c>
      <c r="G13" s="5">
        <v>36.56</v>
      </c>
      <c r="H13" s="5">
        <v>1.778</v>
      </c>
      <c r="I13" s="5">
        <v>48.5</v>
      </c>
    </row>
    <row r="14" spans="1:26" ht="15.75" customHeight="1">
      <c r="A14" s="3">
        <v>46268.708333333336</v>
      </c>
      <c r="B14" s="5">
        <v>394</v>
      </c>
      <c r="C14" s="5">
        <v>15357</v>
      </c>
      <c r="D14" s="6">
        <f t="shared" si="0"/>
        <v>173.67574248113263</v>
      </c>
      <c r="E14" s="7">
        <f t="shared" si="1"/>
        <v>181</v>
      </c>
      <c r="F14" s="8">
        <f t="shared" si="2"/>
        <v>7.3242575188673698</v>
      </c>
      <c r="G14" s="5">
        <v>36.81</v>
      </c>
      <c r="H14" s="5">
        <v>1.222</v>
      </c>
      <c r="I14" s="5">
        <v>48.5</v>
      </c>
    </row>
    <row r="15" spans="1:26" ht="15.75" customHeight="1">
      <c r="A15" s="3">
        <v>46268.701388888891</v>
      </c>
      <c r="B15" s="5">
        <v>443</v>
      </c>
      <c r="C15" s="5">
        <v>15176</v>
      </c>
      <c r="D15" s="6">
        <f t="shared" si="0"/>
        <v>195.0590424884972</v>
      </c>
      <c r="E15" s="7">
        <f t="shared" si="1"/>
        <v>204.35000000000036</v>
      </c>
      <c r="F15" s="8">
        <f t="shared" si="2"/>
        <v>9.2909575115031657</v>
      </c>
      <c r="G15" s="5">
        <v>36.56</v>
      </c>
      <c r="H15" s="5">
        <v>2.778</v>
      </c>
      <c r="I15" s="5">
        <v>48.79</v>
      </c>
    </row>
    <row r="16" spans="1:26" ht="15.75" customHeight="1">
      <c r="A16" s="3">
        <v>46268.694444444445</v>
      </c>
      <c r="B16" s="5">
        <v>491</v>
      </c>
      <c r="C16" s="5">
        <v>14971.65</v>
      </c>
      <c r="D16" s="6">
        <f t="shared" si="0"/>
        <v>216.19410804029823</v>
      </c>
      <c r="E16" s="7">
        <f t="shared" si="1"/>
        <v>223</v>
      </c>
      <c r="F16" s="8">
        <f t="shared" si="2"/>
        <v>6.8058919597017677</v>
      </c>
      <c r="G16" s="5">
        <v>36.630000000000003</v>
      </c>
      <c r="H16" s="5">
        <v>0.77800000000000002</v>
      </c>
      <c r="I16" s="5">
        <v>48.79</v>
      </c>
    </row>
    <row r="17" spans="1:9" ht="15.75" customHeight="1">
      <c r="A17" s="3">
        <v>46268.6875</v>
      </c>
      <c r="B17" s="5">
        <v>535</v>
      </c>
      <c r="C17" s="5">
        <v>14748.65</v>
      </c>
      <c r="D17" s="6">
        <f t="shared" si="0"/>
        <v>235.30709964111685</v>
      </c>
      <c r="E17" s="7">
        <f t="shared" si="1"/>
        <v>243.64999999999964</v>
      </c>
      <c r="F17" s="8">
        <f t="shared" si="2"/>
        <v>8.3429003588827868</v>
      </c>
      <c r="G17" s="5">
        <v>36.81</v>
      </c>
      <c r="H17" s="5">
        <v>2.222</v>
      </c>
      <c r="I17" s="5">
        <v>49.08</v>
      </c>
    </row>
    <row r="18" spans="1:9" ht="15.75" customHeight="1">
      <c r="A18" s="3">
        <v>46268.680555555555</v>
      </c>
      <c r="B18" s="5">
        <v>574</v>
      </c>
      <c r="C18" s="5">
        <v>14505</v>
      </c>
      <c r="D18" s="6">
        <f t="shared" si="0"/>
        <v>252.46032746542255</v>
      </c>
      <c r="E18" s="7">
        <f t="shared" si="1"/>
        <v>260.35000000000036</v>
      </c>
      <c r="F18" s="8">
        <f t="shared" si="2"/>
        <v>7.8896725345778123</v>
      </c>
      <c r="G18" s="5">
        <v>36.380000000000003</v>
      </c>
      <c r="H18" s="5">
        <v>3.556</v>
      </c>
      <c r="I18" s="5">
        <v>49.08</v>
      </c>
    </row>
    <row r="19" spans="1:9" ht="15.75" customHeight="1">
      <c r="A19" s="3">
        <v>46268.673611111109</v>
      </c>
      <c r="B19" s="5">
        <v>615</v>
      </c>
      <c r="C19" s="5">
        <v>14244.65</v>
      </c>
      <c r="D19" s="6">
        <f t="shared" si="0"/>
        <v>270.20372721432381</v>
      </c>
      <c r="E19" s="7">
        <f t="shared" si="1"/>
        <v>278</v>
      </c>
      <c r="F19" s="8">
        <f t="shared" si="2"/>
        <v>7.7962727856761944</v>
      </c>
      <c r="G19" s="5">
        <v>36.75</v>
      </c>
      <c r="H19" s="5">
        <v>2.222</v>
      </c>
      <c r="I19" s="5">
        <v>49.36</v>
      </c>
    </row>
    <row r="20" spans="1:9" ht="15.75" customHeight="1">
      <c r="A20" s="3">
        <v>46268.666666666664</v>
      </c>
      <c r="B20" s="5">
        <v>656</v>
      </c>
      <c r="C20" s="5">
        <v>13966.65</v>
      </c>
      <c r="D20" s="6">
        <f t="shared" si="0"/>
        <v>288.52608853191145</v>
      </c>
      <c r="E20" s="7">
        <f t="shared" si="1"/>
        <v>292.64999999999964</v>
      </c>
      <c r="F20" s="8">
        <f t="shared" si="2"/>
        <v>4.1239114680881812</v>
      </c>
      <c r="G20" s="5">
        <v>36.880000000000003</v>
      </c>
      <c r="H20" s="5">
        <v>1.667</v>
      </c>
      <c r="I20" s="5">
        <v>49.08</v>
      </c>
    </row>
    <row r="21" spans="1:9" ht="15.75" customHeight="1">
      <c r="A21" s="3">
        <v>46268.659722222219</v>
      </c>
      <c r="B21" s="5">
        <v>701</v>
      </c>
      <c r="C21" s="5">
        <v>13674</v>
      </c>
      <c r="D21" s="6">
        <f t="shared" si="0"/>
        <v>308.31827448303335</v>
      </c>
      <c r="E21" s="7">
        <f t="shared" si="1"/>
        <v>309</v>
      </c>
      <c r="F21" s="8">
        <f t="shared" si="2"/>
        <v>0.68172551696665096</v>
      </c>
      <c r="G21" s="5">
        <v>36.69</v>
      </c>
      <c r="H21" s="5">
        <v>1.333</v>
      </c>
      <c r="I21" s="5">
        <v>49.08</v>
      </c>
    </row>
    <row r="22" spans="1:9" ht="15.75" customHeight="1">
      <c r="A22" s="3">
        <v>46268.652777777781</v>
      </c>
      <c r="B22" s="5">
        <v>735</v>
      </c>
      <c r="C22" s="5">
        <v>13365</v>
      </c>
      <c r="D22" s="6">
        <f t="shared" si="0"/>
        <v>323.63069126195359</v>
      </c>
      <c r="E22" s="7">
        <f t="shared" si="1"/>
        <v>327.35000000000036</v>
      </c>
      <c r="F22" s="8">
        <f t="shared" si="2"/>
        <v>3.7193087380467773</v>
      </c>
      <c r="G22" s="5">
        <v>36.44</v>
      </c>
      <c r="H22" s="5">
        <v>2.8889999999999998</v>
      </c>
      <c r="I22" s="5">
        <v>48.79</v>
      </c>
    </row>
    <row r="23" spans="1:9" ht="15.75" customHeight="1">
      <c r="A23" s="3">
        <v>46268.645833333336</v>
      </c>
      <c r="B23" s="5">
        <v>775</v>
      </c>
      <c r="C23" s="5">
        <v>13037.65</v>
      </c>
      <c r="D23" s="6">
        <f t="shared" si="0"/>
        <v>340.50063185544872</v>
      </c>
      <c r="E23" s="7">
        <f t="shared" si="1"/>
        <v>346</v>
      </c>
      <c r="F23" s="8">
        <f t="shared" si="2"/>
        <v>5.4993681445512834</v>
      </c>
      <c r="G23" s="5">
        <v>36.630000000000003</v>
      </c>
      <c r="H23" s="5">
        <v>2.1110000000000002</v>
      </c>
      <c r="I23" s="5">
        <v>49.36</v>
      </c>
    </row>
    <row r="24" spans="1:9" ht="15.75" customHeight="1">
      <c r="A24" s="3">
        <v>46268.638888888891</v>
      </c>
      <c r="B24" s="5">
        <v>829</v>
      </c>
      <c r="C24" s="5">
        <v>12691.65</v>
      </c>
      <c r="D24" s="6">
        <f t="shared" si="0"/>
        <v>364.61604785511372</v>
      </c>
      <c r="E24" s="7">
        <f t="shared" si="1"/>
        <v>354.64999999999964</v>
      </c>
      <c r="F24" s="8">
        <f t="shared" si="2"/>
        <v>-9.9660478551140841</v>
      </c>
      <c r="G24" s="5">
        <v>36.25</v>
      </c>
      <c r="H24" s="5">
        <v>1.444</v>
      </c>
      <c r="I24" s="5">
        <v>49.08</v>
      </c>
    </row>
    <row r="25" spans="1:9" ht="15.75" customHeight="1">
      <c r="A25" s="3">
        <v>46268.631944444445</v>
      </c>
      <c r="B25" s="5">
        <v>842</v>
      </c>
      <c r="C25" s="5">
        <v>12337</v>
      </c>
      <c r="D25" s="6">
        <f t="shared" si="0"/>
        <v>369.93746067391976</v>
      </c>
      <c r="E25" s="7">
        <f t="shared" si="1"/>
        <v>365.35000000000036</v>
      </c>
      <c r="F25" s="8">
        <f t="shared" si="2"/>
        <v>-4.587460673919395</v>
      </c>
      <c r="G25" s="5">
        <v>36.44</v>
      </c>
      <c r="H25" s="5">
        <v>3.3330000000000002</v>
      </c>
      <c r="I25" s="5">
        <v>49.36</v>
      </c>
    </row>
    <row r="26" spans="1:9" ht="15.75" customHeight="1">
      <c r="A26" s="3">
        <v>46268.625</v>
      </c>
      <c r="B26" s="5">
        <v>867</v>
      </c>
      <c r="C26" s="5">
        <v>11971.65</v>
      </c>
      <c r="D26" s="6">
        <f t="shared" si="0"/>
        <v>381.32944932495002</v>
      </c>
      <c r="E26" s="7">
        <f t="shared" si="1"/>
        <v>380</v>
      </c>
      <c r="F26" s="8">
        <f t="shared" si="2"/>
        <v>-1.3294493249500192</v>
      </c>
      <c r="G26" s="5">
        <v>36.31</v>
      </c>
      <c r="H26" s="5">
        <v>1.667</v>
      </c>
      <c r="I26" s="5">
        <v>49.08</v>
      </c>
    </row>
    <row r="27" spans="1:9" ht="15.75" customHeight="1">
      <c r="A27" s="3">
        <v>46268.618055555555</v>
      </c>
      <c r="B27" s="5">
        <v>918</v>
      </c>
      <c r="C27" s="5">
        <v>11591.65</v>
      </c>
      <c r="D27" s="6">
        <f t="shared" si="0"/>
        <v>403.76059340288828</v>
      </c>
      <c r="E27" s="7">
        <f t="shared" si="1"/>
        <v>394</v>
      </c>
      <c r="F27" s="8">
        <f t="shared" si="2"/>
        <v>-9.7605934028882757</v>
      </c>
      <c r="G27" s="5">
        <v>36.25</v>
      </c>
      <c r="H27" s="5">
        <v>3.6669999999999998</v>
      </c>
      <c r="I27" s="5">
        <v>49.08</v>
      </c>
    </row>
    <row r="28" spans="1:9" ht="15.75" customHeight="1">
      <c r="A28" s="3">
        <v>46268.611111111109</v>
      </c>
      <c r="B28" s="5">
        <v>935</v>
      </c>
      <c r="C28" s="5">
        <v>11197.65</v>
      </c>
      <c r="D28" s="6">
        <f t="shared" si="0"/>
        <v>411.23764142886773</v>
      </c>
      <c r="E28" s="7">
        <f t="shared" si="1"/>
        <v>398</v>
      </c>
      <c r="F28" s="8">
        <f t="shared" si="2"/>
        <v>-13.237641428867732</v>
      </c>
      <c r="G28" s="5">
        <v>36.06</v>
      </c>
      <c r="H28" s="5">
        <v>1.778</v>
      </c>
      <c r="I28" s="5">
        <v>49.08</v>
      </c>
    </row>
    <row r="29" spans="1:9" ht="15.75" customHeight="1">
      <c r="A29" s="3">
        <v>46268.604166666664</v>
      </c>
      <c r="B29" s="5">
        <v>964</v>
      </c>
      <c r="C29" s="5">
        <v>10799.65</v>
      </c>
      <c r="D29" s="6">
        <f t="shared" si="0"/>
        <v>423.53885046277759</v>
      </c>
      <c r="E29" s="7">
        <f t="shared" si="1"/>
        <v>402</v>
      </c>
      <c r="F29" s="8">
        <f t="shared" si="2"/>
        <v>-21.538850462777589</v>
      </c>
      <c r="G29" s="5">
        <v>36.19</v>
      </c>
      <c r="H29" s="5">
        <v>4.7779999999999996</v>
      </c>
      <c r="I29" s="5">
        <v>49.36</v>
      </c>
    </row>
    <row r="30" spans="1:9" ht="15.75" customHeight="1">
      <c r="A30" s="3">
        <v>46268.597222222219</v>
      </c>
      <c r="B30" s="5">
        <v>970</v>
      </c>
      <c r="C30" s="5">
        <v>10397.65</v>
      </c>
      <c r="D30" s="6">
        <f t="shared" si="0"/>
        <v>425.70209852946942</v>
      </c>
      <c r="E30" s="7">
        <f t="shared" si="1"/>
        <v>411.00299999999879</v>
      </c>
      <c r="F30" s="8">
        <f t="shared" si="2"/>
        <v>-14.699098529470632</v>
      </c>
      <c r="G30" s="5">
        <v>35.81</v>
      </c>
      <c r="H30" s="5">
        <v>1.444</v>
      </c>
      <c r="I30" s="5">
        <v>49.65</v>
      </c>
    </row>
    <row r="31" spans="1:9" ht="15.75" customHeight="1">
      <c r="A31" s="3">
        <v>46268.590277777781</v>
      </c>
      <c r="B31" s="5">
        <v>989</v>
      </c>
      <c r="C31" s="5">
        <v>9986.6470000000008</v>
      </c>
      <c r="D31" s="6">
        <f t="shared" si="0"/>
        <v>434.52274181295337</v>
      </c>
      <c r="E31" s="7">
        <f t="shared" si="1"/>
        <v>419.64700000000084</v>
      </c>
      <c r="F31" s="8">
        <f t="shared" si="2"/>
        <v>-14.875741812952526</v>
      </c>
      <c r="G31" s="5">
        <v>36.56</v>
      </c>
      <c r="H31" s="5">
        <v>0.44400000000000001</v>
      </c>
      <c r="I31" s="5">
        <v>49.36</v>
      </c>
    </row>
    <row r="32" spans="1:9" ht="15.75" customHeight="1">
      <c r="A32" s="3">
        <v>46268.583333333336</v>
      </c>
      <c r="B32" s="5">
        <v>1019</v>
      </c>
      <c r="C32" s="5">
        <v>9567</v>
      </c>
      <c r="D32" s="6">
        <f t="shared" si="0"/>
        <v>447.70341143316421</v>
      </c>
      <c r="E32" s="7">
        <f t="shared" si="1"/>
        <v>426.35299999999916</v>
      </c>
      <c r="F32" s="8">
        <f t="shared" si="2"/>
        <v>-21.35041143316505</v>
      </c>
      <c r="G32" s="5">
        <v>35.56</v>
      </c>
      <c r="H32" s="5">
        <v>2</v>
      </c>
      <c r="I32" s="5">
        <v>49.36</v>
      </c>
    </row>
    <row r="33" spans="1:9" ht="15.75" customHeight="1">
      <c r="A33" s="3">
        <v>46268.576388888891</v>
      </c>
      <c r="B33" s="5">
        <v>1028</v>
      </c>
      <c r="C33" s="5">
        <v>9140.6470000000008</v>
      </c>
      <c r="D33" s="6">
        <f t="shared" si="0"/>
        <v>451.65761231922761</v>
      </c>
      <c r="E33" s="7">
        <f t="shared" si="1"/>
        <v>429</v>
      </c>
      <c r="F33" s="8">
        <f t="shared" si="2"/>
        <v>-22.65761231922761</v>
      </c>
      <c r="G33" s="5">
        <v>35.69</v>
      </c>
      <c r="H33" s="5">
        <v>3.3330000000000002</v>
      </c>
      <c r="I33" s="5">
        <v>49.36</v>
      </c>
    </row>
    <row r="34" spans="1:9" ht="15.75" customHeight="1">
      <c r="A34" s="3">
        <v>46268.569444444445</v>
      </c>
      <c r="B34" s="5">
        <v>1045</v>
      </c>
      <c r="C34" s="5">
        <v>8711.6470000000008</v>
      </c>
      <c r="D34" s="6">
        <f t="shared" si="0"/>
        <v>459.12665843734703</v>
      </c>
      <c r="E34" s="7">
        <f t="shared" si="1"/>
        <v>431.64700000000084</v>
      </c>
      <c r="F34" s="8">
        <f t="shared" si="2"/>
        <v>-27.479658437346188</v>
      </c>
      <c r="G34" s="5">
        <v>35.31</v>
      </c>
      <c r="H34" s="5">
        <v>3.556</v>
      </c>
      <c r="I34" s="5">
        <v>49.36</v>
      </c>
    </row>
    <row r="35" spans="1:9" ht="15.75" customHeight="1">
      <c r="A35" s="3">
        <v>46268.5625</v>
      </c>
      <c r="B35" s="5">
        <v>1046</v>
      </c>
      <c r="C35" s="5">
        <v>8280</v>
      </c>
      <c r="D35" s="6">
        <f t="shared" si="0"/>
        <v>459.56601409135419</v>
      </c>
      <c r="E35" s="7">
        <f t="shared" si="1"/>
        <v>433.35300000000007</v>
      </c>
      <c r="F35" s="8">
        <f t="shared" si="2"/>
        <v>-26.213014091354125</v>
      </c>
      <c r="G35" s="5">
        <v>34.75</v>
      </c>
      <c r="H35" s="5">
        <v>1.333</v>
      </c>
      <c r="I35" s="5">
        <v>49.36</v>
      </c>
    </row>
    <row r="36" spans="1:9" ht="15.75" customHeight="1">
      <c r="A36" s="3">
        <v>46268.555555555555</v>
      </c>
      <c r="B36" s="5">
        <v>1063</v>
      </c>
      <c r="C36" s="5">
        <v>7846.6469999999999</v>
      </c>
      <c r="D36" s="6">
        <f t="shared" si="0"/>
        <v>467.53541480094799</v>
      </c>
      <c r="E36" s="7">
        <f t="shared" si="1"/>
        <v>435</v>
      </c>
      <c r="F36" s="8">
        <f t="shared" si="2"/>
        <v>-32.53541480094799</v>
      </c>
      <c r="G36" s="5">
        <v>35.06</v>
      </c>
      <c r="H36" s="5">
        <v>0.88900000000000001</v>
      </c>
      <c r="I36" s="5">
        <v>49.08</v>
      </c>
    </row>
    <row r="37" spans="1:9" ht="15.75" customHeight="1">
      <c r="A37" s="3">
        <v>46268.548611111109</v>
      </c>
      <c r="B37" s="5">
        <v>1062</v>
      </c>
      <c r="C37" s="5">
        <v>7411.6469999999999</v>
      </c>
      <c r="D37" s="6">
        <f t="shared" si="0"/>
        <v>466.59570455546651</v>
      </c>
      <c r="E37" s="7">
        <f t="shared" si="1"/>
        <v>437.64699999999993</v>
      </c>
      <c r="F37" s="8">
        <f t="shared" si="2"/>
        <v>-28.948704555466577</v>
      </c>
      <c r="G37" s="5">
        <v>35.31</v>
      </c>
      <c r="H37" s="5">
        <v>3.444</v>
      </c>
      <c r="I37" s="5">
        <v>49.36</v>
      </c>
    </row>
    <row r="38" spans="1:9" ht="15.75" customHeight="1">
      <c r="A38" s="3">
        <v>46268.541666666664</v>
      </c>
      <c r="B38" s="5">
        <v>1071</v>
      </c>
      <c r="C38" s="5">
        <v>6974</v>
      </c>
      <c r="D38" s="6">
        <f t="shared" si="0"/>
        <v>471.05402563670299</v>
      </c>
      <c r="E38" s="7">
        <f t="shared" si="1"/>
        <v>437</v>
      </c>
      <c r="F38" s="8">
        <f t="shared" si="2"/>
        <v>-34.054025636702988</v>
      </c>
      <c r="G38" s="5">
        <v>34.880000000000003</v>
      </c>
      <c r="H38" s="5">
        <v>0.88900000000000001</v>
      </c>
      <c r="I38" s="5">
        <v>49.08</v>
      </c>
    </row>
    <row r="39" spans="1:9" ht="15.75" customHeight="1">
      <c r="A39" s="3">
        <v>46268.534722222219</v>
      </c>
      <c r="B39" s="5">
        <v>1064</v>
      </c>
      <c r="C39" s="5">
        <v>6537</v>
      </c>
      <c r="D39" s="6">
        <f t="shared" si="0"/>
        <v>467.97524115541745</v>
      </c>
      <c r="E39" s="7">
        <f t="shared" si="1"/>
        <v>437</v>
      </c>
      <c r="F39" s="8">
        <f t="shared" si="2"/>
        <v>-30.97524115541745</v>
      </c>
      <c r="G39" s="5">
        <v>34.75</v>
      </c>
      <c r="H39" s="5">
        <v>3.444</v>
      </c>
      <c r="I39" s="5">
        <v>49.08</v>
      </c>
    </row>
    <row r="40" spans="1:9" ht="15.75" customHeight="1">
      <c r="A40" s="3">
        <v>46268.527777777781</v>
      </c>
      <c r="B40" s="5">
        <v>1071</v>
      </c>
      <c r="C40" s="5">
        <v>6100</v>
      </c>
      <c r="D40" s="6">
        <f t="shared" si="0"/>
        <v>471.05402563670299</v>
      </c>
      <c r="E40" s="7">
        <f t="shared" si="1"/>
        <v>435.35300000000007</v>
      </c>
      <c r="F40" s="8">
        <f t="shared" si="2"/>
        <v>-35.701025636702923</v>
      </c>
      <c r="G40" s="5">
        <v>34.130000000000003</v>
      </c>
      <c r="H40" s="5">
        <v>2.6669999999999998</v>
      </c>
      <c r="I40" s="5">
        <v>49.08</v>
      </c>
    </row>
    <row r="41" spans="1:9" ht="15.75" customHeight="1">
      <c r="A41" s="3">
        <v>46268.520833333336</v>
      </c>
      <c r="B41" s="5">
        <v>1073</v>
      </c>
      <c r="C41" s="5">
        <v>5664.6469999999999</v>
      </c>
      <c r="D41" s="6">
        <f t="shared" si="0"/>
        <v>471.93367834564168</v>
      </c>
      <c r="E41" s="7">
        <f t="shared" si="1"/>
        <v>432</v>
      </c>
      <c r="F41" s="8">
        <f t="shared" si="2"/>
        <v>-39.933678345641681</v>
      </c>
      <c r="G41" s="5">
        <v>33.880000000000003</v>
      </c>
      <c r="H41" s="5">
        <v>0.88900000000000001</v>
      </c>
      <c r="I41" s="5">
        <v>49.08</v>
      </c>
    </row>
    <row r="42" spans="1:9" ht="15.75" customHeight="1">
      <c r="A42" s="3">
        <v>46268.513888888891</v>
      </c>
      <c r="B42" s="5">
        <v>1066</v>
      </c>
      <c r="C42" s="5">
        <v>5232.6469999999999</v>
      </c>
      <c r="D42" s="6">
        <f t="shared" si="0"/>
        <v>468.35312717149463</v>
      </c>
      <c r="E42" s="7">
        <f t="shared" si="1"/>
        <v>431</v>
      </c>
      <c r="F42" s="8">
        <f t="shared" si="2"/>
        <v>-37.353127171494634</v>
      </c>
      <c r="G42" s="5">
        <v>34</v>
      </c>
      <c r="H42" s="5">
        <v>1.111</v>
      </c>
      <c r="I42" s="5">
        <v>49.36</v>
      </c>
    </row>
    <row r="43" spans="1:9" ht="15.75" customHeight="1">
      <c r="A43" s="3">
        <v>46268.506944444445</v>
      </c>
      <c r="B43" s="5">
        <v>1056</v>
      </c>
      <c r="C43" s="5">
        <v>4801.6469999999999</v>
      </c>
      <c r="D43" s="6">
        <f t="shared" si="0"/>
        <v>464.45663031966234</v>
      </c>
      <c r="E43" s="7">
        <f t="shared" si="1"/>
        <v>432</v>
      </c>
      <c r="F43" s="8">
        <f t="shared" si="2"/>
        <v>-32.456630319662338</v>
      </c>
      <c r="G43" s="5">
        <v>33.81</v>
      </c>
      <c r="H43" s="5">
        <v>2.778</v>
      </c>
      <c r="I43" s="5">
        <v>49.08</v>
      </c>
    </row>
    <row r="44" spans="1:9" ht="15.75" customHeight="1">
      <c r="A44" s="3">
        <v>46268.5</v>
      </c>
      <c r="B44" s="5">
        <v>1042</v>
      </c>
      <c r="C44" s="5">
        <v>4369.6469999999999</v>
      </c>
      <c r="D44" s="6">
        <f t="shared" si="0"/>
        <v>458.29906135709109</v>
      </c>
      <c r="E44" s="7">
        <f t="shared" si="1"/>
        <v>431</v>
      </c>
      <c r="F44" s="8">
        <f t="shared" si="2"/>
        <v>-27.299061357091091</v>
      </c>
      <c r="G44" s="5">
        <v>33.19</v>
      </c>
      <c r="H44" s="5">
        <v>0.55600000000000005</v>
      </c>
      <c r="I44" s="5">
        <v>49.08</v>
      </c>
    </row>
    <row r="45" spans="1:9" ht="15.75" customHeight="1">
      <c r="A45" s="3">
        <v>46268.493055555555</v>
      </c>
      <c r="B45" s="5">
        <v>1033</v>
      </c>
      <c r="C45" s="5">
        <v>3938.6469999999999</v>
      </c>
      <c r="D45" s="6">
        <f t="shared" si="0"/>
        <v>454.84422322938502</v>
      </c>
      <c r="E45" s="7">
        <f t="shared" si="1"/>
        <v>425</v>
      </c>
      <c r="F45" s="8">
        <f t="shared" si="2"/>
        <v>-29.844223229385022</v>
      </c>
      <c r="G45" s="5">
        <v>33.380000000000003</v>
      </c>
      <c r="H45" s="5">
        <v>2.222</v>
      </c>
      <c r="I45" s="5">
        <v>48.79</v>
      </c>
    </row>
    <row r="46" spans="1:9" ht="15.75" customHeight="1">
      <c r="A46" s="3">
        <v>46268.486111111109</v>
      </c>
      <c r="B46" s="5">
        <v>1010</v>
      </c>
      <c r="C46" s="5">
        <v>3513.6469999999999</v>
      </c>
      <c r="D46" s="6">
        <f t="shared" si="0"/>
        <v>444.22461801407104</v>
      </c>
      <c r="E46" s="7">
        <f t="shared" si="1"/>
        <v>418.64699999999993</v>
      </c>
      <c r="F46" s="8">
        <f t="shared" si="2"/>
        <v>-25.577618014071106</v>
      </c>
      <c r="G46" s="5">
        <v>32.75</v>
      </c>
      <c r="H46" s="5">
        <v>2.556</v>
      </c>
      <c r="I46" s="5">
        <v>49.08</v>
      </c>
    </row>
    <row r="47" spans="1:9" ht="15.75" customHeight="1">
      <c r="A47" s="3">
        <v>46268.479166666664</v>
      </c>
      <c r="B47" s="5">
        <v>996</v>
      </c>
      <c r="C47" s="5">
        <v>3095</v>
      </c>
      <c r="D47" s="6">
        <f t="shared" si="0"/>
        <v>438.06704905149968</v>
      </c>
      <c r="E47" s="7">
        <f t="shared" si="1"/>
        <v>411.35300000000007</v>
      </c>
      <c r="F47" s="8">
        <f t="shared" si="2"/>
        <v>-26.714049051499615</v>
      </c>
      <c r="G47" s="5">
        <v>32.880000000000003</v>
      </c>
      <c r="H47" s="5">
        <v>1</v>
      </c>
      <c r="I47" s="5">
        <v>49.08</v>
      </c>
    </row>
    <row r="48" spans="1:9" ht="15.75" customHeight="1">
      <c r="A48" s="3">
        <v>46268.472222222219</v>
      </c>
      <c r="B48" s="5">
        <v>973</v>
      </c>
      <c r="C48" s="5">
        <v>2683.6469999999999</v>
      </c>
      <c r="D48" s="6">
        <f t="shared" si="0"/>
        <v>428.42539128963381</v>
      </c>
      <c r="E48" s="7">
        <f t="shared" si="1"/>
        <v>410</v>
      </c>
      <c r="F48" s="8">
        <f t="shared" si="2"/>
        <v>-18.425391289633808</v>
      </c>
      <c r="G48" s="5">
        <v>32.31</v>
      </c>
      <c r="H48" s="5">
        <v>0.55600000000000005</v>
      </c>
      <c r="I48" s="5">
        <v>48.79</v>
      </c>
    </row>
    <row r="49" spans="1:9" ht="15.75" customHeight="1">
      <c r="A49" s="3">
        <v>46268.465277777781</v>
      </c>
      <c r="B49" s="5">
        <v>956</v>
      </c>
      <c r="C49" s="5">
        <v>2273.6469999999999</v>
      </c>
      <c r="D49" s="6">
        <f t="shared" si="0"/>
        <v>420.9400555733709</v>
      </c>
      <c r="E49" s="7">
        <f t="shared" si="1"/>
        <v>401</v>
      </c>
      <c r="F49" s="8">
        <f t="shared" si="2"/>
        <v>-19.940055573370898</v>
      </c>
      <c r="G49" s="5">
        <v>32.130000000000003</v>
      </c>
      <c r="H49" s="5">
        <v>1.333</v>
      </c>
      <c r="I49" s="5">
        <v>48.79</v>
      </c>
    </row>
    <row r="50" spans="1:9" ht="15.75" customHeight="1">
      <c r="A50" s="3">
        <v>46268.458333333336</v>
      </c>
      <c r="B50" s="5">
        <v>931</v>
      </c>
      <c r="C50" s="5">
        <v>1872.6469999999999</v>
      </c>
      <c r="D50" s="6">
        <f t="shared" si="0"/>
        <v>410.38608185262558</v>
      </c>
      <c r="E50" s="7">
        <f t="shared" si="1"/>
        <v>392.64699999999993</v>
      </c>
      <c r="F50" s="8">
        <f t="shared" si="2"/>
        <v>-17.739081852625645</v>
      </c>
      <c r="G50" s="5">
        <v>31.69</v>
      </c>
      <c r="H50" s="5">
        <v>0.44400000000000001</v>
      </c>
      <c r="I50" s="5">
        <v>48.5</v>
      </c>
    </row>
    <row r="51" spans="1:9" ht="15.75" customHeight="1">
      <c r="A51" s="3">
        <v>46268.451388888891</v>
      </c>
      <c r="B51" s="5">
        <v>905</v>
      </c>
      <c r="C51" s="5">
        <v>1480</v>
      </c>
      <c r="D51" s="6">
        <f t="shared" si="0"/>
        <v>398.48404842458223</v>
      </c>
      <c r="E51" s="7">
        <f t="shared" si="1"/>
        <v>381</v>
      </c>
      <c r="F51" s="8">
        <f t="shared" si="2"/>
        <v>-17.484048424582227</v>
      </c>
      <c r="G51" s="5">
        <v>31.06</v>
      </c>
      <c r="H51" s="5">
        <v>3.1110000000000002</v>
      </c>
      <c r="I51" s="5">
        <v>48.79</v>
      </c>
    </row>
    <row r="52" spans="1:9" ht="15.75" customHeight="1">
      <c r="A52" s="3">
        <v>46268.444444444445</v>
      </c>
      <c r="B52" s="5">
        <v>873</v>
      </c>
      <c r="C52" s="5">
        <v>1099</v>
      </c>
      <c r="D52" s="6">
        <f t="shared" si="0"/>
        <v>383.55748594813775</v>
      </c>
      <c r="E52" s="7">
        <f t="shared" si="1"/>
        <v>370.35299999999995</v>
      </c>
      <c r="F52" s="8">
        <f t="shared" si="2"/>
        <v>-13.204485948137801</v>
      </c>
      <c r="G52" s="5">
        <v>30.75</v>
      </c>
      <c r="H52" s="5">
        <v>1.222</v>
      </c>
      <c r="I52" s="5">
        <v>49.36</v>
      </c>
    </row>
    <row r="53" spans="1:9" ht="15.75" customHeight="1">
      <c r="A53" s="3">
        <v>46268.4375</v>
      </c>
      <c r="B53" s="5">
        <v>846</v>
      </c>
      <c r="C53" s="5">
        <v>728.64700000000005</v>
      </c>
      <c r="D53" s="6">
        <f t="shared" si="0"/>
        <v>371.69488328994788</v>
      </c>
      <c r="E53" s="7">
        <f t="shared" si="1"/>
        <v>359.00000000000006</v>
      </c>
      <c r="F53" s="8">
        <f t="shared" si="2"/>
        <v>-12.694883289947825</v>
      </c>
      <c r="G53" s="5">
        <v>30.56</v>
      </c>
      <c r="H53" s="5">
        <v>0.44400000000000001</v>
      </c>
      <c r="I53" s="5">
        <v>49.36</v>
      </c>
    </row>
    <row r="54" spans="1:9" ht="15.75" customHeight="1">
      <c r="A54" s="3">
        <v>46268.430555555555</v>
      </c>
      <c r="B54" s="5">
        <v>812</v>
      </c>
      <c r="C54" s="5">
        <v>369.64699999999999</v>
      </c>
      <c r="D54" s="6">
        <f t="shared" si="0"/>
        <v>356.36093196487548</v>
      </c>
      <c r="E54" s="7">
        <f t="shared" si="1"/>
        <v>342.64699999999999</v>
      </c>
      <c r="F54" s="8">
        <f t="shared" si="2"/>
        <v>-13.713931964875485</v>
      </c>
      <c r="G54" s="5">
        <v>30.63</v>
      </c>
      <c r="H54" s="5">
        <v>0.55600000000000005</v>
      </c>
      <c r="I54" s="5">
        <v>49.65</v>
      </c>
    </row>
    <row r="55" spans="1:9" ht="15.75" customHeight="1">
      <c r="A55" s="3">
        <v>46268.423611111109</v>
      </c>
      <c r="B55" s="5">
        <v>776</v>
      </c>
      <c r="C55" s="5">
        <v>27</v>
      </c>
      <c r="D55" s="6">
        <f t="shared" si="0"/>
        <v>340.56167882357556</v>
      </c>
      <c r="E55" s="7">
        <f t="shared" si="1"/>
        <v>27</v>
      </c>
      <c r="F55" s="8">
        <f t="shared" si="2"/>
        <v>-313.56167882357556</v>
      </c>
      <c r="G55" s="5">
        <v>30.13</v>
      </c>
      <c r="H55" s="5">
        <v>0.88900000000000001</v>
      </c>
      <c r="I55" s="5">
        <v>49.65</v>
      </c>
    </row>
    <row r="56" spans="1:9" ht="15.75" customHeight="1">
      <c r="A56" s="3">
        <v>46268.416666666664</v>
      </c>
      <c r="B56" s="5">
        <v>740</v>
      </c>
      <c r="D56" s="6">
        <f t="shared" si="0"/>
        <v>324.7624256822757</v>
      </c>
      <c r="E56" s="7">
        <f t="shared" si="1"/>
        <v>0</v>
      </c>
      <c r="F56" s="8">
        <f t="shared" si="2"/>
        <v>-324.7624256822757</v>
      </c>
      <c r="G56" s="5">
        <v>29.75</v>
      </c>
      <c r="H56" s="5">
        <v>0.66700000000000004</v>
      </c>
      <c r="I56" s="5">
        <v>49.65</v>
      </c>
    </row>
    <row r="57" spans="1:9" ht="15.75" customHeight="1">
      <c r="A57" s="3">
        <v>46268.409722222219</v>
      </c>
      <c r="B57" s="5">
        <v>703</v>
      </c>
      <c r="D57" s="6">
        <f t="shared" si="0"/>
        <v>308.52430439816186</v>
      </c>
      <c r="E57" s="7">
        <f t="shared" si="1"/>
        <v>0</v>
      </c>
      <c r="F57" s="8">
        <f t="shared" si="2"/>
        <v>-308.52430439816186</v>
      </c>
      <c r="G57" s="5">
        <v>29.31</v>
      </c>
      <c r="H57" s="5">
        <v>0.66700000000000004</v>
      </c>
      <c r="I57" s="5">
        <v>49.65</v>
      </c>
    </row>
    <row r="58" spans="1:9" ht="15.75" customHeight="1">
      <c r="A58" s="3">
        <v>46268.402777777781</v>
      </c>
      <c r="B58" s="5">
        <v>662</v>
      </c>
      <c r="D58" s="6">
        <f t="shared" si="0"/>
        <v>291.8105114784513</v>
      </c>
      <c r="E58" s="7">
        <f t="shared" si="1"/>
        <v>0</v>
      </c>
      <c r="F58" s="8">
        <f t="shared" si="2"/>
        <v>-291.8105114784513</v>
      </c>
      <c r="G58" s="5">
        <v>29.13</v>
      </c>
      <c r="H58" s="5">
        <v>0.55600000000000005</v>
      </c>
      <c r="I58" s="5">
        <v>48.5</v>
      </c>
    </row>
    <row r="59" spans="1:9" ht="15.75" customHeight="1">
      <c r="A59" s="3">
        <v>46268.395833333336</v>
      </c>
      <c r="B59" s="5">
        <v>623</v>
      </c>
      <c r="D59" s="6">
        <f t="shared" si="0"/>
        <v>274.61925778108019</v>
      </c>
      <c r="E59" s="7">
        <f t="shared" si="1"/>
        <v>0</v>
      </c>
      <c r="F59" s="8">
        <f t="shared" si="2"/>
        <v>-274.61925778108019</v>
      </c>
      <c r="G59" s="5">
        <v>29.25</v>
      </c>
      <c r="H59" s="5">
        <v>1.222</v>
      </c>
      <c r="I59" s="5">
        <v>48.5</v>
      </c>
    </row>
    <row r="60" spans="1:9" ht="15.75" customHeight="1">
      <c r="A60" s="3">
        <v>46268.388888888891</v>
      </c>
      <c r="B60" s="5">
        <v>585</v>
      </c>
      <c r="D60" s="6">
        <f t="shared" si="0"/>
        <v>257.58361141257524</v>
      </c>
      <c r="E60" s="7">
        <f t="shared" si="1"/>
        <v>0</v>
      </c>
      <c r="F60" s="8">
        <f t="shared" si="2"/>
        <v>-257.58361141257524</v>
      </c>
      <c r="G60" s="5">
        <v>28.63</v>
      </c>
      <c r="H60" s="5">
        <v>1.222</v>
      </c>
      <c r="I60" s="5">
        <v>48.79</v>
      </c>
    </row>
    <row r="61" spans="1:9" ht="15.75" customHeight="1">
      <c r="A61" s="3">
        <v>46268.381944444445</v>
      </c>
      <c r="B61" s="5">
        <v>542</v>
      </c>
      <c r="D61" s="6">
        <f t="shared" si="0"/>
        <v>238.38588412240247</v>
      </c>
      <c r="E61" s="7">
        <f t="shared" si="1"/>
        <v>0</v>
      </c>
      <c r="F61" s="8">
        <f t="shared" si="2"/>
        <v>-238.38588412240247</v>
      </c>
      <c r="G61" s="5">
        <v>27.69</v>
      </c>
      <c r="H61" s="5">
        <v>1.222</v>
      </c>
      <c r="I61" s="5">
        <v>49.08</v>
      </c>
    </row>
    <row r="62" spans="1:9" ht="15.75" customHeight="1">
      <c r="A62" s="3">
        <v>46268.375</v>
      </c>
      <c r="B62" s="5">
        <v>501</v>
      </c>
      <c r="D62" s="6">
        <f t="shared" si="0"/>
        <v>220.8414898046889</v>
      </c>
      <c r="E62" s="7">
        <f t="shared" si="1"/>
        <v>0</v>
      </c>
      <c r="F62" s="8">
        <f t="shared" si="2"/>
        <v>-220.8414898046889</v>
      </c>
      <c r="G62" s="5">
        <v>27.06</v>
      </c>
      <c r="H62" s="5">
        <v>0.66700000000000004</v>
      </c>
      <c r="I62" s="5">
        <v>48.5</v>
      </c>
    </row>
    <row r="63" spans="1:9" ht="15.75" customHeight="1">
      <c r="A63" s="3">
        <v>46268.368055555555</v>
      </c>
      <c r="B63" s="5">
        <v>456</v>
      </c>
      <c r="D63" s="6">
        <f t="shared" si="0"/>
        <v>201.6646774651619</v>
      </c>
      <c r="E63" s="7">
        <f t="shared" si="1"/>
        <v>0</v>
      </c>
      <c r="F63" s="8">
        <f t="shared" si="2"/>
        <v>-201.6646774651619</v>
      </c>
      <c r="G63" s="5">
        <v>26.75</v>
      </c>
      <c r="H63" s="5">
        <v>0.88900000000000001</v>
      </c>
      <c r="I63" s="5">
        <v>47.64</v>
      </c>
    </row>
    <row r="64" spans="1:9" ht="15.75" customHeight="1">
      <c r="A64" s="3">
        <v>46268.361111111109</v>
      </c>
      <c r="B64" s="5">
        <v>410</v>
      </c>
      <c r="C64" s="5">
        <v>0</v>
      </c>
      <c r="D64" s="6">
        <f t="shared" si="0"/>
        <v>181.52119046795329</v>
      </c>
      <c r="E64" s="7">
        <f t="shared" si="1"/>
        <v>0</v>
      </c>
      <c r="F64" s="8">
        <f t="shared" si="2"/>
        <v>-181.52119046795329</v>
      </c>
      <c r="G64" s="5">
        <v>25.43</v>
      </c>
      <c r="H64" s="5">
        <v>0.44400000000000001</v>
      </c>
      <c r="I64" s="5">
        <v>47.35</v>
      </c>
    </row>
    <row r="65" spans="1:26" ht="15.75" customHeight="1">
      <c r="A65" s="3">
        <v>46268.354166666664</v>
      </c>
      <c r="B65" s="5">
        <v>365</v>
      </c>
      <c r="C65" s="5">
        <v>0</v>
      </c>
      <c r="D65" s="6">
        <f t="shared" si="0"/>
        <v>161.94788023182247</v>
      </c>
      <c r="E65" s="7">
        <f t="shared" si="1"/>
        <v>0</v>
      </c>
      <c r="F65" s="8">
        <f t="shared" si="2"/>
        <v>-161.94788023182247</v>
      </c>
      <c r="G65" s="5">
        <v>23.75</v>
      </c>
      <c r="H65" s="5">
        <v>0.55600000000000005</v>
      </c>
      <c r="I65" s="5">
        <v>46.78</v>
      </c>
    </row>
    <row r="66" spans="1:26" ht="15.75" customHeight="1">
      <c r="A66" s="3">
        <v>46268.347222222219</v>
      </c>
      <c r="B66" s="5">
        <v>319</v>
      </c>
      <c r="C66" s="5">
        <v>0</v>
      </c>
      <c r="D66" s="6">
        <f t="shared" si="0"/>
        <v>143.53826881985984</v>
      </c>
      <c r="E66" s="7">
        <f t="shared" si="1"/>
        <v>0</v>
      </c>
      <c r="F66" s="8">
        <f t="shared" si="2"/>
        <v>-143.53826881985984</v>
      </c>
      <c r="G66" s="5">
        <v>22</v>
      </c>
      <c r="H66" s="5">
        <v>0.55600000000000005</v>
      </c>
      <c r="I66" s="5">
        <v>43.05</v>
      </c>
    </row>
    <row r="67" spans="1:26" ht="15.75" customHeight="1">
      <c r="A67" s="3">
        <v>46268.340277777781</v>
      </c>
      <c r="B67" s="5">
        <v>275</v>
      </c>
      <c r="C67" s="5">
        <v>0</v>
      </c>
      <c r="D67" s="6">
        <f t="shared" si="0"/>
        <v>126.65696897541109</v>
      </c>
      <c r="E67" s="7">
        <f t="shared" si="1"/>
        <v>0</v>
      </c>
      <c r="F67" s="8">
        <f t="shared" si="2"/>
        <v>-126.65696897541109</v>
      </c>
      <c r="G67" s="5">
        <v>20.56</v>
      </c>
      <c r="H67" s="5">
        <v>0.55600000000000005</v>
      </c>
      <c r="I67" s="5">
        <v>36.74</v>
      </c>
    </row>
    <row r="68" spans="1:26" ht="15.75" customHeight="1">
      <c r="A68" s="3">
        <v>46268.333333333336</v>
      </c>
      <c r="B68" s="5">
        <v>228</v>
      </c>
      <c r="C68" s="5">
        <v>0</v>
      </c>
      <c r="D68" s="6">
        <f t="shared" si="0"/>
        <v>107.10287580611542</v>
      </c>
      <c r="E68" s="7">
        <f t="shared" si="1"/>
        <v>0</v>
      </c>
      <c r="F68" s="8">
        <f t="shared" si="2"/>
        <v>-107.10287580611542</v>
      </c>
      <c r="G68" s="5">
        <v>19</v>
      </c>
      <c r="H68" s="5">
        <v>0.55600000000000005</v>
      </c>
      <c r="I68" s="5">
        <v>31.28</v>
      </c>
    </row>
    <row r="69" spans="1:26" ht="15.75" customHeight="1">
      <c r="A69" s="3">
        <v>46268.326388888891</v>
      </c>
      <c r="B69" s="5">
        <v>182</v>
      </c>
      <c r="C69" s="5">
        <v>0</v>
      </c>
      <c r="D69" s="6">
        <f t="shared" si="0"/>
        <v>88.829313638501688</v>
      </c>
      <c r="E69" s="7">
        <f t="shared" si="1"/>
        <v>0</v>
      </c>
      <c r="F69" s="8">
        <f t="shared" si="2"/>
        <v>-88.829313638501688</v>
      </c>
      <c r="G69" s="5">
        <v>17.38</v>
      </c>
      <c r="H69" s="5">
        <v>0.55600000000000005</v>
      </c>
      <c r="I69" s="5">
        <v>20.38</v>
      </c>
    </row>
    <row r="70" spans="1:26" ht="15.75" customHeight="1">
      <c r="A70" s="3">
        <v>46268.319444444445</v>
      </c>
      <c r="B70" s="5">
        <v>136</v>
      </c>
      <c r="C70" s="5">
        <v>0</v>
      </c>
      <c r="D70" s="6">
        <f t="shared" si="0"/>
        <v>66.707170004896142</v>
      </c>
      <c r="E70" s="7">
        <f t="shared" si="1"/>
        <v>0</v>
      </c>
      <c r="F70" s="8">
        <f t="shared" si="2"/>
        <v>-66.707170004896142</v>
      </c>
      <c r="G70" s="5">
        <v>16.13</v>
      </c>
      <c r="H70" s="5">
        <v>0.55600000000000005</v>
      </c>
      <c r="I70" s="5">
        <v>18.940000000000001</v>
      </c>
    </row>
    <row r="71" spans="1:26" ht="15.75" customHeight="1">
      <c r="A71" s="3">
        <v>46268.3125</v>
      </c>
      <c r="B71" s="5">
        <v>94</v>
      </c>
      <c r="C71" s="5">
        <v>0</v>
      </c>
      <c r="D71" s="6">
        <f t="shared" si="0"/>
        <v>46.514120170228814</v>
      </c>
      <c r="E71" s="7">
        <f t="shared" si="1"/>
        <v>0</v>
      </c>
      <c r="F71" s="8">
        <f t="shared" si="2"/>
        <v>-46.514120170228814</v>
      </c>
      <c r="G71" s="5">
        <v>15.25</v>
      </c>
      <c r="H71" s="5">
        <v>0.44400000000000001</v>
      </c>
      <c r="I71" s="5">
        <v>16.36</v>
      </c>
    </row>
    <row r="72" spans="1:26" ht="15.75" customHeight="1">
      <c r="A72" s="3">
        <v>46268.305555555555</v>
      </c>
      <c r="B72" s="5">
        <v>26</v>
      </c>
      <c r="C72" s="5">
        <v>0</v>
      </c>
      <c r="D72" s="6">
        <f t="shared" si="0"/>
        <v>12.928547082767089</v>
      </c>
      <c r="E72" s="7">
        <f t="shared" si="1"/>
        <v>0</v>
      </c>
      <c r="F72" s="8">
        <f t="shared" si="2"/>
        <v>-12.928547082767089</v>
      </c>
      <c r="G72" s="5">
        <v>14.94</v>
      </c>
      <c r="H72" s="5">
        <v>0.44400000000000001</v>
      </c>
      <c r="I72" s="5">
        <v>14.92</v>
      </c>
    </row>
    <row r="73" spans="1:26" ht="15.75" customHeight="1">
      <c r="A73" s="3">
        <v>46268.298611111109</v>
      </c>
      <c r="B73" s="5">
        <v>15</v>
      </c>
      <c r="C73" s="5">
        <v>0</v>
      </c>
      <c r="D73" s="6">
        <f t="shared" si="0"/>
        <v>7.4731503379672253</v>
      </c>
      <c r="E73" s="7">
        <f t="shared" si="1"/>
        <v>0</v>
      </c>
      <c r="F73" s="8">
        <f t="shared" si="2"/>
        <v>-7.4731503379672253</v>
      </c>
      <c r="G73" s="5">
        <v>14.88</v>
      </c>
      <c r="H73" s="5">
        <v>0.44400000000000001</v>
      </c>
      <c r="I73" s="5">
        <v>14.35</v>
      </c>
    </row>
    <row r="74" spans="1:26" ht="15.75" customHeight="1">
      <c r="A74" s="3">
        <v>46268.291666666664</v>
      </c>
      <c r="B74" s="5">
        <v>4</v>
      </c>
      <c r="C74" s="5">
        <v>0</v>
      </c>
      <c r="D74" s="6">
        <f t="shared" si="0"/>
        <v>1.998622981519137</v>
      </c>
      <c r="E74" s="7">
        <f t="shared" si="1"/>
        <v>0</v>
      </c>
      <c r="F74" s="8">
        <f t="shared" si="2"/>
        <v>-1.998622981519137</v>
      </c>
      <c r="G74" s="5">
        <v>15.13</v>
      </c>
      <c r="H74" s="5">
        <v>0.55600000000000005</v>
      </c>
      <c r="I74" s="5">
        <v>13.49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7.549833333333333</v>
      </c>
      <c r="C76" s="11"/>
      <c r="D76" s="16">
        <f>SUM(D2:D75)</f>
        <v>19965.645966297834</v>
      </c>
      <c r="E76" s="15">
        <f>SUM(E1:E74)</f>
        <v>16068</v>
      </c>
      <c r="F76" s="11"/>
      <c r="G76" s="17">
        <f t="shared" ref="G76:I76" si="3">AVERAGE(G1:G74)</f>
        <v>31.501643835616456</v>
      </c>
      <c r="H76" s="17">
        <f t="shared" si="3"/>
        <v>1.5114657534246569</v>
      </c>
      <c r="I76" s="17">
        <f t="shared" si="3"/>
        <v>44.979863013698619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8">
        <v>46298.791666666664</v>
      </c>
      <c r="B2" s="29">
        <v>0</v>
      </c>
      <c r="C2" s="29">
        <v>18543.650000000001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31.06</v>
      </c>
      <c r="H2" s="29">
        <v>0.77800000000000002</v>
      </c>
      <c r="I2" s="29">
        <v>34.729999999999997</v>
      </c>
    </row>
    <row r="3" spans="1:26" ht="15.75" customHeight="1">
      <c r="A3" s="28">
        <v>46298.784722222219</v>
      </c>
      <c r="B3" s="29">
        <v>0</v>
      </c>
      <c r="C3" s="29">
        <v>18543.650000000001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29">
        <v>31.25</v>
      </c>
      <c r="H3" s="29">
        <v>1.222</v>
      </c>
      <c r="I3" s="29">
        <v>36.159999999999997</v>
      </c>
    </row>
    <row r="4" spans="1:26" ht="15.75" customHeight="1">
      <c r="A4" s="28">
        <v>46298.777777777781</v>
      </c>
      <c r="B4" s="29">
        <v>0</v>
      </c>
      <c r="C4" s="29">
        <v>18542.650000000001</v>
      </c>
      <c r="D4" s="6">
        <f t="shared" si="0"/>
        <v>0</v>
      </c>
      <c r="E4" s="7">
        <f t="shared" si="1"/>
        <v>4.6500000000014552</v>
      </c>
      <c r="F4" s="8">
        <f t="shared" si="2"/>
        <v>4.6500000000014552</v>
      </c>
      <c r="G4" s="29">
        <v>32.25</v>
      </c>
      <c r="H4" s="29">
        <v>0.88900000000000001</v>
      </c>
      <c r="I4" s="29">
        <v>38.46</v>
      </c>
    </row>
    <row r="5" spans="1:26" ht="15.75" customHeight="1">
      <c r="A5" s="28">
        <v>46298.770833333336</v>
      </c>
      <c r="B5" s="29">
        <v>10</v>
      </c>
      <c r="C5" s="29">
        <v>18538</v>
      </c>
      <c r="D5" s="6">
        <f t="shared" si="0"/>
        <v>4.5285467083789808</v>
      </c>
      <c r="E5" s="7">
        <f t="shared" si="1"/>
        <v>11</v>
      </c>
      <c r="F5" s="8">
        <f t="shared" si="2"/>
        <v>6.4714532916210192</v>
      </c>
      <c r="G5" s="29">
        <v>33.25</v>
      </c>
      <c r="H5" s="29">
        <v>1.111</v>
      </c>
      <c r="I5" s="29">
        <v>41.33</v>
      </c>
    </row>
    <row r="6" spans="1:26" ht="15.75" customHeight="1">
      <c r="A6" s="28">
        <v>46298.763888888891</v>
      </c>
      <c r="B6" s="29">
        <v>24</v>
      </c>
      <c r="C6" s="29">
        <v>18527</v>
      </c>
      <c r="D6" s="6">
        <f t="shared" si="0"/>
        <v>10.752719786372301</v>
      </c>
      <c r="E6" s="7">
        <f t="shared" si="1"/>
        <v>20.349999999998545</v>
      </c>
      <c r="F6" s="8">
        <f t="shared" si="2"/>
        <v>9.5972802136262434</v>
      </c>
      <c r="G6" s="29">
        <v>34.19</v>
      </c>
      <c r="H6" s="29">
        <v>0.88900000000000001</v>
      </c>
      <c r="I6" s="29">
        <v>44.2</v>
      </c>
    </row>
    <row r="7" spans="1:26" ht="15.75" customHeight="1">
      <c r="A7" s="28">
        <v>46298.756944444445</v>
      </c>
      <c r="B7" s="29">
        <v>37</v>
      </c>
      <c r="C7" s="29">
        <v>18506.650000000001</v>
      </c>
      <c r="D7" s="6">
        <f t="shared" si="0"/>
        <v>16.416634434458711</v>
      </c>
      <c r="E7" s="7">
        <f t="shared" si="1"/>
        <v>33.650000000001455</v>
      </c>
      <c r="F7" s="8">
        <f t="shared" si="2"/>
        <v>17.233365565542744</v>
      </c>
      <c r="G7" s="29">
        <v>34.81</v>
      </c>
      <c r="H7" s="29">
        <v>0.66700000000000004</v>
      </c>
      <c r="I7" s="29">
        <v>46.78</v>
      </c>
    </row>
    <row r="8" spans="1:26" ht="15.75" customHeight="1">
      <c r="A8" s="28">
        <v>46298.75</v>
      </c>
      <c r="B8" s="29">
        <v>52</v>
      </c>
      <c r="C8" s="29">
        <v>18473</v>
      </c>
      <c r="D8" s="6">
        <f t="shared" si="0"/>
        <v>22.996849184623727</v>
      </c>
      <c r="E8" s="7">
        <f t="shared" si="1"/>
        <v>51</v>
      </c>
      <c r="F8" s="8">
        <f t="shared" si="2"/>
        <v>28.003150815376273</v>
      </c>
      <c r="G8" s="29">
        <v>35.19</v>
      </c>
      <c r="H8" s="29">
        <v>1.333</v>
      </c>
      <c r="I8" s="29">
        <v>47.64</v>
      </c>
    </row>
    <row r="9" spans="1:26" ht="15.75" customHeight="1">
      <c r="A9" s="28">
        <v>46298.743055555555</v>
      </c>
      <c r="B9" s="29">
        <v>140</v>
      </c>
      <c r="C9" s="29">
        <v>18422</v>
      </c>
      <c r="D9" s="6">
        <f t="shared" si="0"/>
        <v>61.846342391562096</v>
      </c>
      <c r="E9" s="7">
        <f t="shared" si="1"/>
        <v>69.349999999998545</v>
      </c>
      <c r="F9" s="8">
        <f t="shared" si="2"/>
        <v>7.5036576084364484</v>
      </c>
      <c r="G9" s="29">
        <v>35.5</v>
      </c>
      <c r="H9" s="29">
        <v>2.444</v>
      </c>
      <c r="I9" s="29">
        <v>47.93</v>
      </c>
    </row>
    <row r="10" spans="1:26" ht="15.75" customHeight="1">
      <c r="A10" s="28">
        <v>46298.736111111109</v>
      </c>
      <c r="B10" s="29">
        <v>195</v>
      </c>
      <c r="C10" s="29">
        <v>18352.650000000001</v>
      </c>
      <c r="D10" s="6">
        <f t="shared" si="0"/>
        <v>86.143119759675756</v>
      </c>
      <c r="E10" s="7">
        <f t="shared" si="1"/>
        <v>89.650000000001455</v>
      </c>
      <c r="F10" s="8">
        <f t="shared" si="2"/>
        <v>3.5068802403256996</v>
      </c>
      <c r="G10" s="29">
        <v>35.75</v>
      </c>
      <c r="H10" s="29">
        <v>2.6669999999999998</v>
      </c>
      <c r="I10" s="29">
        <v>47.93</v>
      </c>
    </row>
    <row r="11" spans="1:26" ht="15.75" customHeight="1">
      <c r="A11" s="28">
        <v>46298.729166666664</v>
      </c>
      <c r="B11" s="29">
        <v>235</v>
      </c>
      <c r="C11" s="29">
        <v>18263</v>
      </c>
      <c r="D11" s="6">
        <f t="shared" si="0"/>
        <v>103.92806843051105</v>
      </c>
      <c r="E11" s="7">
        <f t="shared" si="1"/>
        <v>109.34999999999854</v>
      </c>
      <c r="F11" s="8">
        <f t="shared" si="2"/>
        <v>5.4219315694874979</v>
      </c>
      <c r="G11" s="29">
        <v>36.06</v>
      </c>
      <c r="H11" s="29">
        <v>3.778</v>
      </c>
      <c r="I11" s="29">
        <v>47.64</v>
      </c>
    </row>
    <row r="12" spans="1:26" ht="15.75" customHeight="1">
      <c r="A12" s="28">
        <v>46298.722222222219</v>
      </c>
      <c r="B12" s="29">
        <v>288</v>
      </c>
      <c r="C12" s="29">
        <v>18153.650000000001</v>
      </c>
      <c r="D12" s="6">
        <f t="shared" si="0"/>
        <v>127.08635826758773</v>
      </c>
      <c r="E12" s="7">
        <f t="shared" si="1"/>
        <v>136</v>
      </c>
      <c r="F12" s="8">
        <f t="shared" si="2"/>
        <v>8.9136417324122732</v>
      </c>
      <c r="G12" s="29">
        <v>36.44</v>
      </c>
      <c r="H12" s="29">
        <v>2.6669999999999998</v>
      </c>
      <c r="I12" s="29">
        <v>48.22</v>
      </c>
    </row>
    <row r="13" spans="1:26" ht="15.75" customHeight="1">
      <c r="A13" s="28">
        <v>46298.715277777781</v>
      </c>
      <c r="B13" s="29">
        <v>342</v>
      </c>
      <c r="C13" s="29">
        <v>18017.650000000001</v>
      </c>
      <c r="D13" s="6">
        <f t="shared" si="0"/>
        <v>150.91505044276053</v>
      </c>
      <c r="E13" s="7">
        <f t="shared" si="1"/>
        <v>157</v>
      </c>
      <c r="F13" s="8">
        <f t="shared" si="2"/>
        <v>6.0849495572394687</v>
      </c>
      <c r="G13" s="29">
        <v>36.31</v>
      </c>
      <c r="H13" s="29">
        <v>3.556</v>
      </c>
      <c r="I13" s="29">
        <v>48.22</v>
      </c>
    </row>
    <row r="14" spans="1:26" ht="15.75" customHeight="1">
      <c r="A14" s="28">
        <v>46298.708333333336</v>
      </c>
      <c r="B14" s="29">
        <v>382</v>
      </c>
      <c r="C14" s="29">
        <v>17860.650000000001</v>
      </c>
      <c r="D14" s="6">
        <f t="shared" si="0"/>
        <v>168.56593353548098</v>
      </c>
      <c r="E14" s="7">
        <f t="shared" si="1"/>
        <v>175</v>
      </c>
      <c r="F14" s="8">
        <f t="shared" si="2"/>
        <v>6.4340664645190202</v>
      </c>
      <c r="G14" s="29">
        <v>36.44</v>
      </c>
      <c r="H14" s="29">
        <v>1.556</v>
      </c>
      <c r="I14" s="29">
        <v>48.22</v>
      </c>
    </row>
    <row r="15" spans="1:26" ht="15.75" customHeight="1">
      <c r="A15" s="28">
        <v>46298.701388888891</v>
      </c>
      <c r="B15" s="29">
        <v>424</v>
      </c>
      <c r="C15" s="29">
        <v>17685.650000000001</v>
      </c>
      <c r="D15" s="6">
        <f t="shared" si="0"/>
        <v>187.09936078283755</v>
      </c>
      <c r="E15" s="7">
        <f t="shared" si="1"/>
        <v>193.65000000000146</v>
      </c>
      <c r="F15" s="8">
        <f t="shared" si="2"/>
        <v>6.550639217163905</v>
      </c>
      <c r="G15" s="29">
        <v>36.5</v>
      </c>
      <c r="H15" s="29">
        <v>1.222</v>
      </c>
      <c r="I15" s="29">
        <v>48.22</v>
      </c>
    </row>
    <row r="16" spans="1:26" ht="15.75" customHeight="1">
      <c r="A16" s="28">
        <v>46298.694444444445</v>
      </c>
      <c r="B16" s="29">
        <v>462</v>
      </c>
      <c r="C16" s="29">
        <v>17492</v>
      </c>
      <c r="D16" s="6">
        <f t="shared" si="0"/>
        <v>203.65023610731791</v>
      </c>
      <c r="E16" s="7">
        <f t="shared" si="1"/>
        <v>213.34999999999854</v>
      </c>
      <c r="F16" s="8">
        <f t="shared" si="2"/>
        <v>9.699763892680636</v>
      </c>
      <c r="G16" s="29">
        <v>36.69</v>
      </c>
      <c r="H16" s="29">
        <v>2.222</v>
      </c>
      <c r="I16" s="29">
        <v>48.5</v>
      </c>
    </row>
    <row r="17" spans="1:9" ht="15.75" customHeight="1">
      <c r="A17" s="28">
        <v>46298.6875</v>
      </c>
      <c r="B17" s="29">
        <v>505</v>
      </c>
      <c r="C17" s="29">
        <v>17278.650000000001</v>
      </c>
      <c r="D17" s="6">
        <f t="shared" si="0"/>
        <v>222.60469531211157</v>
      </c>
      <c r="E17" s="7">
        <f t="shared" si="1"/>
        <v>231</v>
      </c>
      <c r="F17" s="8">
        <f t="shared" si="2"/>
        <v>8.3953046878884265</v>
      </c>
      <c r="G17" s="29">
        <v>36.56</v>
      </c>
      <c r="H17" s="29">
        <v>0.88900000000000001</v>
      </c>
      <c r="I17" s="29">
        <v>48.5</v>
      </c>
    </row>
    <row r="18" spans="1:9" ht="15.75" customHeight="1">
      <c r="A18" s="28">
        <v>46298.680555555555</v>
      </c>
      <c r="B18" s="29">
        <v>545</v>
      </c>
      <c r="C18" s="29">
        <v>17047.650000000001</v>
      </c>
      <c r="D18" s="6">
        <f t="shared" si="0"/>
        <v>240.23675038633823</v>
      </c>
      <c r="E18" s="7">
        <f t="shared" si="1"/>
        <v>249</v>
      </c>
      <c r="F18" s="8">
        <f t="shared" si="2"/>
        <v>8.7632496136617704</v>
      </c>
      <c r="G18" s="29">
        <v>37.06</v>
      </c>
      <c r="H18" s="29">
        <v>2.8889999999999998</v>
      </c>
      <c r="I18" s="29">
        <v>48.5</v>
      </c>
    </row>
    <row r="19" spans="1:9" ht="15.75" customHeight="1">
      <c r="A19" s="28">
        <v>46298.673611111109</v>
      </c>
      <c r="B19" s="29">
        <v>586</v>
      </c>
      <c r="C19" s="29">
        <v>16798.650000000001</v>
      </c>
      <c r="D19" s="6">
        <f t="shared" si="0"/>
        <v>258.30960683742052</v>
      </c>
      <c r="E19" s="7">
        <f t="shared" si="1"/>
        <v>266.65000000000146</v>
      </c>
      <c r="F19" s="8">
        <f t="shared" si="2"/>
        <v>8.3403931625809378</v>
      </c>
      <c r="G19" s="29">
        <v>36.75</v>
      </c>
      <c r="H19" s="29">
        <v>2.3330000000000002</v>
      </c>
      <c r="I19" s="29">
        <v>48.5</v>
      </c>
    </row>
    <row r="20" spans="1:9" ht="15.75" customHeight="1">
      <c r="A20" s="28">
        <v>46298.666666666664</v>
      </c>
      <c r="B20" s="29">
        <v>623</v>
      </c>
      <c r="C20" s="29">
        <v>16532</v>
      </c>
      <c r="D20" s="6">
        <f t="shared" si="0"/>
        <v>274.31553830775118</v>
      </c>
      <c r="E20" s="7">
        <f t="shared" si="1"/>
        <v>280.35000000000036</v>
      </c>
      <c r="F20" s="8">
        <f t="shared" si="2"/>
        <v>6.0344616922491809</v>
      </c>
      <c r="G20" s="29">
        <v>37</v>
      </c>
      <c r="H20" s="29">
        <v>4.8890000000000002</v>
      </c>
      <c r="I20" s="29">
        <v>48.79</v>
      </c>
    </row>
    <row r="21" spans="1:9" ht="15.75" customHeight="1">
      <c r="A21" s="28">
        <v>46298.659722222219</v>
      </c>
      <c r="B21" s="29">
        <v>663</v>
      </c>
      <c r="C21" s="29">
        <v>16251.65</v>
      </c>
      <c r="D21" s="6">
        <f t="shared" si="0"/>
        <v>291.60487301319711</v>
      </c>
      <c r="E21" s="7">
        <f t="shared" si="1"/>
        <v>300</v>
      </c>
      <c r="F21" s="8">
        <f t="shared" si="2"/>
        <v>8.395126986802893</v>
      </c>
      <c r="G21" s="29">
        <v>37.31</v>
      </c>
      <c r="H21" s="29">
        <v>4.1109999999999998</v>
      </c>
      <c r="I21" s="29">
        <v>49.08</v>
      </c>
    </row>
    <row r="22" spans="1:9" ht="15.75" customHeight="1">
      <c r="A22" s="28">
        <v>46298.652777777781</v>
      </c>
      <c r="B22" s="29">
        <v>708</v>
      </c>
      <c r="C22" s="29">
        <v>15951.65</v>
      </c>
      <c r="D22" s="6">
        <f t="shared" si="0"/>
        <v>311.06380303697779</v>
      </c>
      <c r="E22" s="7">
        <f t="shared" si="1"/>
        <v>310.64999999999964</v>
      </c>
      <c r="F22" s="8">
        <f t="shared" si="2"/>
        <v>-0.41380303697815179</v>
      </c>
      <c r="G22" s="29">
        <v>37.25</v>
      </c>
      <c r="H22" s="29">
        <v>2.8889999999999998</v>
      </c>
      <c r="I22" s="29">
        <v>49.36</v>
      </c>
    </row>
    <row r="23" spans="1:9" ht="15.75" customHeight="1">
      <c r="A23" s="28">
        <v>46298.645833333336</v>
      </c>
      <c r="B23" s="29">
        <v>737</v>
      </c>
      <c r="C23" s="29">
        <v>15641</v>
      </c>
      <c r="D23" s="6">
        <f t="shared" si="0"/>
        <v>323.80511700318158</v>
      </c>
      <c r="E23" s="7">
        <f t="shared" si="1"/>
        <v>321.35000000000036</v>
      </c>
      <c r="F23" s="8">
        <f t="shared" si="2"/>
        <v>-2.4551170031812148</v>
      </c>
      <c r="G23" s="29">
        <v>37.380000000000003</v>
      </c>
      <c r="H23" s="29">
        <v>2.3330000000000002</v>
      </c>
      <c r="I23" s="29">
        <v>49.36</v>
      </c>
    </row>
    <row r="24" spans="1:9" ht="15.75" customHeight="1">
      <c r="A24" s="28">
        <v>46298.638888888891</v>
      </c>
      <c r="B24" s="29">
        <v>763</v>
      </c>
      <c r="C24" s="29">
        <v>15319.65</v>
      </c>
      <c r="D24" s="6">
        <f t="shared" si="0"/>
        <v>335.22836400736441</v>
      </c>
      <c r="E24" s="7">
        <f t="shared" si="1"/>
        <v>330.64999999999964</v>
      </c>
      <c r="F24" s="8">
        <f t="shared" si="2"/>
        <v>-4.5783640073647689</v>
      </c>
      <c r="G24" s="29">
        <v>37.5</v>
      </c>
      <c r="H24" s="29">
        <v>0.44400000000000001</v>
      </c>
      <c r="I24" s="29">
        <v>49.36</v>
      </c>
    </row>
    <row r="25" spans="1:9" ht="15.75" customHeight="1">
      <c r="A25" s="28">
        <v>46298.631944444445</v>
      </c>
      <c r="B25" s="29">
        <v>786</v>
      </c>
      <c r="C25" s="29">
        <v>14989</v>
      </c>
      <c r="D25" s="6">
        <f t="shared" si="0"/>
        <v>345.33354404952615</v>
      </c>
      <c r="E25" s="7">
        <f t="shared" si="1"/>
        <v>343.35000000000036</v>
      </c>
      <c r="F25" s="8">
        <f t="shared" si="2"/>
        <v>-1.9835440495257899</v>
      </c>
      <c r="G25" s="29">
        <v>37.19</v>
      </c>
      <c r="H25" s="29">
        <v>1.667</v>
      </c>
      <c r="I25" s="29">
        <v>49.36</v>
      </c>
    </row>
    <row r="26" spans="1:9" ht="15.75" customHeight="1">
      <c r="A26" s="28">
        <v>46298.625</v>
      </c>
      <c r="B26" s="29">
        <v>823</v>
      </c>
      <c r="C26" s="29">
        <v>14645.65</v>
      </c>
      <c r="D26" s="6">
        <f t="shared" si="0"/>
        <v>361.97708972829741</v>
      </c>
      <c r="E26" s="7">
        <f t="shared" si="1"/>
        <v>353</v>
      </c>
      <c r="F26" s="8">
        <f t="shared" si="2"/>
        <v>-8.9770897282974147</v>
      </c>
      <c r="G26" s="29">
        <v>36.630000000000003</v>
      </c>
      <c r="H26" s="29">
        <v>0.88900000000000001</v>
      </c>
      <c r="I26" s="29">
        <v>49.08</v>
      </c>
    </row>
    <row r="27" spans="1:9" ht="15.75" customHeight="1">
      <c r="A27" s="28">
        <v>46298.618055555555</v>
      </c>
      <c r="B27" s="29">
        <v>848</v>
      </c>
      <c r="C27" s="29">
        <v>14292.65</v>
      </c>
      <c r="D27" s="6">
        <f t="shared" si="0"/>
        <v>372.57359459796197</v>
      </c>
      <c r="E27" s="7">
        <f t="shared" si="1"/>
        <v>365</v>
      </c>
      <c r="F27" s="8">
        <f t="shared" si="2"/>
        <v>-7.5735945979619714</v>
      </c>
      <c r="G27" s="29">
        <v>36.56</v>
      </c>
      <c r="H27" s="29">
        <v>0.66700000000000004</v>
      </c>
      <c r="I27" s="29">
        <v>49.36</v>
      </c>
    </row>
    <row r="28" spans="1:9" ht="15.75" customHeight="1">
      <c r="A28" s="28">
        <v>46298.611111111109</v>
      </c>
      <c r="B28" s="29">
        <v>879</v>
      </c>
      <c r="C28" s="29">
        <v>13927.65</v>
      </c>
      <c r="D28" s="6">
        <f t="shared" si="0"/>
        <v>386.60736557858252</v>
      </c>
      <c r="E28" s="7">
        <f t="shared" si="1"/>
        <v>375</v>
      </c>
      <c r="F28" s="8">
        <f t="shared" si="2"/>
        <v>-11.607365578582517</v>
      </c>
      <c r="G28" s="29">
        <v>36.25</v>
      </c>
      <c r="H28" s="29">
        <v>3.1110000000000002</v>
      </c>
      <c r="I28" s="29">
        <v>49.08</v>
      </c>
    </row>
    <row r="29" spans="1:9" ht="15.75" customHeight="1">
      <c r="A29" s="28">
        <v>46298.604166666664</v>
      </c>
      <c r="B29" s="29">
        <v>900</v>
      </c>
      <c r="C29" s="29">
        <v>13552.65</v>
      </c>
      <c r="D29" s="6">
        <f t="shared" si="0"/>
        <v>395.42008860632757</v>
      </c>
      <c r="E29" s="7">
        <f t="shared" si="1"/>
        <v>383</v>
      </c>
      <c r="F29" s="8">
        <f t="shared" si="2"/>
        <v>-12.420088606327568</v>
      </c>
      <c r="G29" s="29">
        <v>36.44</v>
      </c>
      <c r="H29" s="29">
        <v>2.222</v>
      </c>
      <c r="I29" s="29">
        <v>49.36</v>
      </c>
    </row>
    <row r="30" spans="1:9" ht="15.75" customHeight="1">
      <c r="A30" s="28">
        <v>46298.597222222219</v>
      </c>
      <c r="B30" s="29">
        <v>917</v>
      </c>
      <c r="C30" s="29">
        <v>13169.65</v>
      </c>
      <c r="D30" s="6">
        <f t="shared" si="0"/>
        <v>402.44208696033343</v>
      </c>
      <c r="E30" s="7">
        <f t="shared" si="1"/>
        <v>388</v>
      </c>
      <c r="F30" s="8">
        <f t="shared" si="2"/>
        <v>-14.442086960333427</v>
      </c>
      <c r="G30" s="29">
        <v>36.69</v>
      </c>
      <c r="H30" s="29">
        <v>2.6669999999999998</v>
      </c>
      <c r="I30" s="29">
        <v>49.65</v>
      </c>
    </row>
    <row r="31" spans="1:9" ht="15.75" customHeight="1">
      <c r="A31" s="28">
        <v>46298.590277777781</v>
      </c>
      <c r="B31" s="29">
        <v>935</v>
      </c>
      <c r="C31" s="29">
        <v>12781.65</v>
      </c>
      <c r="D31" s="6">
        <f t="shared" si="0"/>
        <v>411.23764142886773</v>
      </c>
      <c r="E31" s="7">
        <f t="shared" si="1"/>
        <v>397</v>
      </c>
      <c r="F31" s="8">
        <f t="shared" si="2"/>
        <v>-14.237641428867732</v>
      </c>
      <c r="G31" s="29">
        <v>36.06</v>
      </c>
      <c r="H31" s="29">
        <v>1.444</v>
      </c>
      <c r="I31" s="29">
        <v>49.08</v>
      </c>
    </row>
    <row r="32" spans="1:9" ht="15.75" customHeight="1">
      <c r="A32" s="28">
        <v>46298.583333333336</v>
      </c>
      <c r="B32" s="29">
        <v>959</v>
      </c>
      <c r="C32" s="29">
        <v>12384.65</v>
      </c>
      <c r="D32" s="6">
        <f t="shared" si="0"/>
        <v>421.34207219274236</v>
      </c>
      <c r="E32" s="7">
        <f t="shared" si="1"/>
        <v>401</v>
      </c>
      <c r="F32" s="8">
        <f t="shared" si="2"/>
        <v>-20.342072192742364</v>
      </c>
      <c r="G32" s="29">
        <v>35.69</v>
      </c>
      <c r="H32" s="29">
        <v>0.55600000000000005</v>
      </c>
      <c r="I32" s="29">
        <v>49.36</v>
      </c>
    </row>
    <row r="33" spans="1:9" ht="15.75" customHeight="1">
      <c r="A33" s="28">
        <v>46298.576388888891</v>
      </c>
      <c r="B33" s="29">
        <v>970</v>
      </c>
      <c r="C33" s="29">
        <v>11983.65</v>
      </c>
      <c r="D33" s="6">
        <f t="shared" si="0"/>
        <v>426.63156383529588</v>
      </c>
      <c r="E33" s="7">
        <f t="shared" si="1"/>
        <v>411</v>
      </c>
      <c r="F33" s="8">
        <f t="shared" si="2"/>
        <v>-15.631563835295879</v>
      </c>
      <c r="G33" s="29">
        <v>36.119999999999997</v>
      </c>
      <c r="H33" s="29">
        <v>1.778</v>
      </c>
      <c r="I33" s="29">
        <v>49.08</v>
      </c>
    </row>
    <row r="34" spans="1:9" ht="15.75" customHeight="1">
      <c r="A34" s="28">
        <v>46298.569444444445</v>
      </c>
      <c r="B34" s="29">
        <v>991</v>
      </c>
      <c r="C34" s="29">
        <v>11572.65</v>
      </c>
      <c r="D34" s="6">
        <f t="shared" si="0"/>
        <v>435.4014531209674</v>
      </c>
      <c r="E34" s="7">
        <f t="shared" si="1"/>
        <v>414</v>
      </c>
      <c r="F34" s="8">
        <f t="shared" si="2"/>
        <v>-21.401453120967403</v>
      </c>
      <c r="G34" s="29">
        <v>35.06</v>
      </c>
      <c r="H34" s="29">
        <v>3.3330000000000002</v>
      </c>
      <c r="I34" s="29">
        <v>49.36</v>
      </c>
    </row>
    <row r="35" spans="1:9" ht="15.75" customHeight="1">
      <c r="A35" s="28">
        <v>46298.5625</v>
      </c>
      <c r="B35" s="29">
        <v>1005</v>
      </c>
      <c r="C35" s="29">
        <v>11158.65</v>
      </c>
      <c r="D35" s="6">
        <f t="shared" si="0"/>
        <v>442.51543499083448</v>
      </c>
      <c r="E35" s="7">
        <f t="shared" si="1"/>
        <v>419</v>
      </c>
      <c r="F35" s="8">
        <f t="shared" si="2"/>
        <v>-23.515434990834478</v>
      </c>
      <c r="G35" s="29">
        <v>35.69</v>
      </c>
      <c r="H35" s="29">
        <v>2.6669999999999998</v>
      </c>
      <c r="I35" s="29">
        <v>48.79</v>
      </c>
    </row>
    <row r="36" spans="1:9" ht="15.75" customHeight="1">
      <c r="A36" s="28">
        <v>46298.555555555555</v>
      </c>
      <c r="B36" s="29">
        <v>1022</v>
      </c>
      <c r="C36" s="29">
        <v>10739.65</v>
      </c>
      <c r="D36" s="6">
        <f t="shared" si="0"/>
        <v>448.52324195579149</v>
      </c>
      <c r="E36" s="7">
        <f t="shared" si="1"/>
        <v>422.64999999999964</v>
      </c>
      <c r="F36" s="8">
        <f t="shared" si="2"/>
        <v>-25.873241955791855</v>
      </c>
      <c r="G36" s="29">
        <v>35.380000000000003</v>
      </c>
      <c r="H36" s="29">
        <v>1.444</v>
      </c>
      <c r="I36" s="29">
        <v>49.65</v>
      </c>
    </row>
    <row r="37" spans="1:9" ht="15.75" customHeight="1">
      <c r="A37" s="28">
        <v>46298.548611111109</v>
      </c>
      <c r="B37" s="29">
        <v>1018</v>
      </c>
      <c r="C37" s="29">
        <v>10317</v>
      </c>
      <c r="D37" s="6">
        <f t="shared" si="0"/>
        <v>447.26405577915722</v>
      </c>
      <c r="E37" s="7">
        <f t="shared" si="1"/>
        <v>423.35299999999916</v>
      </c>
      <c r="F37" s="8">
        <f t="shared" si="2"/>
        <v>-23.911055779158062</v>
      </c>
      <c r="G37" s="29">
        <v>35.94</v>
      </c>
      <c r="H37" s="29">
        <v>1.222</v>
      </c>
      <c r="I37" s="29">
        <v>49.36</v>
      </c>
    </row>
    <row r="38" spans="1:9" ht="15.75" customHeight="1">
      <c r="A38" s="28">
        <v>46298.541666666664</v>
      </c>
      <c r="B38" s="29">
        <v>1023</v>
      </c>
      <c r="C38" s="29">
        <v>9893.6470000000008</v>
      </c>
      <c r="D38" s="6">
        <f t="shared" si="0"/>
        <v>449.94236062217288</v>
      </c>
      <c r="E38" s="7">
        <f t="shared" si="1"/>
        <v>425.64700000000084</v>
      </c>
      <c r="F38" s="8">
        <f t="shared" si="2"/>
        <v>-24.295360622172041</v>
      </c>
      <c r="G38" s="29">
        <v>35.619999999999997</v>
      </c>
      <c r="H38" s="29">
        <v>3.556</v>
      </c>
      <c r="I38" s="29">
        <v>49.08</v>
      </c>
    </row>
    <row r="39" spans="1:9" ht="15.75" customHeight="1">
      <c r="A39" s="28">
        <v>46298.534722222219</v>
      </c>
      <c r="B39" s="29">
        <v>1030</v>
      </c>
      <c r="C39" s="29">
        <v>9468</v>
      </c>
      <c r="D39" s="6">
        <f t="shared" si="0"/>
        <v>452.53632362724153</v>
      </c>
      <c r="E39" s="7">
        <f t="shared" si="1"/>
        <v>430.35299999999916</v>
      </c>
      <c r="F39" s="8">
        <f t="shared" si="2"/>
        <v>-22.183323627242373</v>
      </c>
      <c r="G39" s="29">
        <v>35.06</v>
      </c>
      <c r="H39" s="29">
        <v>0.55600000000000005</v>
      </c>
      <c r="I39" s="29">
        <v>49.36</v>
      </c>
    </row>
    <row r="40" spans="1:9" ht="15.75" customHeight="1">
      <c r="A40" s="28">
        <v>46298.527777777781</v>
      </c>
      <c r="B40" s="29">
        <v>1036</v>
      </c>
      <c r="C40" s="29">
        <v>9037.6470000000008</v>
      </c>
      <c r="D40" s="6">
        <f t="shared" si="0"/>
        <v>456.16516482637269</v>
      </c>
      <c r="E40" s="7">
        <f t="shared" si="1"/>
        <v>427.64700000000084</v>
      </c>
      <c r="F40" s="8">
        <f t="shared" si="2"/>
        <v>-28.518164826371844</v>
      </c>
      <c r="G40" s="29">
        <v>34.75</v>
      </c>
      <c r="H40" s="29">
        <v>2.556</v>
      </c>
      <c r="I40" s="29">
        <v>48.79</v>
      </c>
    </row>
    <row r="41" spans="1:9" ht="15.75" customHeight="1">
      <c r="A41" s="28">
        <v>46298.520833333336</v>
      </c>
      <c r="B41" s="29">
        <v>1027</v>
      </c>
      <c r="C41" s="29">
        <v>8610</v>
      </c>
      <c r="D41" s="6">
        <f t="shared" si="0"/>
        <v>451.70166604005038</v>
      </c>
      <c r="E41" s="7">
        <f t="shared" si="1"/>
        <v>427.35300000000007</v>
      </c>
      <c r="F41" s="8">
        <f t="shared" si="2"/>
        <v>-24.348666040050318</v>
      </c>
      <c r="G41" s="29">
        <v>34.619999999999997</v>
      </c>
      <c r="H41" s="29">
        <v>0.55600000000000005</v>
      </c>
      <c r="I41" s="29">
        <v>49.08</v>
      </c>
    </row>
    <row r="42" spans="1:9" ht="15.75" customHeight="1">
      <c r="A42" s="28">
        <v>46298.513888888891</v>
      </c>
      <c r="B42" s="29">
        <v>1025</v>
      </c>
      <c r="C42" s="29">
        <v>8182.6469999999999</v>
      </c>
      <c r="D42" s="6">
        <f t="shared" si="0"/>
        <v>450.82201333111158</v>
      </c>
      <c r="E42" s="7">
        <f t="shared" si="1"/>
        <v>427</v>
      </c>
      <c r="F42" s="8">
        <f t="shared" si="2"/>
        <v>-23.822013331111577</v>
      </c>
      <c r="G42" s="29">
        <v>33.75</v>
      </c>
      <c r="H42" s="29">
        <v>2.556</v>
      </c>
      <c r="I42" s="29">
        <v>49.08</v>
      </c>
    </row>
    <row r="43" spans="1:9" ht="15.75" customHeight="1">
      <c r="A43" s="28">
        <v>46298.506944444445</v>
      </c>
      <c r="B43" s="29">
        <v>1020</v>
      </c>
      <c r="C43" s="29">
        <v>7755.6469999999999</v>
      </c>
      <c r="D43" s="6">
        <f t="shared" si="0"/>
        <v>448.62288155876473</v>
      </c>
      <c r="E43" s="7">
        <f t="shared" si="1"/>
        <v>426</v>
      </c>
      <c r="F43" s="8">
        <f t="shared" si="2"/>
        <v>-22.622881558764732</v>
      </c>
      <c r="G43" s="29">
        <v>33.81</v>
      </c>
      <c r="H43" s="29">
        <v>2.778</v>
      </c>
      <c r="I43" s="29">
        <v>49.08</v>
      </c>
    </row>
    <row r="44" spans="1:9" ht="15.75" customHeight="1">
      <c r="A44" s="28">
        <v>46298.5</v>
      </c>
      <c r="B44" s="29">
        <v>1015</v>
      </c>
      <c r="C44" s="29">
        <v>7329.6469999999999</v>
      </c>
      <c r="D44" s="6">
        <f t="shared" si="0"/>
        <v>445.94598881713603</v>
      </c>
      <c r="E44" s="7">
        <f t="shared" si="1"/>
        <v>422.64699999999993</v>
      </c>
      <c r="F44" s="8">
        <f t="shared" si="2"/>
        <v>-23.298988817136092</v>
      </c>
      <c r="G44" s="29">
        <v>33.630000000000003</v>
      </c>
      <c r="H44" s="29">
        <v>2.8889999999999998</v>
      </c>
      <c r="I44" s="29">
        <v>49.36</v>
      </c>
    </row>
    <row r="45" spans="1:9" ht="15.75" customHeight="1">
      <c r="A45" s="28">
        <v>46298.493055555555</v>
      </c>
      <c r="B45" s="29">
        <v>998</v>
      </c>
      <c r="C45" s="29">
        <v>6907</v>
      </c>
      <c r="D45" s="6">
        <f t="shared" si="0"/>
        <v>438.4769426990166</v>
      </c>
      <c r="E45" s="7">
        <f t="shared" si="1"/>
        <v>419.35300000000007</v>
      </c>
      <c r="F45" s="8">
        <f t="shared" si="2"/>
        <v>-19.123942699016538</v>
      </c>
      <c r="G45" s="29">
        <v>33.06</v>
      </c>
      <c r="H45" s="29">
        <v>0.55600000000000005</v>
      </c>
      <c r="I45" s="29">
        <v>49.36</v>
      </c>
    </row>
    <row r="46" spans="1:9" ht="15.75" customHeight="1">
      <c r="A46" s="28">
        <v>46298.486111111109</v>
      </c>
      <c r="B46" s="29">
        <v>986</v>
      </c>
      <c r="C46" s="29">
        <v>6487.6469999999999</v>
      </c>
      <c r="D46" s="6">
        <f t="shared" si="0"/>
        <v>433.20467485093229</v>
      </c>
      <c r="E46" s="7">
        <f t="shared" si="1"/>
        <v>413</v>
      </c>
      <c r="F46" s="8">
        <f t="shared" si="2"/>
        <v>-20.204674850932292</v>
      </c>
      <c r="G46" s="29">
        <v>32.94</v>
      </c>
      <c r="H46" s="29">
        <v>2.8889999999999998</v>
      </c>
      <c r="I46" s="29">
        <v>49.36</v>
      </c>
    </row>
    <row r="47" spans="1:9" ht="15.75" customHeight="1">
      <c r="A47" s="28">
        <v>46298.479166666664</v>
      </c>
      <c r="B47" s="29">
        <v>968</v>
      </c>
      <c r="C47" s="29">
        <v>6074.6469999999999</v>
      </c>
      <c r="D47" s="6">
        <f t="shared" si="0"/>
        <v>425.29627307880571</v>
      </c>
      <c r="E47" s="7">
        <f t="shared" si="1"/>
        <v>406</v>
      </c>
      <c r="F47" s="8">
        <f t="shared" si="2"/>
        <v>-19.296273078805712</v>
      </c>
      <c r="G47" s="29">
        <v>33.31</v>
      </c>
      <c r="H47" s="29">
        <v>2.444</v>
      </c>
      <c r="I47" s="29">
        <v>49.36</v>
      </c>
    </row>
    <row r="48" spans="1:9" ht="15.75" customHeight="1">
      <c r="A48" s="28">
        <v>46298.472222222219</v>
      </c>
      <c r="B48" s="29">
        <v>944</v>
      </c>
      <c r="C48" s="29">
        <v>5668.6469999999999</v>
      </c>
      <c r="D48" s="6">
        <f t="shared" si="0"/>
        <v>414.75173738263697</v>
      </c>
      <c r="E48" s="7">
        <f t="shared" si="1"/>
        <v>401</v>
      </c>
      <c r="F48" s="8">
        <f t="shared" si="2"/>
        <v>-13.751737382636975</v>
      </c>
      <c r="G48" s="29">
        <v>32.81</v>
      </c>
      <c r="H48" s="29">
        <v>0.55600000000000005</v>
      </c>
      <c r="I48" s="29">
        <v>49.36</v>
      </c>
    </row>
    <row r="49" spans="1:9" ht="15.75" customHeight="1">
      <c r="A49" s="28">
        <v>46298.465277777781</v>
      </c>
      <c r="B49" s="29">
        <v>930</v>
      </c>
      <c r="C49" s="29">
        <v>5267.6469999999999</v>
      </c>
      <c r="D49" s="6">
        <f t="shared" si="0"/>
        <v>408.14737281691396</v>
      </c>
      <c r="E49" s="7">
        <f t="shared" si="1"/>
        <v>396</v>
      </c>
      <c r="F49" s="8">
        <f t="shared" si="2"/>
        <v>-12.147372816913958</v>
      </c>
      <c r="G49" s="29">
        <v>32.75</v>
      </c>
      <c r="H49" s="29">
        <v>2.3330000000000002</v>
      </c>
      <c r="I49" s="29">
        <v>49.65</v>
      </c>
    </row>
    <row r="50" spans="1:9" ht="15.75" customHeight="1">
      <c r="A50" s="28">
        <v>46298.458333333336</v>
      </c>
      <c r="B50" s="29">
        <v>905</v>
      </c>
      <c r="C50" s="29">
        <v>4871.6469999999999</v>
      </c>
      <c r="D50" s="6">
        <f t="shared" si="0"/>
        <v>397.61686687636279</v>
      </c>
      <c r="E50" s="7">
        <f t="shared" si="1"/>
        <v>386</v>
      </c>
      <c r="F50" s="8">
        <f t="shared" si="2"/>
        <v>-11.616866876362792</v>
      </c>
      <c r="G50" s="29">
        <v>32.130000000000003</v>
      </c>
      <c r="H50" s="29">
        <v>4.2220000000000004</v>
      </c>
      <c r="I50" s="29">
        <v>49.36</v>
      </c>
    </row>
    <row r="51" spans="1:9" ht="15.75" customHeight="1">
      <c r="A51" s="28">
        <v>46298.451388888891</v>
      </c>
      <c r="B51" s="29">
        <v>879</v>
      </c>
      <c r="C51" s="29">
        <v>4485.6469999999999</v>
      </c>
      <c r="D51" s="6">
        <f t="shared" si="0"/>
        <v>385.76509753340582</v>
      </c>
      <c r="E51" s="7">
        <f t="shared" si="1"/>
        <v>375.64699999999993</v>
      </c>
      <c r="F51" s="8">
        <f t="shared" si="2"/>
        <v>-10.118097533405887</v>
      </c>
      <c r="G51" s="29">
        <v>32.380000000000003</v>
      </c>
      <c r="H51" s="29">
        <v>1</v>
      </c>
      <c r="I51" s="29">
        <v>49.65</v>
      </c>
    </row>
    <row r="52" spans="1:9" ht="15.75" customHeight="1">
      <c r="A52" s="28">
        <v>46298.444444444445</v>
      </c>
      <c r="B52" s="29">
        <v>849</v>
      </c>
      <c r="C52" s="29">
        <v>4110</v>
      </c>
      <c r="D52" s="6">
        <f t="shared" si="0"/>
        <v>373.01295025196902</v>
      </c>
      <c r="E52" s="7">
        <f t="shared" si="1"/>
        <v>361.35300000000007</v>
      </c>
      <c r="F52" s="8">
        <f t="shared" si="2"/>
        <v>-11.659950251968951</v>
      </c>
      <c r="G52" s="29">
        <v>31.69</v>
      </c>
      <c r="H52" s="29">
        <v>1.778</v>
      </c>
      <c r="I52" s="29">
        <v>49.36</v>
      </c>
    </row>
    <row r="53" spans="1:9" ht="15.75" customHeight="1">
      <c r="A53" s="28">
        <v>46298.4375</v>
      </c>
      <c r="B53" s="29">
        <v>818</v>
      </c>
      <c r="C53" s="29">
        <v>3748.6469999999999</v>
      </c>
      <c r="D53" s="6">
        <f t="shared" si="0"/>
        <v>358.99414082175872</v>
      </c>
      <c r="E53" s="7">
        <f t="shared" si="1"/>
        <v>351</v>
      </c>
      <c r="F53" s="8">
        <f t="shared" si="2"/>
        <v>-7.9941408217587195</v>
      </c>
      <c r="G53" s="29">
        <v>31.31</v>
      </c>
      <c r="H53" s="29">
        <v>2.6669999999999998</v>
      </c>
      <c r="I53" s="29">
        <v>49.65</v>
      </c>
    </row>
    <row r="54" spans="1:9" ht="15.75" customHeight="1">
      <c r="A54" s="28">
        <v>46298.430555555555</v>
      </c>
      <c r="B54" s="29">
        <v>783</v>
      </c>
      <c r="C54" s="29">
        <v>3397.6469999999999</v>
      </c>
      <c r="D54" s="6">
        <f t="shared" si="0"/>
        <v>343.63375582327279</v>
      </c>
      <c r="E54" s="7">
        <f t="shared" si="1"/>
        <v>335.64699999999993</v>
      </c>
      <c r="F54" s="8">
        <f t="shared" si="2"/>
        <v>-7.9867558232728584</v>
      </c>
      <c r="G54" s="29">
        <v>31.06</v>
      </c>
      <c r="H54" s="29">
        <v>2.556</v>
      </c>
      <c r="I54" s="29">
        <v>49.65</v>
      </c>
    </row>
    <row r="55" spans="1:9" ht="15.75" customHeight="1">
      <c r="A55" s="28">
        <v>46298.423611111109</v>
      </c>
      <c r="B55" s="29">
        <v>746</v>
      </c>
      <c r="C55" s="29">
        <v>3062</v>
      </c>
      <c r="D55" s="6">
        <f t="shared" si="0"/>
        <v>327.39563453915895</v>
      </c>
      <c r="E55" s="7">
        <f t="shared" si="1"/>
        <v>322</v>
      </c>
      <c r="F55" s="8">
        <f t="shared" si="2"/>
        <v>-5.395634539158948</v>
      </c>
      <c r="G55" s="29">
        <v>30.69</v>
      </c>
      <c r="H55" s="29">
        <v>1.111</v>
      </c>
      <c r="I55" s="29">
        <v>49.65</v>
      </c>
    </row>
    <row r="56" spans="1:9" ht="15.75" customHeight="1">
      <c r="A56" s="28">
        <v>46298.416666666664</v>
      </c>
      <c r="B56" s="29">
        <v>712</v>
      </c>
      <c r="C56" s="29">
        <v>2740</v>
      </c>
      <c r="D56" s="6">
        <f t="shared" si="0"/>
        <v>312.47411768348684</v>
      </c>
      <c r="E56" s="7">
        <f t="shared" si="1"/>
        <v>308.35300000000007</v>
      </c>
      <c r="F56" s="8">
        <f t="shared" si="2"/>
        <v>-4.1211176834867729</v>
      </c>
      <c r="G56" s="29">
        <v>30.87</v>
      </c>
      <c r="H56" s="29">
        <v>1.333</v>
      </c>
      <c r="I56" s="29">
        <v>49.65</v>
      </c>
    </row>
    <row r="57" spans="1:9" ht="15.75" customHeight="1">
      <c r="A57" s="28">
        <v>46298.409722222219</v>
      </c>
      <c r="B57" s="29">
        <v>674</v>
      </c>
      <c r="C57" s="29">
        <v>2431.6469999999999</v>
      </c>
      <c r="D57" s="6">
        <f t="shared" si="0"/>
        <v>295.79712825655923</v>
      </c>
      <c r="E57" s="7">
        <f t="shared" si="1"/>
        <v>293</v>
      </c>
      <c r="F57" s="8">
        <f t="shared" si="2"/>
        <v>-2.7971282565592333</v>
      </c>
      <c r="G57" s="29">
        <v>30.75</v>
      </c>
      <c r="H57" s="29">
        <v>0.44400000000000001</v>
      </c>
      <c r="I57" s="29">
        <v>49.65</v>
      </c>
    </row>
    <row r="58" spans="1:9" ht="15.75" customHeight="1">
      <c r="A58" s="28">
        <v>46298.402777777781</v>
      </c>
      <c r="B58" s="29">
        <v>636</v>
      </c>
      <c r="C58" s="29">
        <v>2138.6469999999999</v>
      </c>
      <c r="D58" s="6">
        <f t="shared" si="0"/>
        <v>279.12013882963151</v>
      </c>
      <c r="E58" s="7">
        <f t="shared" si="1"/>
        <v>278</v>
      </c>
      <c r="F58" s="8">
        <f t="shared" si="2"/>
        <v>-1.1201388296315145</v>
      </c>
      <c r="G58" s="29">
        <v>30.19</v>
      </c>
      <c r="H58" s="29">
        <v>0.55600000000000005</v>
      </c>
      <c r="I58" s="29">
        <v>49.65</v>
      </c>
    </row>
    <row r="59" spans="1:9" ht="15.75" customHeight="1">
      <c r="A59" s="28">
        <v>46298.395833333336</v>
      </c>
      <c r="B59" s="29">
        <v>597</v>
      </c>
      <c r="C59" s="29">
        <v>1860.6469999999999</v>
      </c>
      <c r="D59" s="6">
        <f t="shared" si="0"/>
        <v>262.29532544219728</v>
      </c>
      <c r="E59" s="7">
        <f t="shared" si="1"/>
        <v>261</v>
      </c>
      <c r="F59" s="8">
        <f t="shared" si="2"/>
        <v>-1.2953254421972815</v>
      </c>
      <c r="G59" s="29">
        <v>29.75</v>
      </c>
      <c r="H59" s="29">
        <v>0.55600000000000005</v>
      </c>
      <c r="I59" s="29">
        <v>49.36</v>
      </c>
    </row>
    <row r="60" spans="1:9" ht="15.75" customHeight="1">
      <c r="A60" s="28">
        <v>46298.388888888891</v>
      </c>
      <c r="B60" s="29">
        <v>554</v>
      </c>
      <c r="C60" s="29">
        <v>1599.6469999999999</v>
      </c>
      <c r="D60" s="6">
        <f t="shared" si="0"/>
        <v>243.40303231989495</v>
      </c>
      <c r="E60" s="7">
        <f t="shared" si="1"/>
        <v>243</v>
      </c>
      <c r="F60" s="8">
        <f t="shared" si="2"/>
        <v>-0.40303231989494748</v>
      </c>
      <c r="G60" s="29">
        <v>28.81</v>
      </c>
      <c r="H60" s="29">
        <v>0.44400000000000001</v>
      </c>
      <c r="I60" s="29">
        <v>49.36</v>
      </c>
    </row>
    <row r="61" spans="1:9" ht="15.75" customHeight="1">
      <c r="A61" s="28">
        <v>46298.381944444445</v>
      </c>
      <c r="B61" s="29">
        <v>514</v>
      </c>
      <c r="C61" s="29">
        <v>1356.6469999999999</v>
      </c>
      <c r="D61" s="6">
        <f t="shared" si="0"/>
        <v>226.57190770381263</v>
      </c>
      <c r="E61" s="7">
        <f t="shared" si="1"/>
        <v>224</v>
      </c>
      <c r="F61" s="8">
        <f t="shared" si="2"/>
        <v>-2.5719077038126272</v>
      </c>
      <c r="G61" s="29">
        <v>28.06</v>
      </c>
      <c r="H61" s="29">
        <v>0.44400000000000001</v>
      </c>
      <c r="I61" s="29">
        <v>48.5</v>
      </c>
    </row>
    <row r="62" spans="1:9" ht="15.75" customHeight="1">
      <c r="A62" s="28">
        <v>46298.375</v>
      </c>
      <c r="B62" s="29">
        <v>469</v>
      </c>
      <c r="C62" s="29">
        <v>1132.6469999999999</v>
      </c>
      <c r="D62" s="6">
        <f t="shared" si="0"/>
        <v>206.95660426214815</v>
      </c>
      <c r="E62" s="7">
        <f t="shared" si="1"/>
        <v>204.99999999999989</v>
      </c>
      <c r="F62" s="8">
        <f t="shared" si="2"/>
        <v>-1.9566042621482609</v>
      </c>
      <c r="G62" s="29">
        <v>27</v>
      </c>
      <c r="H62" s="29">
        <v>0.44400000000000001</v>
      </c>
      <c r="I62" s="29">
        <v>48.22</v>
      </c>
    </row>
    <row r="63" spans="1:9" ht="15.75" customHeight="1">
      <c r="A63" s="28">
        <v>46298.368055555555</v>
      </c>
      <c r="B63" s="29">
        <v>429</v>
      </c>
      <c r="C63" s="29">
        <v>927.64700000000005</v>
      </c>
      <c r="D63" s="6">
        <f t="shared" si="0"/>
        <v>189.30572116942764</v>
      </c>
      <c r="E63" s="7">
        <f t="shared" si="1"/>
        <v>185.64700000000005</v>
      </c>
      <c r="F63" s="8">
        <f t="shared" si="2"/>
        <v>-3.6587211694275936</v>
      </c>
      <c r="G63" s="29">
        <v>25.62</v>
      </c>
      <c r="H63" s="29">
        <v>0.44400000000000001</v>
      </c>
      <c r="I63" s="29">
        <v>48.22</v>
      </c>
    </row>
    <row r="64" spans="1:9" ht="15.75" customHeight="1">
      <c r="A64" s="28">
        <v>46298.361111111109</v>
      </c>
      <c r="B64" s="29">
        <v>386</v>
      </c>
      <c r="C64" s="29">
        <v>742</v>
      </c>
      <c r="D64" s="6">
        <f t="shared" si="0"/>
        <v>170.89555980641452</v>
      </c>
      <c r="E64" s="7">
        <f t="shared" si="1"/>
        <v>165</v>
      </c>
      <c r="F64" s="8">
        <f t="shared" si="2"/>
        <v>-5.8955598064145249</v>
      </c>
      <c r="G64" s="29">
        <v>24.69</v>
      </c>
      <c r="H64" s="29">
        <v>0.44400000000000001</v>
      </c>
      <c r="I64" s="29">
        <v>47.35</v>
      </c>
    </row>
    <row r="65" spans="1:26" ht="15.75" customHeight="1">
      <c r="A65" s="28">
        <v>46298.354166666664</v>
      </c>
      <c r="B65" s="29">
        <v>340</v>
      </c>
      <c r="C65" s="29">
        <v>577</v>
      </c>
      <c r="D65" s="6">
        <f t="shared" si="0"/>
        <v>153.97058808488538</v>
      </c>
      <c r="E65" s="7">
        <f t="shared" si="1"/>
        <v>143.35300000000001</v>
      </c>
      <c r="F65" s="8">
        <f t="shared" si="2"/>
        <v>-10.617588084885369</v>
      </c>
      <c r="G65" s="29">
        <v>23.5</v>
      </c>
      <c r="H65" s="29">
        <v>0.44400000000000001</v>
      </c>
      <c r="I65" s="29">
        <v>41.33</v>
      </c>
    </row>
    <row r="66" spans="1:26" ht="15.75" customHeight="1">
      <c r="A66" s="28">
        <v>46298.347222222219</v>
      </c>
      <c r="B66" s="29">
        <v>294</v>
      </c>
      <c r="C66" s="29">
        <v>433.64699999999999</v>
      </c>
      <c r="D66" s="6">
        <f t="shared" si="0"/>
        <v>135.8328566221202</v>
      </c>
      <c r="E66" s="7">
        <f t="shared" si="1"/>
        <v>120.64699999999999</v>
      </c>
      <c r="F66" s="8">
        <f t="shared" si="2"/>
        <v>-15.185856622120212</v>
      </c>
      <c r="G66" s="29">
        <v>22.38</v>
      </c>
      <c r="H66" s="29">
        <v>0.44400000000000001</v>
      </c>
      <c r="I66" s="29">
        <v>35.880000000000003</v>
      </c>
    </row>
    <row r="67" spans="1:26" ht="15.75" customHeight="1">
      <c r="A67" s="28">
        <v>46298.340277777781</v>
      </c>
      <c r="B67" s="29">
        <v>248</v>
      </c>
      <c r="C67" s="29">
        <v>313</v>
      </c>
      <c r="D67" s="6">
        <f t="shared" si="0"/>
        <v>116.25605936011526</v>
      </c>
      <c r="E67" s="7">
        <f t="shared" si="1"/>
        <v>98.353000000000009</v>
      </c>
      <c r="F67" s="8">
        <f t="shared" si="2"/>
        <v>-17.90305936011525</v>
      </c>
      <c r="G67" s="29">
        <v>20.69</v>
      </c>
      <c r="H67" s="29">
        <v>0.44400000000000001</v>
      </c>
      <c r="I67" s="29">
        <v>31.86</v>
      </c>
    </row>
    <row r="68" spans="1:26" ht="15.75" customHeight="1">
      <c r="A68" s="28">
        <v>46298.333333333336</v>
      </c>
      <c r="B68" s="29">
        <v>204</v>
      </c>
      <c r="C68" s="29">
        <v>214.64699999999999</v>
      </c>
      <c r="D68" s="6">
        <f t="shared" si="0"/>
        <v>99.175972623979064</v>
      </c>
      <c r="E68" s="7">
        <f t="shared" si="1"/>
        <v>77</v>
      </c>
      <c r="F68" s="8">
        <f t="shared" si="2"/>
        <v>-22.175972623979064</v>
      </c>
      <c r="G68" s="29">
        <v>18.63</v>
      </c>
      <c r="H68" s="29">
        <v>0.55600000000000005</v>
      </c>
      <c r="I68" s="29">
        <v>21.52</v>
      </c>
    </row>
    <row r="69" spans="1:26" ht="15.75" customHeight="1">
      <c r="A69" s="28">
        <v>46298.326388888891</v>
      </c>
      <c r="B69" s="29">
        <v>161</v>
      </c>
      <c r="C69" s="29">
        <v>137.64699999999999</v>
      </c>
      <c r="D69" s="6">
        <f t="shared" si="0"/>
        <v>79.045300206704539</v>
      </c>
      <c r="E69" s="7">
        <f t="shared" si="1"/>
        <v>56.999999999999986</v>
      </c>
      <c r="F69" s="8">
        <f t="shared" si="2"/>
        <v>-22.045300206704553</v>
      </c>
      <c r="G69" s="29">
        <v>17.13</v>
      </c>
      <c r="H69" s="29">
        <v>0.55600000000000005</v>
      </c>
      <c r="I69" s="29">
        <v>18.66</v>
      </c>
    </row>
    <row r="70" spans="1:26" ht="15.75" customHeight="1">
      <c r="A70" s="28">
        <v>46298.319444444445</v>
      </c>
      <c r="B70" s="29">
        <v>119</v>
      </c>
      <c r="C70" s="29">
        <v>80.647000000000006</v>
      </c>
      <c r="D70" s="6">
        <f t="shared" si="0"/>
        <v>58.942910643231329</v>
      </c>
      <c r="E70" s="7">
        <f t="shared" si="1"/>
        <v>39.000000000000007</v>
      </c>
      <c r="F70" s="8">
        <f t="shared" si="2"/>
        <v>-19.942910643231322</v>
      </c>
      <c r="G70" s="29">
        <v>15.81</v>
      </c>
      <c r="H70" s="29">
        <v>0.44400000000000001</v>
      </c>
      <c r="I70" s="29">
        <v>16.07</v>
      </c>
    </row>
    <row r="71" spans="1:26" ht="15.75" customHeight="1">
      <c r="A71" s="28">
        <v>46298.3125</v>
      </c>
      <c r="B71" s="29">
        <v>81</v>
      </c>
      <c r="C71" s="29">
        <v>41.646999999999998</v>
      </c>
      <c r="D71" s="6">
        <f t="shared" si="0"/>
        <v>40.432626969117813</v>
      </c>
      <c r="E71" s="7">
        <f t="shared" si="1"/>
        <v>24</v>
      </c>
      <c r="F71" s="8">
        <f t="shared" si="2"/>
        <v>-16.432626969117813</v>
      </c>
      <c r="G71" s="29">
        <v>15.44</v>
      </c>
      <c r="H71" s="29">
        <v>0.44400000000000001</v>
      </c>
      <c r="I71" s="29">
        <v>13.78</v>
      </c>
    </row>
    <row r="72" spans="1:26" ht="15.75" customHeight="1">
      <c r="A72" s="28">
        <v>46298.305555555555</v>
      </c>
      <c r="B72" s="29">
        <v>29</v>
      </c>
      <c r="C72" s="29">
        <v>17.646999999999998</v>
      </c>
      <c r="D72" s="6">
        <f t="shared" si="0"/>
        <v>14.504154440614943</v>
      </c>
      <c r="E72" s="7">
        <f t="shared" si="1"/>
        <v>12.646999999999998</v>
      </c>
      <c r="F72" s="8">
        <f t="shared" si="2"/>
        <v>-1.8571544406149449</v>
      </c>
      <c r="G72" s="29">
        <v>15.38</v>
      </c>
      <c r="H72" s="29">
        <v>0.44400000000000001</v>
      </c>
      <c r="I72" s="29">
        <v>13.2</v>
      </c>
    </row>
    <row r="73" spans="1:26" ht="15.75" customHeight="1">
      <c r="A73" s="28">
        <v>46298.298611111109</v>
      </c>
      <c r="B73" s="29">
        <v>17</v>
      </c>
      <c r="C73" s="29">
        <v>5</v>
      </c>
      <c r="D73" s="6">
        <f t="shared" si="0"/>
        <v>8.510723052023252</v>
      </c>
      <c r="E73" s="7">
        <f t="shared" si="1"/>
        <v>4.3529999999999998</v>
      </c>
      <c r="F73" s="8">
        <f t="shared" si="2"/>
        <v>-4.1577230520232522</v>
      </c>
      <c r="G73" s="29">
        <v>15.5</v>
      </c>
      <c r="H73" s="29">
        <v>0.44400000000000001</v>
      </c>
      <c r="I73" s="29">
        <v>12.91</v>
      </c>
    </row>
    <row r="74" spans="1:26" ht="15.75" customHeight="1">
      <c r="A74" s="28">
        <v>46298.291666666664</v>
      </c>
      <c r="B74" s="29">
        <v>5</v>
      </c>
      <c r="C74" s="29">
        <v>0.64700000000000002</v>
      </c>
      <c r="D74" s="6">
        <f t="shared" si="0"/>
        <v>2.5079448971078242</v>
      </c>
      <c r="E74" s="7">
        <f t="shared" si="1"/>
        <v>0.64700000000000002</v>
      </c>
      <c r="F74" s="8">
        <f t="shared" si="2"/>
        <v>-1.8609448971078242</v>
      </c>
      <c r="G74" s="29">
        <v>15.13</v>
      </c>
      <c r="H74" s="29">
        <v>0.55600000000000005</v>
      </c>
      <c r="I74" s="29">
        <v>12.34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7.2041666666666666</v>
      </c>
      <c r="C76" s="11"/>
      <c r="D76" s="16">
        <f>SUM(D2:D75)</f>
        <v>19056.397718431163</v>
      </c>
      <c r="E76" s="15">
        <f>SUM(E1:E74)</f>
        <v>18543.650000000001</v>
      </c>
      <c r="F76" s="11"/>
      <c r="G76" s="17">
        <f t="shared" ref="G76:I76" si="3">AVERAGE(G1:G74)</f>
        <v>31.765753424657543</v>
      </c>
      <c r="H76" s="17">
        <f t="shared" si="3"/>
        <v>1.6286164383561645</v>
      </c>
      <c r="I76" s="17">
        <f t="shared" si="3"/>
        <v>44.547260273972604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1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8">
        <v>46329.791666666664</v>
      </c>
      <c r="B2" s="29">
        <v>0</v>
      </c>
      <c r="C2" s="29">
        <v>18516</v>
      </c>
      <c r="D2" s="30">
        <f t="shared" ref="D2:D73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32.380000000000003</v>
      </c>
      <c r="H2" s="29">
        <v>1.222</v>
      </c>
      <c r="I2" s="29">
        <v>38.46</v>
      </c>
    </row>
    <row r="3" spans="1:26" ht="15.75" customHeight="1">
      <c r="A3" s="28">
        <v>46329.784722222219</v>
      </c>
      <c r="B3" s="29">
        <v>0</v>
      </c>
      <c r="C3" s="29">
        <v>18516</v>
      </c>
      <c r="D3" s="30">
        <f t="shared" si="0"/>
        <v>0</v>
      </c>
      <c r="E3" s="7">
        <f t="shared" si="1"/>
        <v>0.65000000000145519</v>
      </c>
      <c r="F3" s="8">
        <f t="shared" si="2"/>
        <v>0.65000000000145519</v>
      </c>
      <c r="G3" s="29">
        <v>32.81</v>
      </c>
      <c r="H3" s="29">
        <v>1.333</v>
      </c>
      <c r="I3" s="29">
        <v>39.61</v>
      </c>
    </row>
    <row r="4" spans="1:26" ht="15.75" customHeight="1">
      <c r="A4" s="28">
        <v>46329.777777777781</v>
      </c>
      <c r="B4" s="29">
        <v>1</v>
      </c>
      <c r="C4" s="29">
        <v>18515.349999999999</v>
      </c>
      <c r="D4" s="30">
        <f t="shared" si="0"/>
        <v>0.45478790487967846</v>
      </c>
      <c r="E4" s="7">
        <f t="shared" si="1"/>
        <v>4.3499999999985448</v>
      </c>
      <c r="F4" s="8">
        <f t="shared" si="2"/>
        <v>3.8952120951188665</v>
      </c>
      <c r="G4" s="29">
        <v>33.130000000000003</v>
      </c>
      <c r="H4" s="29">
        <v>2.6669999999999998</v>
      </c>
      <c r="I4" s="29">
        <v>40.18</v>
      </c>
    </row>
    <row r="5" spans="1:26" ht="15.75" customHeight="1">
      <c r="A5" s="28">
        <v>46329.770833333336</v>
      </c>
      <c r="B5" s="29">
        <v>13</v>
      </c>
      <c r="C5" s="29">
        <v>18511</v>
      </c>
      <c r="D5" s="30">
        <f t="shared" si="0"/>
        <v>5.868316323860407</v>
      </c>
      <c r="E5" s="7">
        <f t="shared" si="1"/>
        <v>11</v>
      </c>
      <c r="F5" s="8">
        <f t="shared" si="2"/>
        <v>5.131683676139593</v>
      </c>
      <c r="G5" s="29">
        <v>33.5</v>
      </c>
      <c r="H5" s="29">
        <v>0.44400000000000001</v>
      </c>
      <c r="I5" s="29">
        <v>42.19</v>
      </c>
    </row>
    <row r="6" spans="1:26" ht="15.75" customHeight="1">
      <c r="A6" s="28">
        <v>46329.763888888891</v>
      </c>
      <c r="B6" s="29">
        <v>27</v>
      </c>
      <c r="C6" s="29">
        <v>18500</v>
      </c>
      <c r="D6" s="30">
        <f t="shared" si="0"/>
        <v>12.070938044970573</v>
      </c>
      <c r="E6" s="7">
        <f t="shared" si="1"/>
        <v>20.650000000001455</v>
      </c>
      <c r="F6" s="8">
        <f t="shared" si="2"/>
        <v>8.5790619550308822</v>
      </c>
      <c r="G6" s="29">
        <v>34.25</v>
      </c>
      <c r="H6" s="29">
        <v>1.889</v>
      </c>
      <c r="I6" s="29">
        <v>44.77</v>
      </c>
    </row>
    <row r="7" spans="1:26" ht="15.75" customHeight="1">
      <c r="A7" s="28">
        <v>46329.756944444445</v>
      </c>
      <c r="B7" s="29">
        <v>42</v>
      </c>
      <c r="C7" s="29">
        <v>18479.349999999999</v>
      </c>
      <c r="D7" s="30">
        <f t="shared" si="0"/>
        <v>18.655574017335486</v>
      </c>
      <c r="E7" s="7">
        <f t="shared" si="1"/>
        <v>32.349999999998545</v>
      </c>
      <c r="F7" s="8">
        <f t="shared" si="2"/>
        <v>13.694425982663059</v>
      </c>
      <c r="G7" s="29">
        <v>34.75</v>
      </c>
      <c r="H7" s="29">
        <v>1.222</v>
      </c>
      <c r="I7" s="29">
        <v>46.49</v>
      </c>
    </row>
    <row r="8" spans="1:26" ht="15.75" customHeight="1">
      <c r="A8" s="28">
        <v>46329.75</v>
      </c>
      <c r="B8" s="29">
        <v>51</v>
      </c>
      <c r="C8" s="29">
        <v>18447</v>
      </c>
      <c r="D8" s="30">
        <f t="shared" si="0"/>
        <v>22.55460208491942</v>
      </c>
      <c r="E8" s="7">
        <f t="shared" si="1"/>
        <v>47</v>
      </c>
      <c r="F8" s="8">
        <f t="shared" si="2"/>
        <v>24.44539791508058</v>
      </c>
      <c r="G8" s="29">
        <v>35</v>
      </c>
      <c r="H8" s="29">
        <v>0.88900000000000001</v>
      </c>
      <c r="I8" s="29">
        <v>47.64</v>
      </c>
    </row>
    <row r="9" spans="1:26" ht="15.75" customHeight="1">
      <c r="A9" s="28">
        <v>46329.743055555555</v>
      </c>
      <c r="B9" s="29">
        <v>135</v>
      </c>
      <c r="C9" s="29">
        <v>18400</v>
      </c>
      <c r="D9" s="30">
        <f t="shared" si="0"/>
        <v>59.637544449006292</v>
      </c>
      <c r="E9" s="7">
        <f t="shared" si="1"/>
        <v>67.650000000001455</v>
      </c>
      <c r="F9" s="8">
        <f t="shared" si="2"/>
        <v>8.0124555509951634</v>
      </c>
      <c r="G9" s="29">
        <v>35.5</v>
      </c>
      <c r="H9" s="29">
        <v>1.333</v>
      </c>
      <c r="I9" s="29">
        <v>47.93</v>
      </c>
    </row>
    <row r="10" spans="1:26" ht="15.75" customHeight="1">
      <c r="A10" s="28">
        <v>46329.736111111109</v>
      </c>
      <c r="B10" s="29">
        <v>187</v>
      </c>
      <c r="C10" s="29">
        <v>18332.349999999999</v>
      </c>
      <c r="D10" s="30">
        <f t="shared" si="0"/>
        <v>82.609043051586497</v>
      </c>
      <c r="E10" s="7">
        <f t="shared" si="1"/>
        <v>86.349999999998545</v>
      </c>
      <c r="F10" s="8">
        <f t="shared" si="2"/>
        <v>3.7409569484120482</v>
      </c>
      <c r="G10" s="29">
        <v>35.44</v>
      </c>
      <c r="H10" s="29">
        <v>2.1110000000000002</v>
      </c>
      <c r="I10" s="29">
        <v>47.93</v>
      </c>
    </row>
    <row r="11" spans="1:26" ht="15.75" customHeight="1">
      <c r="A11" s="28">
        <v>46329.729166666664</v>
      </c>
      <c r="B11" s="29">
        <v>231</v>
      </c>
      <c r="C11" s="29">
        <v>18246</v>
      </c>
      <c r="D11" s="30">
        <f t="shared" si="0"/>
        <v>102.04646494607744</v>
      </c>
      <c r="E11" s="7">
        <f t="shared" si="1"/>
        <v>102.65000000000146</v>
      </c>
      <c r="F11" s="8">
        <f t="shared" si="2"/>
        <v>0.60353505392401985</v>
      </c>
      <c r="G11" s="29">
        <v>35.380000000000003</v>
      </c>
      <c r="H11" s="29">
        <v>2.1110000000000002</v>
      </c>
      <c r="I11" s="29">
        <v>47.93</v>
      </c>
    </row>
    <row r="12" spans="1:26" ht="15.75" customHeight="1">
      <c r="A12" s="28">
        <v>46329.722222222219</v>
      </c>
      <c r="B12" s="29">
        <v>281</v>
      </c>
      <c r="C12" s="29">
        <v>18143.349999999999</v>
      </c>
      <c r="D12" s="30">
        <f t="shared" si="0"/>
        <v>124.13444437163537</v>
      </c>
      <c r="E12" s="7">
        <f t="shared" si="1"/>
        <v>126.34999999999854</v>
      </c>
      <c r="F12" s="8">
        <f t="shared" si="2"/>
        <v>2.2155556283631768</v>
      </c>
      <c r="G12" s="29">
        <v>35.75</v>
      </c>
      <c r="H12" s="29">
        <v>2.3330000000000002</v>
      </c>
      <c r="I12" s="29">
        <v>47.93</v>
      </c>
    </row>
    <row r="13" spans="1:26" ht="15.75" customHeight="1">
      <c r="A13" s="28">
        <v>46329.715277777781</v>
      </c>
      <c r="B13" s="29">
        <v>269</v>
      </c>
      <c r="C13" s="29">
        <v>18017</v>
      </c>
      <c r="D13" s="30">
        <f t="shared" si="0"/>
        <v>118.83332930950144</v>
      </c>
      <c r="E13" s="7">
        <f t="shared" si="1"/>
        <v>137.65000000000146</v>
      </c>
      <c r="F13" s="8">
        <f t="shared" si="2"/>
        <v>18.816670690500018</v>
      </c>
      <c r="G13" s="29">
        <v>35.880000000000003</v>
      </c>
      <c r="H13" s="29">
        <v>0.88900000000000001</v>
      </c>
      <c r="I13" s="29">
        <v>47.93</v>
      </c>
    </row>
    <row r="14" spans="1:26" ht="15.75" customHeight="1">
      <c r="A14" s="28">
        <v>46329.708333333336</v>
      </c>
      <c r="B14" s="29">
        <v>372</v>
      </c>
      <c r="C14" s="29">
        <v>17879.349999999999</v>
      </c>
      <c r="D14" s="30">
        <f t="shared" si="0"/>
        <v>163.97811219030797</v>
      </c>
      <c r="E14" s="7">
        <f t="shared" si="1"/>
        <v>172</v>
      </c>
      <c r="F14" s="8">
        <f t="shared" si="2"/>
        <v>8.0218878096920321</v>
      </c>
      <c r="G14" s="29">
        <v>36.06</v>
      </c>
      <c r="H14" s="29">
        <v>1.667</v>
      </c>
      <c r="I14" s="29">
        <v>48.5</v>
      </c>
    </row>
    <row r="15" spans="1:26" ht="15.75" customHeight="1">
      <c r="A15" s="28">
        <v>46329.701388888891</v>
      </c>
      <c r="B15" s="29">
        <v>424</v>
      </c>
      <c r="C15" s="29">
        <v>17707.349999999999</v>
      </c>
      <c r="D15" s="30">
        <f t="shared" si="0"/>
        <v>186.89978378680257</v>
      </c>
      <c r="E15" s="7">
        <f t="shared" si="1"/>
        <v>193.34999999999854</v>
      </c>
      <c r="F15" s="8">
        <f t="shared" si="2"/>
        <v>6.4502162131959722</v>
      </c>
      <c r="G15" s="29">
        <v>36.5</v>
      </c>
      <c r="H15" s="29">
        <v>1.778</v>
      </c>
      <c r="I15" s="29">
        <v>48.5</v>
      </c>
    </row>
    <row r="16" spans="1:26" ht="15.75" customHeight="1">
      <c r="A16" s="28">
        <v>46329.694444444445</v>
      </c>
      <c r="B16" s="29">
        <v>465</v>
      </c>
      <c r="C16" s="29">
        <v>17514</v>
      </c>
      <c r="D16" s="30">
        <f t="shared" si="0"/>
        <v>204.74594753307267</v>
      </c>
      <c r="E16" s="7">
        <f t="shared" si="1"/>
        <v>211</v>
      </c>
      <c r="F16" s="8">
        <f t="shared" si="2"/>
        <v>6.2540524669273339</v>
      </c>
      <c r="G16" s="29">
        <v>36.19</v>
      </c>
      <c r="H16" s="29">
        <v>2</v>
      </c>
      <c r="I16" s="29">
        <v>48.79</v>
      </c>
    </row>
    <row r="17" spans="1:9" ht="15.75" customHeight="1">
      <c r="A17" s="28">
        <v>46329.6875</v>
      </c>
      <c r="B17" s="29">
        <v>506</v>
      </c>
      <c r="C17" s="29">
        <v>17303</v>
      </c>
      <c r="D17" s="30">
        <f t="shared" si="0"/>
        <v>223.04549668896723</v>
      </c>
      <c r="E17" s="7">
        <f t="shared" si="1"/>
        <v>232</v>
      </c>
      <c r="F17" s="8">
        <f t="shared" si="2"/>
        <v>8.9545033110327665</v>
      </c>
      <c r="G17" s="29">
        <v>36.630000000000003</v>
      </c>
      <c r="H17" s="29">
        <v>1.778</v>
      </c>
      <c r="I17" s="29">
        <v>48.5</v>
      </c>
    </row>
    <row r="18" spans="1:9" ht="15.75" customHeight="1">
      <c r="A18" s="28">
        <v>46329.680555555555</v>
      </c>
      <c r="B18" s="29">
        <v>555</v>
      </c>
      <c r="C18" s="29">
        <v>17071</v>
      </c>
      <c r="D18" s="30">
        <f t="shared" si="0"/>
        <v>244.37419544269963</v>
      </c>
      <c r="E18" s="7">
        <f t="shared" si="1"/>
        <v>249</v>
      </c>
      <c r="F18" s="8">
        <f t="shared" si="2"/>
        <v>4.6258045573003699</v>
      </c>
      <c r="G18" s="29">
        <v>36.06</v>
      </c>
      <c r="H18" s="29">
        <v>1.889</v>
      </c>
      <c r="I18" s="29">
        <v>48.79</v>
      </c>
    </row>
    <row r="19" spans="1:9" ht="15.75" customHeight="1">
      <c r="A19" s="28">
        <v>46329.673611111109</v>
      </c>
      <c r="B19" s="29">
        <v>597</v>
      </c>
      <c r="C19" s="29">
        <v>16822</v>
      </c>
      <c r="D19" s="30">
        <f t="shared" si="0"/>
        <v>262.86737780052562</v>
      </c>
      <c r="E19" s="7">
        <f t="shared" si="1"/>
        <v>263</v>
      </c>
      <c r="F19" s="8">
        <f t="shared" si="2"/>
        <v>0.13262219947438325</v>
      </c>
      <c r="G19" s="29">
        <v>36.25</v>
      </c>
      <c r="H19" s="29">
        <v>1.778</v>
      </c>
      <c r="I19" s="29">
        <v>48.79</v>
      </c>
    </row>
    <row r="20" spans="1:9" ht="15.75" customHeight="1">
      <c r="A20" s="28">
        <v>46329.666666666664</v>
      </c>
      <c r="B20" s="29">
        <v>597</v>
      </c>
      <c r="C20" s="29">
        <v>16559</v>
      </c>
      <c r="D20" s="30">
        <f t="shared" si="0"/>
        <v>262.57633361821826</v>
      </c>
      <c r="E20" s="7">
        <f t="shared" si="1"/>
        <v>287.64999999999964</v>
      </c>
      <c r="F20" s="8">
        <f t="shared" si="2"/>
        <v>25.073666381781379</v>
      </c>
      <c r="G20" s="29">
        <v>36.880000000000003</v>
      </c>
      <c r="H20" s="29">
        <v>2.778</v>
      </c>
      <c r="I20" s="29">
        <v>49.08</v>
      </c>
    </row>
    <row r="21" spans="1:9" ht="15.75" customHeight="1">
      <c r="A21" s="28">
        <v>46329.659722222219</v>
      </c>
      <c r="B21" s="29">
        <v>673</v>
      </c>
      <c r="C21" s="29">
        <v>16271.35</v>
      </c>
      <c r="D21" s="30">
        <f t="shared" si="0"/>
        <v>295.68635514673161</v>
      </c>
      <c r="E21" s="7">
        <f t="shared" si="1"/>
        <v>297.35000000000036</v>
      </c>
      <c r="F21" s="8">
        <f t="shared" si="2"/>
        <v>1.6636448532687496</v>
      </c>
      <c r="G21" s="29">
        <v>36.630000000000003</v>
      </c>
      <c r="H21" s="29">
        <v>2.1110000000000002</v>
      </c>
      <c r="I21" s="29">
        <v>49.36</v>
      </c>
    </row>
    <row r="22" spans="1:9" ht="15.75" customHeight="1">
      <c r="A22" s="28">
        <v>46329.652777777781</v>
      </c>
      <c r="B22" s="29">
        <v>633</v>
      </c>
      <c r="C22" s="29">
        <v>15974</v>
      </c>
      <c r="D22" s="30">
        <f t="shared" si="0"/>
        <v>278.41008237911581</v>
      </c>
      <c r="E22" s="7">
        <f t="shared" si="1"/>
        <v>307.64999999999964</v>
      </c>
      <c r="F22" s="8">
        <f t="shared" si="2"/>
        <v>29.23991762088383</v>
      </c>
      <c r="G22" s="29">
        <v>35.94</v>
      </c>
      <c r="H22" s="29">
        <v>2.8889999999999998</v>
      </c>
      <c r="I22" s="29">
        <v>49.08</v>
      </c>
    </row>
    <row r="23" spans="1:9" ht="15.75" customHeight="1">
      <c r="A23" s="28">
        <v>46329.645833333336</v>
      </c>
      <c r="B23" s="29">
        <v>747</v>
      </c>
      <c r="C23" s="29">
        <v>15666.35</v>
      </c>
      <c r="D23" s="30">
        <f t="shared" si="0"/>
        <v>328.91445764990391</v>
      </c>
      <c r="E23" s="7">
        <f t="shared" si="1"/>
        <v>334.35000000000036</v>
      </c>
      <c r="F23" s="8">
        <f t="shared" si="2"/>
        <v>5.4355423500964548</v>
      </c>
      <c r="G23" s="29">
        <v>36.44</v>
      </c>
      <c r="H23" s="29">
        <v>2.556</v>
      </c>
      <c r="I23" s="29">
        <v>48.79</v>
      </c>
    </row>
    <row r="24" spans="1:9" ht="15.75" customHeight="1">
      <c r="A24" s="28">
        <v>46329.638888888891</v>
      </c>
      <c r="B24" s="29">
        <v>685</v>
      </c>
      <c r="C24" s="29">
        <v>15332</v>
      </c>
      <c r="D24" s="30">
        <f t="shared" si="0"/>
        <v>301.61499797882749</v>
      </c>
      <c r="E24" s="7">
        <f t="shared" si="1"/>
        <v>343</v>
      </c>
      <c r="F24" s="8">
        <f t="shared" si="2"/>
        <v>41.385002021172511</v>
      </c>
      <c r="G24" s="29">
        <v>36.56</v>
      </c>
      <c r="H24" s="29">
        <v>5.1109999999999998</v>
      </c>
      <c r="I24" s="29">
        <v>48.79</v>
      </c>
    </row>
    <row r="25" spans="1:9" ht="15.75" customHeight="1">
      <c r="A25" s="28">
        <v>46329.631944444445</v>
      </c>
      <c r="B25" s="29">
        <v>819</v>
      </c>
      <c r="C25" s="29">
        <v>14989</v>
      </c>
      <c r="D25" s="30">
        <f t="shared" si="0"/>
        <v>360.21778431041992</v>
      </c>
      <c r="E25" s="7">
        <f t="shared" si="1"/>
        <v>356.64999999999964</v>
      </c>
      <c r="F25" s="8">
        <f t="shared" si="2"/>
        <v>-3.5677843104202793</v>
      </c>
      <c r="G25" s="29">
        <v>36.75</v>
      </c>
      <c r="H25" s="29">
        <v>3.556</v>
      </c>
      <c r="I25" s="29">
        <v>49.08</v>
      </c>
    </row>
    <row r="26" spans="1:9" ht="15.75" customHeight="1">
      <c r="A26" s="28">
        <v>46329.625</v>
      </c>
      <c r="B26" s="29">
        <v>842</v>
      </c>
      <c r="C26" s="29">
        <v>14632.35</v>
      </c>
      <c r="D26" s="30">
        <f t="shared" si="0"/>
        <v>370.7442748878434</v>
      </c>
      <c r="E26" s="7">
        <f t="shared" si="1"/>
        <v>366</v>
      </c>
      <c r="F26" s="8">
        <f t="shared" si="2"/>
        <v>-4.7442748878434031</v>
      </c>
      <c r="G26" s="29">
        <v>36.25</v>
      </c>
      <c r="H26" s="29">
        <v>4.1109999999999998</v>
      </c>
      <c r="I26" s="29">
        <v>48.79</v>
      </c>
    </row>
    <row r="27" spans="1:9" ht="15.75" customHeight="1">
      <c r="A27" s="28">
        <v>46329.618055555555</v>
      </c>
      <c r="B27" s="29">
        <v>863</v>
      </c>
      <c r="C27" s="29">
        <v>14266.35</v>
      </c>
      <c r="D27" s="30">
        <f t="shared" si="0"/>
        <v>379.99086606675633</v>
      </c>
      <c r="E27" s="7">
        <f t="shared" si="1"/>
        <v>378.35000000000036</v>
      </c>
      <c r="F27" s="8">
        <f t="shared" si="2"/>
        <v>-1.6408660667559616</v>
      </c>
      <c r="G27" s="29">
        <v>36.56</v>
      </c>
      <c r="H27" s="29">
        <v>4.1109999999999998</v>
      </c>
      <c r="I27" s="29">
        <v>48.79</v>
      </c>
    </row>
    <row r="28" spans="1:9" ht="15.75" customHeight="1">
      <c r="A28" s="28">
        <v>46329.611111111109</v>
      </c>
      <c r="B28" s="29">
        <v>895</v>
      </c>
      <c r="C28" s="29">
        <v>13888</v>
      </c>
      <c r="D28" s="30">
        <f t="shared" si="0"/>
        <v>393.64458725009268</v>
      </c>
      <c r="E28" s="7">
        <f t="shared" si="1"/>
        <v>393.64999999999964</v>
      </c>
      <c r="F28" s="8">
        <f t="shared" si="2"/>
        <v>5.4127499069522855E-3</v>
      </c>
      <c r="G28" s="29">
        <v>36.380000000000003</v>
      </c>
      <c r="H28" s="29">
        <v>5.6669999999999998</v>
      </c>
      <c r="I28" s="29">
        <v>49.08</v>
      </c>
    </row>
    <row r="29" spans="1:9" ht="15.75" customHeight="1">
      <c r="A29" s="28">
        <v>46329.604166666664</v>
      </c>
      <c r="B29" s="29">
        <v>945</v>
      </c>
      <c r="C29" s="29">
        <v>13494.35</v>
      </c>
      <c r="D29" s="30">
        <f t="shared" si="0"/>
        <v>415.63590497356137</v>
      </c>
      <c r="E29" s="7">
        <f t="shared" si="1"/>
        <v>397.35000000000036</v>
      </c>
      <c r="F29" s="8">
        <f t="shared" si="2"/>
        <v>-18.285904973561003</v>
      </c>
      <c r="G29" s="29">
        <v>36.69</v>
      </c>
      <c r="H29" s="29">
        <v>3</v>
      </c>
      <c r="I29" s="29">
        <v>49.08</v>
      </c>
    </row>
    <row r="30" spans="1:9" ht="15.75" customHeight="1">
      <c r="A30" s="28">
        <v>46329.597222222219</v>
      </c>
      <c r="B30" s="29">
        <v>941</v>
      </c>
      <c r="C30" s="29">
        <v>13097</v>
      </c>
      <c r="D30" s="30">
        <f t="shared" si="0"/>
        <v>413.87659955568398</v>
      </c>
      <c r="E30" s="7">
        <f t="shared" si="1"/>
        <v>405.64999999999964</v>
      </c>
      <c r="F30" s="8">
        <f t="shared" si="2"/>
        <v>-8.226599555684345</v>
      </c>
      <c r="G30" s="29">
        <v>36.5</v>
      </c>
      <c r="H30" s="29">
        <v>0.88900000000000001</v>
      </c>
      <c r="I30" s="29">
        <v>49.08</v>
      </c>
    </row>
    <row r="31" spans="1:9" ht="15.75" customHeight="1">
      <c r="A31" s="28">
        <v>46329.590277777781</v>
      </c>
      <c r="B31" s="29">
        <v>982</v>
      </c>
      <c r="C31" s="29">
        <v>12691.35</v>
      </c>
      <c r="D31" s="30">
        <f t="shared" si="0"/>
        <v>431.90948008892843</v>
      </c>
      <c r="E31" s="7">
        <f t="shared" si="1"/>
        <v>409.35000000000036</v>
      </c>
      <c r="F31" s="8">
        <f t="shared" si="2"/>
        <v>-22.559480088928069</v>
      </c>
      <c r="G31" s="29">
        <v>36.630000000000003</v>
      </c>
      <c r="H31" s="29">
        <v>3.556</v>
      </c>
      <c r="I31" s="29">
        <v>49.08</v>
      </c>
    </row>
    <row r="32" spans="1:9" ht="15.75" customHeight="1">
      <c r="A32" s="28">
        <v>46329.583333333336</v>
      </c>
      <c r="B32" s="29">
        <v>966</v>
      </c>
      <c r="C32" s="29">
        <v>12282</v>
      </c>
      <c r="D32" s="30">
        <f t="shared" si="0"/>
        <v>425.34319422999607</v>
      </c>
      <c r="E32" s="7">
        <f t="shared" si="1"/>
        <v>411.64999999999964</v>
      </c>
      <c r="F32" s="8">
        <f t="shared" si="2"/>
        <v>-13.693194229996436</v>
      </c>
      <c r="G32" s="29">
        <v>36.31</v>
      </c>
      <c r="H32" s="29">
        <v>0.77800000000000002</v>
      </c>
      <c r="I32" s="29">
        <v>48.79</v>
      </c>
    </row>
    <row r="33" spans="1:9" ht="15.75" customHeight="1">
      <c r="A33" s="28">
        <v>46329.576388888891</v>
      </c>
      <c r="B33" s="29">
        <v>989</v>
      </c>
      <c r="C33" s="29">
        <v>11870.35</v>
      </c>
      <c r="D33" s="30">
        <f t="shared" si="0"/>
        <v>434.98826457021403</v>
      </c>
      <c r="E33" s="7">
        <f t="shared" si="1"/>
        <v>420.35000000000036</v>
      </c>
      <c r="F33" s="8">
        <f t="shared" si="2"/>
        <v>-14.638264570213664</v>
      </c>
      <c r="G33" s="29">
        <v>36.19</v>
      </c>
      <c r="H33" s="29">
        <v>2.778</v>
      </c>
      <c r="I33" s="29">
        <v>49.08</v>
      </c>
    </row>
    <row r="34" spans="1:9" ht="15.75" customHeight="1">
      <c r="A34" s="28">
        <v>46329.569444444445</v>
      </c>
      <c r="B34" s="29">
        <v>1011</v>
      </c>
      <c r="C34" s="29">
        <v>11450</v>
      </c>
      <c r="D34" s="30">
        <f t="shared" si="0"/>
        <v>445.15731818480953</v>
      </c>
      <c r="E34" s="7">
        <f t="shared" si="1"/>
        <v>425</v>
      </c>
      <c r="F34" s="8">
        <f t="shared" si="2"/>
        <v>-20.157318184809526</v>
      </c>
      <c r="G34" s="29">
        <v>36.06</v>
      </c>
      <c r="H34" s="29">
        <v>2.444</v>
      </c>
      <c r="I34" s="29">
        <v>48.79</v>
      </c>
    </row>
    <row r="35" spans="1:9" ht="15.75" customHeight="1">
      <c r="A35" s="28">
        <v>46329.5625</v>
      </c>
      <c r="B35" s="29">
        <v>1016</v>
      </c>
      <c r="C35" s="29">
        <v>11025</v>
      </c>
      <c r="D35" s="30">
        <f t="shared" si="0"/>
        <v>446.86357614088723</v>
      </c>
      <c r="E35" s="7">
        <f t="shared" si="1"/>
        <v>428</v>
      </c>
      <c r="F35" s="8">
        <f t="shared" si="2"/>
        <v>-18.863576140887233</v>
      </c>
      <c r="G35" s="29">
        <v>36</v>
      </c>
      <c r="H35" s="29">
        <v>0.88900000000000001</v>
      </c>
      <c r="I35" s="29">
        <v>49.08</v>
      </c>
    </row>
    <row r="36" spans="1:9" ht="15.75" customHeight="1">
      <c r="A36" s="28">
        <v>46329.555555555555</v>
      </c>
      <c r="B36" s="29">
        <v>1029</v>
      </c>
      <c r="C36" s="29">
        <v>10597</v>
      </c>
      <c r="D36" s="30">
        <f t="shared" si="0"/>
        <v>453.08296776673495</v>
      </c>
      <c r="E36" s="7">
        <f t="shared" si="1"/>
        <v>431</v>
      </c>
      <c r="F36" s="8">
        <f t="shared" si="2"/>
        <v>-22.082967766734953</v>
      </c>
      <c r="G36" s="29">
        <v>36.31</v>
      </c>
      <c r="H36" s="29">
        <v>5.6669999999999998</v>
      </c>
      <c r="I36" s="29">
        <v>48.79</v>
      </c>
    </row>
    <row r="37" spans="1:9" ht="15.75" customHeight="1">
      <c r="A37" s="28">
        <v>46329.548611111109</v>
      </c>
      <c r="B37" s="29">
        <v>1027</v>
      </c>
      <c r="C37" s="29">
        <v>10166</v>
      </c>
      <c r="D37" s="30">
        <f t="shared" si="0"/>
        <v>450.71758266986092</v>
      </c>
      <c r="E37" s="7">
        <f t="shared" si="1"/>
        <v>426.64700000000084</v>
      </c>
      <c r="F37" s="8">
        <f t="shared" si="2"/>
        <v>-24.070582669860073</v>
      </c>
      <c r="G37" s="29">
        <v>36</v>
      </c>
      <c r="H37" s="29">
        <v>2</v>
      </c>
      <c r="I37" s="29">
        <v>49.65</v>
      </c>
    </row>
    <row r="38" spans="1:9" ht="15.75" customHeight="1">
      <c r="A38" s="28">
        <v>46329.541666666664</v>
      </c>
      <c r="B38" s="29">
        <v>1042</v>
      </c>
      <c r="C38" s="29">
        <v>9739.3529999999992</v>
      </c>
      <c r="D38" s="30">
        <f t="shared" si="0"/>
        <v>458.29906135709109</v>
      </c>
      <c r="E38" s="7">
        <f t="shared" si="1"/>
        <v>427.35299999999916</v>
      </c>
      <c r="F38" s="8">
        <f t="shared" si="2"/>
        <v>-30.946061357091935</v>
      </c>
      <c r="G38" s="29">
        <v>35.380000000000003</v>
      </c>
      <c r="H38" s="29">
        <v>3.222</v>
      </c>
      <c r="I38" s="29">
        <v>49.08</v>
      </c>
    </row>
    <row r="39" spans="1:9" ht="15.75" customHeight="1">
      <c r="A39" s="28">
        <v>46329.534722222219</v>
      </c>
      <c r="B39" s="29">
        <v>1039</v>
      </c>
      <c r="C39" s="29">
        <v>9312</v>
      </c>
      <c r="D39" s="30">
        <f t="shared" si="0"/>
        <v>456.97958229368294</v>
      </c>
      <c r="E39" s="7">
        <f t="shared" si="1"/>
        <v>427</v>
      </c>
      <c r="F39" s="8">
        <f t="shared" si="2"/>
        <v>-29.979582293682938</v>
      </c>
      <c r="G39" s="29">
        <v>35.5</v>
      </c>
      <c r="H39" s="29">
        <v>3.222</v>
      </c>
      <c r="I39" s="29">
        <v>49.08</v>
      </c>
    </row>
    <row r="40" spans="1:9" ht="15.75" customHeight="1">
      <c r="A40" s="28">
        <v>46329.527777777781</v>
      </c>
      <c r="B40" s="29">
        <v>1035</v>
      </c>
      <c r="C40" s="29">
        <v>8885</v>
      </c>
      <c r="D40" s="30">
        <f t="shared" si="0"/>
        <v>455.22027687580538</v>
      </c>
      <c r="E40" s="7">
        <f t="shared" si="1"/>
        <v>427</v>
      </c>
      <c r="F40" s="8">
        <f t="shared" si="2"/>
        <v>-28.220276875805382</v>
      </c>
      <c r="G40" s="29">
        <v>35</v>
      </c>
      <c r="H40" s="29">
        <v>1.556</v>
      </c>
      <c r="I40" s="29">
        <v>49.08</v>
      </c>
    </row>
    <row r="41" spans="1:9" ht="15.75" customHeight="1">
      <c r="A41" s="28">
        <v>46329.520833333336</v>
      </c>
      <c r="B41" s="29">
        <v>1030</v>
      </c>
      <c r="C41" s="29">
        <v>8458</v>
      </c>
      <c r="D41" s="30">
        <f t="shared" si="0"/>
        <v>453.02114510345848</v>
      </c>
      <c r="E41" s="7">
        <f t="shared" si="1"/>
        <v>424</v>
      </c>
      <c r="F41" s="8">
        <f t="shared" si="2"/>
        <v>-29.02114510345848</v>
      </c>
      <c r="G41" s="29">
        <v>34.69</v>
      </c>
      <c r="H41" s="29">
        <v>1.111</v>
      </c>
      <c r="I41" s="29">
        <v>49.08</v>
      </c>
    </row>
    <row r="42" spans="1:9" ht="15.75" customHeight="1">
      <c r="A42" s="28">
        <v>46329.513888888891</v>
      </c>
      <c r="B42" s="29">
        <v>1026</v>
      </c>
      <c r="C42" s="29">
        <v>8034</v>
      </c>
      <c r="D42" s="30">
        <f t="shared" si="0"/>
        <v>451.26183968558109</v>
      </c>
      <c r="E42" s="7">
        <f t="shared" si="1"/>
        <v>425</v>
      </c>
      <c r="F42" s="8">
        <f t="shared" si="2"/>
        <v>-26.261839685581094</v>
      </c>
      <c r="G42" s="29">
        <v>34.75</v>
      </c>
      <c r="H42" s="29">
        <v>1.333</v>
      </c>
      <c r="I42" s="29">
        <v>49.08</v>
      </c>
    </row>
    <row r="43" spans="1:9" ht="15.75" customHeight="1">
      <c r="A43" s="28">
        <v>46329.506944444445</v>
      </c>
      <c r="B43" s="29">
        <v>1015</v>
      </c>
      <c r="C43" s="29">
        <v>7609</v>
      </c>
      <c r="D43" s="30">
        <f t="shared" si="0"/>
        <v>446.42374978641777</v>
      </c>
      <c r="E43" s="7">
        <f t="shared" si="1"/>
        <v>419.64699999999993</v>
      </c>
      <c r="F43" s="8">
        <f t="shared" si="2"/>
        <v>-26.776749786417838</v>
      </c>
      <c r="G43" s="29">
        <v>34.31</v>
      </c>
      <c r="H43" s="29">
        <v>3.1110000000000002</v>
      </c>
      <c r="I43" s="29">
        <v>49.08</v>
      </c>
    </row>
    <row r="44" spans="1:9" ht="15.75" customHeight="1">
      <c r="A44" s="28">
        <v>46329.5</v>
      </c>
      <c r="B44" s="29">
        <v>1010</v>
      </c>
      <c r="C44" s="29">
        <v>7189.3530000000001</v>
      </c>
      <c r="D44" s="30">
        <f t="shared" si="0"/>
        <v>444.22461801407104</v>
      </c>
      <c r="E44" s="7">
        <f t="shared" si="1"/>
        <v>415.35300000000007</v>
      </c>
      <c r="F44" s="8">
        <f t="shared" si="2"/>
        <v>-28.871618014070975</v>
      </c>
      <c r="G44" s="29">
        <v>34.06</v>
      </c>
      <c r="H44" s="29">
        <v>0.88900000000000001</v>
      </c>
      <c r="I44" s="29">
        <v>49.08</v>
      </c>
    </row>
    <row r="45" spans="1:9" ht="15.75" customHeight="1">
      <c r="A45" s="28">
        <v>46329.493055555555</v>
      </c>
      <c r="B45" s="29">
        <v>991</v>
      </c>
      <c r="C45" s="29">
        <v>6774</v>
      </c>
      <c r="D45" s="30">
        <f t="shared" si="0"/>
        <v>435.86791727915289</v>
      </c>
      <c r="E45" s="7">
        <f t="shared" si="1"/>
        <v>413.64699999999993</v>
      </c>
      <c r="F45" s="8">
        <f t="shared" si="2"/>
        <v>-22.220917279152957</v>
      </c>
      <c r="G45" s="29">
        <v>34.06</v>
      </c>
      <c r="H45" s="29">
        <v>0.88900000000000001</v>
      </c>
      <c r="I45" s="29">
        <v>49.08</v>
      </c>
    </row>
    <row r="46" spans="1:9" ht="15.75" customHeight="1">
      <c r="A46" s="28">
        <v>46329.486111111109</v>
      </c>
      <c r="B46" s="29">
        <v>975</v>
      </c>
      <c r="C46" s="29">
        <v>6360.3530000000001</v>
      </c>
      <c r="D46" s="30">
        <f t="shared" si="0"/>
        <v>429.30601902095873</v>
      </c>
      <c r="E46" s="7">
        <f t="shared" si="1"/>
        <v>405.35300000000007</v>
      </c>
      <c r="F46" s="8">
        <f t="shared" si="2"/>
        <v>-23.953019020958664</v>
      </c>
      <c r="G46" s="29">
        <v>33.69</v>
      </c>
      <c r="H46" s="29">
        <v>1.444</v>
      </c>
      <c r="I46" s="29">
        <v>48.79</v>
      </c>
    </row>
    <row r="47" spans="1:9" ht="15.75" customHeight="1">
      <c r="A47" s="28">
        <v>46329.479166666664</v>
      </c>
      <c r="B47" s="29">
        <v>958</v>
      </c>
      <c r="C47" s="29">
        <v>5955</v>
      </c>
      <c r="D47" s="30">
        <f t="shared" si="0"/>
        <v>421.35364758166338</v>
      </c>
      <c r="E47" s="7">
        <f t="shared" si="1"/>
        <v>399</v>
      </c>
      <c r="F47" s="8">
        <f t="shared" si="2"/>
        <v>-22.353647581663381</v>
      </c>
      <c r="G47" s="29">
        <v>33.81</v>
      </c>
      <c r="H47" s="29">
        <v>1.778</v>
      </c>
      <c r="I47" s="29">
        <v>49.08</v>
      </c>
    </row>
    <row r="48" spans="1:9" ht="15.75" customHeight="1">
      <c r="A48" s="28">
        <v>46329.472222222219</v>
      </c>
      <c r="B48" s="29">
        <v>938</v>
      </c>
      <c r="C48" s="29">
        <v>5556</v>
      </c>
      <c r="D48" s="30">
        <f t="shared" si="0"/>
        <v>412.11560345859476</v>
      </c>
      <c r="E48" s="7">
        <f t="shared" si="1"/>
        <v>389.64699999999993</v>
      </c>
      <c r="F48" s="8">
        <f t="shared" si="2"/>
        <v>-22.468603458594828</v>
      </c>
      <c r="G48" s="29">
        <v>33.44</v>
      </c>
      <c r="H48" s="29">
        <v>0.77800000000000002</v>
      </c>
      <c r="I48" s="29">
        <v>49.36</v>
      </c>
    </row>
    <row r="49" spans="1:9" ht="15.75" customHeight="1">
      <c r="A49" s="28">
        <v>46329.465277777781</v>
      </c>
      <c r="B49" s="29">
        <v>912</v>
      </c>
      <c r="C49" s="29">
        <v>5166.3530000000001</v>
      </c>
      <c r="D49" s="30">
        <f t="shared" si="0"/>
        <v>401.12163527607203</v>
      </c>
      <c r="E49" s="7">
        <f t="shared" si="1"/>
        <v>383.35300000000007</v>
      </c>
      <c r="F49" s="8">
        <f t="shared" si="2"/>
        <v>-17.768635276071961</v>
      </c>
      <c r="G49" s="29">
        <v>33</v>
      </c>
      <c r="H49" s="29">
        <v>0.55600000000000005</v>
      </c>
      <c r="I49" s="29">
        <v>49.08</v>
      </c>
    </row>
    <row r="50" spans="1:9" ht="15.75" customHeight="1">
      <c r="A50" s="28">
        <v>46329.458333333336</v>
      </c>
      <c r="B50" s="29">
        <v>883</v>
      </c>
      <c r="C50" s="29">
        <v>4783</v>
      </c>
      <c r="D50" s="30">
        <f t="shared" si="0"/>
        <v>388.36667099646007</v>
      </c>
      <c r="E50" s="7">
        <f t="shared" si="1"/>
        <v>371</v>
      </c>
      <c r="F50" s="8">
        <f t="shared" si="2"/>
        <v>-17.366670996460073</v>
      </c>
      <c r="G50" s="29">
        <v>32.81</v>
      </c>
      <c r="H50" s="29">
        <v>1.222</v>
      </c>
      <c r="I50" s="29">
        <v>49.08</v>
      </c>
    </row>
    <row r="51" spans="1:9" ht="15.75" customHeight="1">
      <c r="A51" s="28">
        <v>46329.451388888891</v>
      </c>
      <c r="B51" s="29">
        <v>860</v>
      </c>
      <c r="C51" s="29">
        <v>4412</v>
      </c>
      <c r="D51" s="30">
        <f t="shared" si="0"/>
        <v>378.66992446976877</v>
      </c>
      <c r="E51" s="7">
        <f t="shared" si="1"/>
        <v>365</v>
      </c>
      <c r="F51" s="8">
        <f t="shared" si="2"/>
        <v>-13.669924469768773</v>
      </c>
      <c r="G51" s="29">
        <v>32.81</v>
      </c>
      <c r="H51" s="29">
        <v>1</v>
      </c>
      <c r="I51" s="29">
        <v>48.79</v>
      </c>
    </row>
    <row r="52" spans="1:9" ht="15.75" customHeight="1">
      <c r="A52" s="28">
        <v>46329.444444444445</v>
      </c>
      <c r="B52" s="29">
        <v>828</v>
      </c>
      <c r="C52" s="29">
        <v>4047</v>
      </c>
      <c r="D52" s="30">
        <f t="shared" si="0"/>
        <v>364.5798807685681</v>
      </c>
      <c r="E52" s="7">
        <f t="shared" si="1"/>
        <v>355.64699999999993</v>
      </c>
      <c r="F52" s="8">
        <f t="shared" si="2"/>
        <v>-8.9328807685681682</v>
      </c>
      <c r="G52" s="29">
        <v>32.31</v>
      </c>
      <c r="H52" s="29">
        <v>1.222</v>
      </c>
      <c r="I52" s="29">
        <v>48.79</v>
      </c>
    </row>
    <row r="53" spans="1:9" ht="15.75" customHeight="1">
      <c r="A53" s="28">
        <v>46329.4375</v>
      </c>
      <c r="B53" s="29">
        <v>804</v>
      </c>
      <c r="C53" s="29">
        <v>3691.3530000000001</v>
      </c>
      <c r="D53" s="30">
        <f t="shared" si="0"/>
        <v>354.01234799266763</v>
      </c>
      <c r="E53" s="7">
        <f t="shared" si="1"/>
        <v>341.35300000000007</v>
      </c>
      <c r="F53" s="8">
        <f t="shared" si="2"/>
        <v>-12.659347992667563</v>
      </c>
      <c r="G53" s="29">
        <v>31.87</v>
      </c>
      <c r="H53" s="29">
        <v>0.77800000000000002</v>
      </c>
      <c r="I53" s="29">
        <v>48.79</v>
      </c>
    </row>
    <row r="54" spans="1:9" ht="15.75" customHeight="1">
      <c r="A54" s="28">
        <v>46329.430555555555</v>
      </c>
      <c r="B54" s="29">
        <v>772</v>
      </c>
      <c r="C54" s="29">
        <v>3350</v>
      </c>
      <c r="D54" s="30">
        <f t="shared" si="0"/>
        <v>339.9223042914669</v>
      </c>
      <c r="E54" s="7">
        <f t="shared" si="1"/>
        <v>329</v>
      </c>
      <c r="F54" s="8">
        <f t="shared" si="2"/>
        <v>-10.922304291466901</v>
      </c>
      <c r="G54" s="29">
        <v>31.87</v>
      </c>
      <c r="H54" s="29">
        <v>1.111</v>
      </c>
      <c r="I54" s="29">
        <v>48.79</v>
      </c>
    </row>
    <row r="55" spans="1:9" ht="15.75" customHeight="1">
      <c r="A55" s="28">
        <v>46329.423611111109</v>
      </c>
      <c r="B55" s="29">
        <v>734</v>
      </c>
      <c r="C55" s="29">
        <v>3021</v>
      </c>
      <c r="D55" s="30">
        <f t="shared" si="0"/>
        <v>323.19037739629107</v>
      </c>
      <c r="E55" s="7">
        <f t="shared" si="1"/>
        <v>317</v>
      </c>
      <c r="F55" s="8">
        <f t="shared" si="2"/>
        <v>-6.1903773962910691</v>
      </c>
      <c r="G55" s="29">
        <v>31.94</v>
      </c>
      <c r="H55" s="29">
        <v>2.1110000000000002</v>
      </c>
      <c r="I55" s="29">
        <v>48.79</v>
      </c>
    </row>
    <row r="56" spans="1:9" ht="15.75" customHeight="1">
      <c r="A56" s="28">
        <v>46329.416666666664</v>
      </c>
      <c r="B56" s="29">
        <v>705</v>
      </c>
      <c r="C56" s="29">
        <v>2704</v>
      </c>
      <c r="D56" s="30">
        <f t="shared" si="0"/>
        <v>309.7457360749566</v>
      </c>
      <c r="E56" s="7">
        <f t="shared" si="1"/>
        <v>304</v>
      </c>
      <c r="F56" s="8">
        <f t="shared" si="2"/>
        <v>-5.7457360749565964</v>
      </c>
      <c r="G56" s="29">
        <v>31.87</v>
      </c>
      <c r="H56" s="29">
        <v>0.55600000000000005</v>
      </c>
      <c r="I56" s="29">
        <v>49.36</v>
      </c>
    </row>
    <row r="57" spans="1:9" ht="15.75" customHeight="1">
      <c r="A57" s="28">
        <v>46329.409722222219</v>
      </c>
      <c r="B57" s="29">
        <v>670</v>
      </c>
      <c r="C57" s="29">
        <v>2400</v>
      </c>
      <c r="D57" s="30">
        <f t="shared" si="0"/>
        <v>294.68365749448282</v>
      </c>
      <c r="E57" s="7">
        <f t="shared" si="1"/>
        <v>290</v>
      </c>
      <c r="F57" s="8">
        <f t="shared" si="2"/>
        <v>-4.6836574944828158</v>
      </c>
      <c r="G57" s="29">
        <v>31.5</v>
      </c>
      <c r="H57" s="29">
        <v>0.55600000000000005</v>
      </c>
      <c r="I57" s="29">
        <v>49.08</v>
      </c>
    </row>
    <row r="58" spans="1:9" ht="15.75" customHeight="1">
      <c r="A58" s="28">
        <v>46329.402777777781</v>
      </c>
      <c r="B58" s="29">
        <v>630</v>
      </c>
      <c r="C58" s="29">
        <v>2110</v>
      </c>
      <c r="D58" s="30">
        <f t="shared" si="0"/>
        <v>276.79406202442931</v>
      </c>
      <c r="E58" s="7">
        <f t="shared" si="1"/>
        <v>274</v>
      </c>
      <c r="F58" s="8">
        <f t="shared" si="2"/>
        <v>-2.7940620244293086</v>
      </c>
      <c r="G58" s="29">
        <v>31</v>
      </c>
      <c r="H58" s="29">
        <v>0.77800000000000002</v>
      </c>
      <c r="I58" s="29">
        <v>49.36</v>
      </c>
    </row>
    <row r="59" spans="1:9" ht="15.75" customHeight="1">
      <c r="A59" s="28">
        <v>46329.395833333336</v>
      </c>
      <c r="B59" s="29">
        <v>594</v>
      </c>
      <c r="C59" s="29">
        <v>1836</v>
      </c>
      <c r="D59" s="30">
        <f t="shared" si="0"/>
        <v>261.25685455481005</v>
      </c>
      <c r="E59" s="7">
        <f t="shared" si="1"/>
        <v>259</v>
      </c>
      <c r="F59" s="8">
        <f t="shared" si="2"/>
        <v>-2.2568545548100474</v>
      </c>
      <c r="G59" s="29">
        <v>30.06</v>
      </c>
      <c r="H59" s="29">
        <v>0.44400000000000001</v>
      </c>
      <c r="I59" s="29">
        <v>49.08</v>
      </c>
    </row>
    <row r="60" spans="1:9" ht="15.75" customHeight="1">
      <c r="A60" s="28">
        <v>46329.388888888891</v>
      </c>
      <c r="B60" s="29">
        <v>553</v>
      </c>
      <c r="C60" s="29">
        <v>1577</v>
      </c>
      <c r="D60" s="30">
        <f t="shared" si="0"/>
        <v>243.76316140118359</v>
      </c>
      <c r="E60" s="7">
        <f t="shared" si="1"/>
        <v>241</v>
      </c>
      <c r="F60" s="8">
        <f t="shared" si="2"/>
        <v>-2.763161401183595</v>
      </c>
      <c r="G60" s="29">
        <v>28.87</v>
      </c>
      <c r="H60" s="29">
        <v>0.77800000000000002</v>
      </c>
      <c r="I60" s="29">
        <v>48.5</v>
      </c>
    </row>
    <row r="61" spans="1:9" ht="15.75" customHeight="1">
      <c r="A61" s="28">
        <v>46329.381944444445</v>
      </c>
      <c r="B61" s="29">
        <v>512</v>
      </c>
      <c r="C61" s="29">
        <v>1336</v>
      </c>
      <c r="D61" s="30">
        <f t="shared" si="0"/>
        <v>226.43051504860284</v>
      </c>
      <c r="E61" s="7">
        <f t="shared" si="1"/>
        <v>223.64699999999993</v>
      </c>
      <c r="F61" s="8">
        <f t="shared" si="2"/>
        <v>-2.7835150486029079</v>
      </c>
      <c r="G61" s="29">
        <v>28.25</v>
      </c>
      <c r="H61" s="29">
        <v>0.66700000000000004</v>
      </c>
      <c r="I61" s="29">
        <v>47.64</v>
      </c>
    </row>
    <row r="62" spans="1:9" ht="15.75" customHeight="1">
      <c r="A62" s="28">
        <v>46329.375</v>
      </c>
      <c r="B62" s="29">
        <v>469</v>
      </c>
      <c r="C62" s="29">
        <v>1112.3530000000001</v>
      </c>
      <c r="D62" s="30">
        <f t="shared" si="0"/>
        <v>207.64253251090264</v>
      </c>
      <c r="E62" s="7">
        <f t="shared" si="1"/>
        <v>203.35300000000007</v>
      </c>
      <c r="F62" s="8">
        <f t="shared" si="2"/>
        <v>-4.2895325109025748</v>
      </c>
      <c r="G62" s="29">
        <v>27.94</v>
      </c>
      <c r="H62" s="29">
        <v>0.44400000000000001</v>
      </c>
      <c r="I62" s="29">
        <v>47.35</v>
      </c>
    </row>
    <row r="63" spans="1:9" ht="15.75" customHeight="1">
      <c r="A63" s="28">
        <v>46329.368055555555</v>
      </c>
      <c r="B63" s="29">
        <v>427</v>
      </c>
      <c r="C63" s="29">
        <v>909</v>
      </c>
      <c r="D63" s="30">
        <f t="shared" si="0"/>
        <v>189.04767885320987</v>
      </c>
      <c r="E63" s="7">
        <f t="shared" si="1"/>
        <v>185</v>
      </c>
      <c r="F63" s="8">
        <f t="shared" si="2"/>
        <v>-4.0476788532098738</v>
      </c>
      <c r="G63" s="29">
        <v>27.56</v>
      </c>
      <c r="H63" s="29">
        <v>0.55600000000000005</v>
      </c>
      <c r="I63" s="29">
        <v>47.35</v>
      </c>
    </row>
    <row r="64" spans="1:9" ht="15.75" customHeight="1">
      <c r="A64" s="28">
        <v>46329.361111111109</v>
      </c>
      <c r="B64" s="29">
        <v>383</v>
      </c>
      <c r="C64" s="29">
        <v>724</v>
      </c>
      <c r="D64" s="30">
        <f t="shared" si="0"/>
        <v>169.93435103777534</v>
      </c>
      <c r="E64" s="7">
        <f t="shared" si="1"/>
        <v>163.64700000000005</v>
      </c>
      <c r="F64" s="8">
        <f t="shared" si="2"/>
        <v>-6.287351037775295</v>
      </c>
      <c r="G64" s="29">
        <v>26.31</v>
      </c>
      <c r="H64" s="29">
        <v>0.55600000000000005</v>
      </c>
      <c r="I64" s="29">
        <v>46.78</v>
      </c>
    </row>
    <row r="65" spans="1:26" ht="15.75" customHeight="1">
      <c r="A65" s="28">
        <v>46329.354166666664</v>
      </c>
      <c r="B65" s="29">
        <v>334</v>
      </c>
      <c r="C65" s="29">
        <v>560.35299999999995</v>
      </c>
      <c r="D65" s="30">
        <f t="shared" si="0"/>
        <v>150.12488845845891</v>
      </c>
      <c r="E65" s="7">
        <f t="shared" si="1"/>
        <v>140.35299999999995</v>
      </c>
      <c r="F65" s="8">
        <f t="shared" si="2"/>
        <v>-9.7718884584589603</v>
      </c>
      <c r="G65" s="29">
        <v>25.06</v>
      </c>
      <c r="H65" s="29">
        <v>0.55600000000000005</v>
      </c>
      <c r="I65" s="29">
        <v>43.34</v>
      </c>
    </row>
    <row r="66" spans="1:26" ht="15.75" customHeight="1">
      <c r="A66" s="28">
        <v>46329.347222222219</v>
      </c>
      <c r="B66" s="29">
        <v>288</v>
      </c>
      <c r="C66" s="29">
        <v>420</v>
      </c>
      <c r="D66" s="30">
        <f t="shared" si="0"/>
        <v>132.36842437019445</v>
      </c>
      <c r="E66" s="7">
        <f t="shared" si="1"/>
        <v>117</v>
      </c>
      <c r="F66" s="8">
        <f t="shared" si="2"/>
        <v>-15.368424370194447</v>
      </c>
      <c r="G66" s="29">
        <v>24.38</v>
      </c>
      <c r="H66" s="29">
        <v>0.55600000000000005</v>
      </c>
      <c r="I66" s="29">
        <v>37.31</v>
      </c>
    </row>
    <row r="67" spans="1:26" ht="15.75" customHeight="1">
      <c r="A67" s="28">
        <v>46329.340277777781</v>
      </c>
      <c r="B67" s="29">
        <v>240</v>
      </c>
      <c r="C67" s="29">
        <v>303</v>
      </c>
      <c r="D67" s="30">
        <f t="shared" si="0"/>
        <v>113.55081892329507</v>
      </c>
      <c r="E67" s="7">
        <f t="shared" si="1"/>
        <v>95</v>
      </c>
      <c r="F67" s="8">
        <f t="shared" si="2"/>
        <v>-18.550818923295068</v>
      </c>
      <c r="G67" s="29">
        <v>23.31</v>
      </c>
      <c r="H67" s="29">
        <v>0.55600000000000005</v>
      </c>
      <c r="I67" s="29">
        <v>29.27</v>
      </c>
    </row>
    <row r="68" spans="1:26" ht="15.75" customHeight="1">
      <c r="A68" s="28">
        <v>46329.333333333336</v>
      </c>
      <c r="B68" s="29">
        <v>196</v>
      </c>
      <c r="C68" s="29">
        <v>208</v>
      </c>
      <c r="D68" s="30">
        <f t="shared" si="0"/>
        <v>93.678806016211865</v>
      </c>
      <c r="E68" s="7">
        <f t="shared" si="1"/>
        <v>74</v>
      </c>
      <c r="F68" s="8">
        <f t="shared" si="2"/>
        <v>-19.678806016211865</v>
      </c>
      <c r="G68" s="29">
        <v>22</v>
      </c>
      <c r="H68" s="29">
        <v>0.44400000000000001</v>
      </c>
      <c r="I68" s="29">
        <v>26.4</v>
      </c>
    </row>
    <row r="69" spans="1:26" ht="15.75" customHeight="1">
      <c r="A69" s="28">
        <v>46329.326388888891</v>
      </c>
      <c r="B69" s="29">
        <v>154</v>
      </c>
      <c r="C69" s="29">
        <v>134</v>
      </c>
      <c r="D69" s="30">
        <f t="shared" si="0"/>
        <v>74.272700111664818</v>
      </c>
      <c r="E69" s="7">
        <f t="shared" si="1"/>
        <v>55</v>
      </c>
      <c r="F69" s="8">
        <f t="shared" si="2"/>
        <v>-19.272700111664818</v>
      </c>
      <c r="G69" s="29">
        <v>19.940000000000001</v>
      </c>
      <c r="H69" s="29">
        <v>0.44400000000000001</v>
      </c>
      <c r="I69" s="29">
        <v>23.82</v>
      </c>
    </row>
    <row r="70" spans="1:26" ht="15.75" customHeight="1">
      <c r="A70" s="28">
        <v>46329.319444444445</v>
      </c>
      <c r="B70" s="29">
        <v>114</v>
      </c>
      <c r="C70" s="29">
        <v>79</v>
      </c>
      <c r="D70" s="30">
        <f t="shared" si="0"/>
        <v>55.64033931202853</v>
      </c>
      <c r="E70" s="7">
        <f t="shared" si="1"/>
        <v>38</v>
      </c>
      <c r="F70" s="8">
        <f t="shared" si="2"/>
        <v>-17.64033931202853</v>
      </c>
      <c r="G70" s="29">
        <v>18.25</v>
      </c>
      <c r="H70" s="29">
        <v>0.44400000000000001</v>
      </c>
      <c r="I70" s="29">
        <v>20.38</v>
      </c>
    </row>
    <row r="71" spans="1:26" ht="15.75" customHeight="1">
      <c r="A71" s="28">
        <v>46329.3125</v>
      </c>
      <c r="B71" s="29">
        <v>76</v>
      </c>
      <c r="C71" s="29">
        <v>41</v>
      </c>
      <c r="D71" s="30">
        <f t="shared" si="0"/>
        <v>37.350360265023987</v>
      </c>
      <c r="E71" s="7">
        <f t="shared" si="1"/>
        <v>23.646999999999998</v>
      </c>
      <c r="F71" s="8">
        <f t="shared" si="2"/>
        <v>-13.703360265023989</v>
      </c>
      <c r="G71" s="29">
        <v>17.75</v>
      </c>
      <c r="H71" s="29">
        <v>0.44400000000000001</v>
      </c>
      <c r="I71" s="29">
        <v>18.37</v>
      </c>
    </row>
    <row r="72" spans="1:26" ht="15.75" customHeight="1">
      <c r="A72" s="28">
        <v>46329.305555555555</v>
      </c>
      <c r="B72" s="29">
        <v>32</v>
      </c>
      <c r="C72" s="29">
        <v>17.353000000000002</v>
      </c>
      <c r="D72" s="30">
        <f t="shared" si="0"/>
        <v>15.80393132752771</v>
      </c>
      <c r="E72" s="7">
        <f t="shared" si="1"/>
        <v>12.353000000000002</v>
      </c>
      <c r="F72" s="8">
        <f t="shared" si="2"/>
        <v>-3.4509313275277087</v>
      </c>
      <c r="G72" s="29">
        <v>17.13</v>
      </c>
      <c r="H72" s="29">
        <v>0.44400000000000001</v>
      </c>
      <c r="I72" s="29">
        <v>16.93</v>
      </c>
    </row>
    <row r="73" spans="1:26" ht="15.75" customHeight="1">
      <c r="A73" s="28">
        <v>46329.298611111109</v>
      </c>
      <c r="B73" s="29">
        <v>17</v>
      </c>
      <c r="C73" s="29">
        <v>5</v>
      </c>
      <c r="D73" s="30">
        <f t="shared" si="0"/>
        <v>8.4038404256089869</v>
      </c>
      <c r="E73" s="7">
        <f t="shared" si="1"/>
        <v>5</v>
      </c>
      <c r="F73" s="8">
        <f t="shared" si="2"/>
        <v>-3.4038404256089869</v>
      </c>
      <c r="G73" s="29">
        <v>16.88</v>
      </c>
      <c r="H73" s="29">
        <v>0.44400000000000001</v>
      </c>
      <c r="I73" s="29">
        <v>16.649999999999999</v>
      </c>
    </row>
    <row r="74" spans="1:26" ht="15.75" customHeight="1">
      <c r="A74" s="28">
        <v>46329.291666666664</v>
      </c>
      <c r="B74" s="29">
        <v>5</v>
      </c>
      <c r="C74" s="29">
        <v>0</v>
      </c>
      <c r="D74" s="30"/>
      <c r="E74" s="7">
        <f t="shared" si="1"/>
        <v>0</v>
      </c>
      <c r="F74" s="8">
        <f t="shared" si="2"/>
        <v>0</v>
      </c>
      <c r="G74" s="29">
        <v>17.190000000000001</v>
      </c>
      <c r="H74" s="29">
        <v>0.44400000000000001</v>
      </c>
      <c r="I74" s="29">
        <v>17.22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7.1778333333333331</v>
      </c>
      <c r="C76" s="11"/>
      <c r="D76" s="16">
        <f>SUM(D2:D75)</f>
        <v>18996.579845272874</v>
      </c>
      <c r="E76" s="15">
        <f>SUM(E1:E74)</f>
        <v>18516</v>
      </c>
      <c r="F76" s="11"/>
      <c r="G76" s="17">
        <f t="shared" ref="G76:I76" si="3">AVERAGE(G1:G74)</f>
        <v>32.288904109589033</v>
      </c>
      <c r="H76" s="17">
        <f t="shared" si="3"/>
        <v>1.6666849315068495</v>
      </c>
      <c r="I76" s="17">
        <f t="shared" si="3"/>
        <v>44.921780821917793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8">
        <v>46359.791666666664</v>
      </c>
      <c r="B2" s="29">
        <v>0</v>
      </c>
      <c r="C2" s="29">
        <v>18840.349999999999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29.31</v>
      </c>
      <c r="H2" s="29">
        <v>0.55600000000000005</v>
      </c>
      <c r="I2" s="29">
        <v>32.72</v>
      </c>
    </row>
    <row r="3" spans="1:26" ht="15.75" customHeight="1">
      <c r="A3" s="28">
        <v>46359.784722222219</v>
      </c>
      <c r="B3" s="29">
        <v>0</v>
      </c>
      <c r="C3" s="29">
        <v>18840.349999999999</v>
      </c>
      <c r="D3" s="6">
        <f t="shared" si="0"/>
        <v>0</v>
      </c>
      <c r="E3" s="7">
        <f t="shared" si="1"/>
        <v>1.3499999999985448</v>
      </c>
      <c r="F3" s="8">
        <f t="shared" si="2"/>
        <v>1.3499999999985448</v>
      </c>
      <c r="G3" s="29">
        <v>30</v>
      </c>
      <c r="H3" s="29">
        <v>0.55600000000000005</v>
      </c>
      <c r="I3" s="29">
        <v>34.44</v>
      </c>
    </row>
    <row r="4" spans="1:26" ht="15.75" customHeight="1">
      <c r="A4" s="28">
        <v>46359.777777777781</v>
      </c>
      <c r="B4" s="29">
        <v>0</v>
      </c>
      <c r="C4" s="29">
        <v>18839</v>
      </c>
      <c r="D4" s="6">
        <f t="shared" si="0"/>
        <v>0</v>
      </c>
      <c r="E4" s="7">
        <f t="shared" si="1"/>
        <v>5</v>
      </c>
      <c r="F4" s="8">
        <f t="shared" si="2"/>
        <v>5</v>
      </c>
      <c r="G4" s="29">
        <v>31.13</v>
      </c>
      <c r="H4" s="29">
        <v>0.44400000000000001</v>
      </c>
      <c r="I4" s="29">
        <v>37.020000000000003</v>
      </c>
    </row>
    <row r="5" spans="1:26" ht="15.75" customHeight="1">
      <c r="A5" s="28">
        <v>46359.770833333336</v>
      </c>
      <c r="B5" s="29">
        <v>13</v>
      </c>
      <c r="C5" s="29">
        <v>18834</v>
      </c>
      <c r="D5" s="6">
        <f t="shared" si="0"/>
        <v>5.9246995149572061</v>
      </c>
      <c r="E5" s="7">
        <f t="shared" si="1"/>
        <v>12.650000000001455</v>
      </c>
      <c r="F5" s="8">
        <f t="shared" si="2"/>
        <v>6.725300485044249</v>
      </c>
      <c r="G5" s="29">
        <v>32.19</v>
      </c>
      <c r="H5" s="29">
        <v>0.44400000000000001</v>
      </c>
      <c r="I5" s="29">
        <v>39.61</v>
      </c>
    </row>
    <row r="6" spans="1:26" ht="15.75" customHeight="1">
      <c r="A6" s="28">
        <v>46359.763888888891</v>
      </c>
      <c r="B6" s="29">
        <v>26</v>
      </c>
      <c r="C6" s="29">
        <v>18821.349999999999</v>
      </c>
      <c r="D6" s="6">
        <f t="shared" si="0"/>
        <v>11.723957356699055</v>
      </c>
      <c r="E6" s="7">
        <f t="shared" si="1"/>
        <v>22.349999999998545</v>
      </c>
      <c r="F6" s="8">
        <f t="shared" si="2"/>
        <v>10.62604264329949</v>
      </c>
      <c r="G6" s="29">
        <v>33</v>
      </c>
      <c r="H6" s="29">
        <v>0.55600000000000005</v>
      </c>
      <c r="I6" s="29">
        <v>42.48</v>
      </c>
    </row>
    <row r="7" spans="1:26" ht="15.75" customHeight="1">
      <c r="A7" s="28">
        <v>46359.756944444445</v>
      </c>
      <c r="B7" s="29">
        <v>39</v>
      </c>
      <c r="C7" s="29">
        <v>18799</v>
      </c>
      <c r="D7" s="6">
        <f t="shared" si="0"/>
        <v>17.397773525225546</v>
      </c>
      <c r="E7" s="7">
        <f t="shared" si="1"/>
        <v>36</v>
      </c>
      <c r="F7" s="8">
        <f t="shared" si="2"/>
        <v>18.602226474774454</v>
      </c>
      <c r="G7" s="29">
        <v>33.5</v>
      </c>
      <c r="H7" s="29">
        <v>0.55600000000000005</v>
      </c>
      <c r="I7" s="29">
        <v>45.35</v>
      </c>
    </row>
    <row r="8" spans="1:26" ht="15.75" customHeight="1">
      <c r="A8" s="28">
        <v>46359.75</v>
      </c>
      <c r="B8" s="29">
        <v>53</v>
      </c>
      <c r="C8" s="29">
        <v>18763</v>
      </c>
      <c r="D8" s="6">
        <f t="shared" si="0"/>
        <v>23.464934377564692</v>
      </c>
      <c r="E8" s="7">
        <f t="shared" si="1"/>
        <v>55</v>
      </c>
      <c r="F8" s="8">
        <f t="shared" si="2"/>
        <v>31.535065622435308</v>
      </c>
      <c r="G8" s="29">
        <v>33.81</v>
      </c>
      <c r="H8" s="29">
        <v>1.444</v>
      </c>
      <c r="I8" s="29">
        <v>47.35</v>
      </c>
    </row>
    <row r="9" spans="1:26" ht="15.75" customHeight="1">
      <c r="A9" s="28">
        <v>46359.743055555555</v>
      </c>
      <c r="B9" s="29">
        <v>157</v>
      </c>
      <c r="C9" s="29">
        <v>18708</v>
      </c>
      <c r="D9" s="6">
        <f t="shared" si="0"/>
        <v>69.356255396251768</v>
      </c>
      <c r="E9" s="7">
        <f t="shared" si="1"/>
        <v>76</v>
      </c>
      <c r="F9" s="8">
        <f t="shared" si="2"/>
        <v>6.6437446037482317</v>
      </c>
      <c r="G9" s="29">
        <v>34.25</v>
      </c>
      <c r="H9" s="29">
        <v>1.222</v>
      </c>
      <c r="I9" s="29">
        <v>47.93</v>
      </c>
    </row>
    <row r="10" spans="1:26" ht="15.75" customHeight="1">
      <c r="A10" s="28">
        <v>46359.736111111109</v>
      </c>
      <c r="B10" s="29">
        <v>212</v>
      </c>
      <c r="C10" s="29">
        <v>18632</v>
      </c>
      <c r="D10" s="6">
        <f t="shared" si="0"/>
        <v>93.653032764365435</v>
      </c>
      <c r="E10" s="7">
        <f t="shared" si="1"/>
        <v>98</v>
      </c>
      <c r="F10" s="8">
        <f t="shared" si="2"/>
        <v>4.3469672356345654</v>
      </c>
      <c r="G10" s="29">
        <v>34.56</v>
      </c>
      <c r="H10" s="29">
        <v>1.333</v>
      </c>
      <c r="I10" s="29">
        <v>47.93</v>
      </c>
    </row>
    <row r="11" spans="1:26" ht="15.75" customHeight="1">
      <c r="A11" s="28">
        <v>46359.729166666664</v>
      </c>
      <c r="B11" s="29">
        <v>263</v>
      </c>
      <c r="C11" s="29">
        <v>18534</v>
      </c>
      <c r="D11" s="6">
        <f t="shared" si="0"/>
        <v>116.18277177843451</v>
      </c>
      <c r="E11" s="7">
        <f t="shared" si="1"/>
        <v>121</v>
      </c>
      <c r="F11" s="8">
        <f t="shared" si="2"/>
        <v>4.817228221565486</v>
      </c>
      <c r="G11" s="29">
        <v>34.44</v>
      </c>
      <c r="H11" s="29">
        <v>1.667</v>
      </c>
      <c r="I11" s="29">
        <v>47.93</v>
      </c>
    </row>
    <row r="12" spans="1:26" ht="15.75" customHeight="1">
      <c r="A12" s="28">
        <v>46359.722222222219</v>
      </c>
      <c r="B12" s="29">
        <v>313</v>
      </c>
      <c r="C12" s="29">
        <v>18413</v>
      </c>
      <c r="D12" s="6">
        <f t="shared" si="0"/>
        <v>138.27075120399235</v>
      </c>
      <c r="E12" s="7">
        <f t="shared" si="1"/>
        <v>145</v>
      </c>
      <c r="F12" s="8">
        <f t="shared" si="2"/>
        <v>6.7292487960076528</v>
      </c>
      <c r="G12" s="29">
        <v>34.81</v>
      </c>
      <c r="H12" s="29">
        <v>3.3330000000000002</v>
      </c>
      <c r="I12" s="29">
        <v>47.93</v>
      </c>
    </row>
    <row r="13" spans="1:26" ht="15.75" customHeight="1">
      <c r="A13" s="28">
        <v>46359.715277777781</v>
      </c>
      <c r="B13" s="29">
        <v>369</v>
      </c>
      <c r="C13" s="29">
        <v>18268</v>
      </c>
      <c r="D13" s="6">
        <f t="shared" si="0"/>
        <v>162.82939653034683</v>
      </c>
      <c r="E13" s="7">
        <f t="shared" si="1"/>
        <v>168.65000000000146</v>
      </c>
      <c r="F13" s="8">
        <f t="shared" si="2"/>
        <v>5.8206034696546283</v>
      </c>
      <c r="G13" s="29">
        <v>35.06</v>
      </c>
      <c r="H13" s="29">
        <v>0.77800000000000002</v>
      </c>
      <c r="I13" s="29">
        <v>48.22</v>
      </c>
    </row>
    <row r="14" spans="1:26" ht="15.75" customHeight="1">
      <c r="A14" s="28">
        <v>46359.708333333336</v>
      </c>
      <c r="B14" s="29">
        <v>416</v>
      </c>
      <c r="C14" s="29">
        <v>18099.349999999999</v>
      </c>
      <c r="D14" s="6">
        <f t="shared" si="0"/>
        <v>183.37337277195726</v>
      </c>
      <c r="E14" s="7">
        <f t="shared" si="1"/>
        <v>191</v>
      </c>
      <c r="F14" s="8">
        <f t="shared" si="2"/>
        <v>7.6266272280427359</v>
      </c>
      <c r="G14" s="29">
        <v>35.119999999999997</v>
      </c>
      <c r="H14" s="29">
        <v>1.778</v>
      </c>
      <c r="I14" s="29">
        <v>48.5</v>
      </c>
    </row>
    <row r="15" spans="1:26" ht="15.75" customHeight="1">
      <c r="A15" s="28">
        <v>46359.701388888891</v>
      </c>
      <c r="B15" s="29">
        <v>464</v>
      </c>
      <c r="C15" s="29">
        <v>17908.349999999999</v>
      </c>
      <c r="D15" s="6">
        <f t="shared" si="0"/>
        <v>204.75024387555808</v>
      </c>
      <c r="E15" s="7">
        <f t="shared" si="1"/>
        <v>215</v>
      </c>
      <c r="F15" s="8">
        <f t="shared" si="2"/>
        <v>10.249756124441916</v>
      </c>
      <c r="G15" s="29">
        <v>35</v>
      </c>
      <c r="H15" s="29">
        <v>2.444</v>
      </c>
      <c r="I15" s="29">
        <v>48.22</v>
      </c>
    </row>
    <row r="16" spans="1:26" ht="15.75" customHeight="1">
      <c r="A16" s="28">
        <v>46359.694444444445</v>
      </c>
      <c r="B16" s="29">
        <v>519</v>
      </c>
      <c r="C16" s="29">
        <v>17693.349999999999</v>
      </c>
      <c r="D16" s="6">
        <f t="shared" si="0"/>
        <v>228.77591458809093</v>
      </c>
      <c r="E16" s="7">
        <f t="shared" si="1"/>
        <v>240</v>
      </c>
      <c r="F16" s="8">
        <f t="shared" si="2"/>
        <v>11.224085411909073</v>
      </c>
      <c r="G16" s="29">
        <v>35.380000000000003</v>
      </c>
      <c r="H16" s="29">
        <v>2.6669999999999998</v>
      </c>
      <c r="I16" s="29">
        <v>48.5</v>
      </c>
    </row>
    <row r="17" spans="1:9" ht="15.75" customHeight="1">
      <c r="A17" s="28">
        <v>46359.6875</v>
      </c>
      <c r="B17" s="29">
        <v>578</v>
      </c>
      <c r="C17" s="29">
        <v>17453.349999999999</v>
      </c>
      <c r="D17" s="6">
        <f t="shared" si="0"/>
        <v>254.78319582257524</v>
      </c>
      <c r="E17" s="7">
        <f t="shared" si="1"/>
        <v>266</v>
      </c>
      <c r="F17" s="8">
        <f t="shared" si="2"/>
        <v>11.216804177424763</v>
      </c>
      <c r="G17" s="29">
        <v>35.380000000000003</v>
      </c>
      <c r="H17" s="29">
        <v>2.8889999999999998</v>
      </c>
      <c r="I17" s="29">
        <v>48.5</v>
      </c>
    </row>
    <row r="18" spans="1:9" ht="15.75" customHeight="1">
      <c r="A18" s="28">
        <v>46359.680555555555</v>
      </c>
      <c r="B18" s="29">
        <v>636</v>
      </c>
      <c r="C18" s="29">
        <v>17187.349999999999</v>
      </c>
      <c r="D18" s="6">
        <f t="shared" si="0"/>
        <v>280.03961856136397</v>
      </c>
      <c r="E18" s="7">
        <f t="shared" si="1"/>
        <v>262</v>
      </c>
      <c r="F18" s="8">
        <f t="shared" si="2"/>
        <v>-18.039618561363966</v>
      </c>
      <c r="G18" s="29">
        <v>35.25</v>
      </c>
      <c r="H18" s="29">
        <v>2.8889999999999998</v>
      </c>
      <c r="I18" s="29">
        <v>48.79</v>
      </c>
    </row>
    <row r="19" spans="1:9" ht="15.75" customHeight="1">
      <c r="A19" s="28">
        <v>46359.673611111109</v>
      </c>
      <c r="B19" s="29">
        <v>610</v>
      </c>
      <c r="C19" s="29">
        <v>16925.349999999999</v>
      </c>
      <c r="D19" s="6">
        <f t="shared" si="0"/>
        <v>268.29407622632004</v>
      </c>
      <c r="E19" s="7">
        <f t="shared" si="1"/>
        <v>287.34999999999854</v>
      </c>
      <c r="F19" s="8">
        <f t="shared" si="2"/>
        <v>19.055923773678501</v>
      </c>
      <c r="G19" s="29">
        <v>35.5</v>
      </c>
      <c r="H19" s="29">
        <v>1.556</v>
      </c>
      <c r="I19" s="29">
        <v>49.08</v>
      </c>
    </row>
    <row r="20" spans="1:9" ht="15.75" customHeight="1">
      <c r="A20" s="28">
        <v>46359.666666666664</v>
      </c>
      <c r="B20" s="29">
        <v>708</v>
      </c>
      <c r="C20" s="29">
        <v>16638</v>
      </c>
      <c r="D20" s="6">
        <f t="shared" si="0"/>
        <v>311.7422168890655</v>
      </c>
      <c r="E20" s="7">
        <f t="shared" si="1"/>
        <v>319</v>
      </c>
      <c r="F20" s="8">
        <f t="shared" si="2"/>
        <v>7.257783110934497</v>
      </c>
      <c r="G20" s="29">
        <v>35.44</v>
      </c>
      <c r="H20" s="29">
        <v>2.6669999999999998</v>
      </c>
      <c r="I20" s="29">
        <v>48.79</v>
      </c>
    </row>
    <row r="21" spans="1:9" ht="15.75" customHeight="1">
      <c r="A21" s="28">
        <v>46359.659722222219</v>
      </c>
      <c r="B21" s="29">
        <v>747</v>
      </c>
      <c r="C21" s="29">
        <v>16319</v>
      </c>
      <c r="D21" s="6">
        <f t="shared" si="0"/>
        <v>328.55028678862487</v>
      </c>
      <c r="E21" s="7">
        <f t="shared" si="1"/>
        <v>337.64999999999964</v>
      </c>
      <c r="F21" s="8">
        <f t="shared" si="2"/>
        <v>9.0997132113747625</v>
      </c>
      <c r="G21" s="29">
        <v>35.69</v>
      </c>
      <c r="H21" s="29">
        <v>3.3330000000000002</v>
      </c>
      <c r="I21" s="29">
        <v>49.08</v>
      </c>
    </row>
    <row r="22" spans="1:9" ht="15.75" customHeight="1">
      <c r="A22" s="28">
        <v>46359.652777777781</v>
      </c>
      <c r="B22" s="29">
        <v>833</v>
      </c>
      <c r="C22" s="29">
        <v>15981.35</v>
      </c>
      <c r="D22" s="6">
        <f t="shared" si="0"/>
        <v>366.78145009688069</v>
      </c>
      <c r="E22" s="7">
        <f t="shared" si="1"/>
        <v>338.35000000000036</v>
      </c>
      <c r="F22" s="8">
        <f t="shared" si="2"/>
        <v>-28.431450096880326</v>
      </c>
      <c r="G22" s="29">
        <v>35.380000000000003</v>
      </c>
      <c r="H22" s="29">
        <v>2.556</v>
      </c>
      <c r="I22" s="29">
        <v>48.79</v>
      </c>
    </row>
    <row r="23" spans="1:9" ht="15.75" customHeight="1">
      <c r="A23" s="28">
        <v>46359.645833333336</v>
      </c>
      <c r="B23" s="29">
        <v>750</v>
      </c>
      <c r="C23" s="29">
        <v>15643</v>
      </c>
      <c r="D23" s="6">
        <f t="shared" si="0"/>
        <v>330.23539924689135</v>
      </c>
      <c r="E23" s="7">
        <f t="shared" si="1"/>
        <v>320</v>
      </c>
      <c r="F23" s="8">
        <f t="shared" si="2"/>
        <v>-10.235399246891348</v>
      </c>
      <c r="G23" s="29">
        <v>35.19</v>
      </c>
      <c r="H23" s="29">
        <v>2.222</v>
      </c>
      <c r="I23" s="29">
        <v>48.79</v>
      </c>
    </row>
    <row r="24" spans="1:9" ht="15.75" customHeight="1">
      <c r="A24" s="28">
        <v>46359.638888888891</v>
      </c>
      <c r="B24" s="29">
        <v>693</v>
      </c>
      <c r="C24" s="29">
        <v>15323</v>
      </c>
      <c r="D24" s="6">
        <f t="shared" si="0"/>
        <v>304.79966364727841</v>
      </c>
      <c r="E24" s="7">
        <f t="shared" si="1"/>
        <v>320</v>
      </c>
      <c r="F24" s="8">
        <f t="shared" si="2"/>
        <v>15.200336352721592</v>
      </c>
      <c r="G24" s="29">
        <v>35.06</v>
      </c>
      <c r="H24" s="29">
        <v>1.556</v>
      </c>
      <c r="I24" s="29">
        <v>49.08</v>
      </c>
    </row>
    <row r="25" spans="1:9" ht="15.75" customHeight="1">
      <c r="A25" s="28">
        <v>46359.631944444445</v>
      </c>
      <c r="B25" s="29">
        <v>618</v>
      </c>
      <c r="C25" s="29">
        <v>15003</v>
      </c>
      <c r="D25" s="6">
        <f t="shared" si="0"/>
        <v>271.8126870620751</v>
      </c>
      <c r="E25" s="7">
        <f t="shared" si="1"/>
        <v>282</v>
      </c>
      <c r="F25" s="8">
        <f t="shared" si="2"/>
        <v>10.187312937924901</v>
      </c>
      <c r="G25" s="29">
        <v>34.56</v>
      </c>
      <c r="H25" s="29">
        <v>2.222</v>
      </c>
      <c r="I25" s="29">
        <v>49.08</v>
      </c>
    </row>
    <row r="26" spans="1:9" ht="15.75" customHeight="1">
      <c r="A26" s="28">
        <v>46359.625</v>
      </c>
      <c r="B26" s="29">
        <v>578</v>
      </c>
      <c r="C26" s="29">
        <v>14721</v>
      </c>
      <c r="D26" s="6">
        <f t="shared" si="0"/>
        <v>254.50141435293764</v>
      </c>
      <c r="E26" s="7">
        <f t="shared" si="1"/>
        <v>340</v>
      </c>
      <c r="F26" s="8">
        <f t="shared" si="2"/>
        <v>85.498585647062356</v>
      </c>
      <c r="G26" s="29">
        <v>34.81</v>
      </c>
      <c r="H26" s="29">
        <v>1.778</v>
      </c>
      <c r="I26" s="29">
        <v>48.79</v>
      </c>
    </row>
    <row r="27" spans="1:9" ht="15.75" customHeight="1">
      <c r="A27" s="28">
        <v>46359.618055555555</v>
      </c>
      <c r="B27" s="29">
        <v>855</v>
      </c>
      <c r="C27" s="29">
        <v>14381</v>
      </c>
      <c r="D27" s="6">
        <f t="shared" si="0"/>
        <v>376.46835514145619</v>
      </c>
      <c r="E27" s="7">
        <f t="shared" si="1"/>
        <v>339</v>
      </c>
      <c r="F27" s="8">
        <f t="shared" si="2"/>
        <v>-37.468355141456186</v>
      </c>
      <c r="G27" s="29">
        <v>35.06</v>
      </c>
      <c r="H27" s="29">
        <v>4.1109999999999998</v>
      </c>
      <c r="I27" s="29">
        <v>48.79</v>
      </c>
    </row>
    <row r="28" spans="1:9" ht="15.75" customHeight="1">
      <c r="A28" s="28">
        <v>46359.611111111109</v>
      </c>
      <c r="B28" s="29">
        <v>920</v>
      </c>
      <c r="C28" s="29">
        <v>14042</v>
      </c>
      <c r="D28" s="6">
        <f t="shared" si="0"/>
        <v>405.08875640952004</v>
      </c>
      <c r="E28" s="7">
        <f t="shared" si="1"/>
        <v>373</v>
      </c>
      <c r="F28" s="8">
        <f t="shared" si="2"/>
        <v>-32.088756409520045</v>
      </c>
      <c r="G28" s="29">
        <v>34.81</v>
      </c>
      <c r="H28" s="29">
        <v>2.1110000000000002</v>
      </c>
      <c r="I28" s="29">
        <v>48.79</v>
      </c>
    </row>
    <row r="29" spans="1:9" ht="15.75" customHeight="1">
      <c r="A29" s="28">
        <v>46359.604166666664</v>
      </c>
      <c r="B29" s="29">
        <v>676</v>
      </c>
      <c r="C29" s="29">
        <v>13669</v>
      </c>
      <c r="D29" s="6">
        <f t="shared" si="0"/>
        <v>297.65217318786478</v>
      </c>
      <c r="E29" s="7">
        <f t="shared" si="1"/>
        <v>341</v>
      </c>
      <c r="F29" s="8">
        <f t="shared" si="2"/>
        <v>43.347826812135224</v>
      </c>
      <c r="G29" s="29">
        <v>35</v>
      </c>
      <c r="H29" s="29">
        <v>3.8889999999999998</v>
      </c>
      <c r="I29" s="29">
        <v>48.79</v>
      </c>
    </row>
    <row r="30" spans="1:9" ht="15.75" customHeight="1">
      <c r="A30" s="28">
        <v>46359.597222222219</v>
      </c>
      <c r="B30" s="29">
        <v>757</v>
      </c>
      <c r="C30" s="29">
        <v>13328</v>
      </c>
      <c r="D30" s="6">
        <f t="shared" si="0"/>
        <v>332.94855033331851</v>
      </c>
      <c r="E30" s="7">
        <f t="shared" si="1"/>
        <v>319.64999999999964</v>
      </c>
      <c r="F30" s="8">
        <f t="shared" si="2"/>
        <v>-13.298550333318872</v>
      </c>
      <c r="G30" s="29">
        <v>34.94</v>
      </c>
      <c r="H30" s="29">
        <v>1.667</v>
      </c>
      <c r="I30" s="29">
        <v>49.08</v>
      </c>
    </row>
    <row r="31" spans="1:9" ht="15.75" customHeight="1">
      <c r="A31" s="28">
        <v>46359.590277777781</v>
      </c>
      <c r="B31" s="29">
        <v>867</v>
      </c>
      <c r="C31" s="29">
        <v>13008.35</v>
      </c>
      <c r="D31" s="6">
        <f t="shared" si="0"/>
        <v>380.9213520240956</v>
      </c>
      <c r="E31" s="7">
        <f t="shared" si="1"/>
        <v>414.35000000000036</v>
      </c>
      <c r="F31" s="8">
        <f t="shared" si="2"/>
        <v>33.428647975904767</v>
      </c>
      <c r="G31" s="29">
        <v>35.31</v>
      </c>
      <c r="H31" s="29">
        <v>0.44400000000000001</v>
      </c>
      <c r="I31" s="29">
        <v>49.36</v>
      </c>
    </row>
    <row r="32" spans="1:9" ht="15.75" customHeight="1">
      <c r="A32" s="28">
        <v>46359.583333333336</v>
      </c>
      <c r="B32" s="29">
        <v>1065</v>
      </c>
      <c r="C32" s="29">
        <v>12594</v>
      </c>
      <c r="D32" s="6">
        <f t="shared" si="0"/>
        <v>468.41506750988674</v>
      </c>
      <c r="E32" s="7">
        <f t="shared" si="1"/>
        <v>443</v>
      </c>
      <c r="F32" s="8">
        <f t="shared" si="2"/>
        <v>-25.41506750988674</v>
      </c>
      <c r="G32" s="29">
        <v>35</v>
      </c>
      <c r="H32" s="29">
        <v>1.111</v>
      </c>
      <c r="I32" s="29">
        <v>49.08</v>
      </c>
    </row>
    <row r="33" spans="1:9" ht="15.75" customHeight="1">
      <c r="A33" s="28">
        <v>46359.576388888891</v>
      </c>
      <c r="B33" s="29">
        <v>988</v>
      </c>
      <c r="C33" s="29">
        <v>12151</v>
      </c>
      <c r="D33" s="6">
        <f t="shared" si="0"/>
        <v>435.03009927457157</v>
      </c>
      <c r="E33" s="7">
        <f t="shared" si="1"/>
        <v>443.64999999999964</v>
      </c>
      <c r="F33" s="8">
        <f t="shared" si="2"/>
        <v>8.6199007254280673</v>
      </c>
      <c r="G33" s="29">
        <v>34.56</v>
      </c>
      <c r="H33" s="29">
        <v>0.66700000000000004</v>
      </c>
      <c r="I33" s="29">
        <v>48.79</v>
      </c>
    </row>
    <row r="34" spans="1:9" ht="15.75" customHeight="1">
      <c r="A34" s="28">
        <v>46359.569444444445</v>
      </c>
      <c r="B34" s="29">
        <v>1043</v>
      </c>
      <c r="C34" s="29">
        <v>11707.35</v>
      </c>
      <c r="D34" s="6">
        <f t="shared" si="0"/>
        <v>459.2473618860102</v>
      </c>
      <c r="E34" s="7">
        <f t="shared" si="1"/>
        <v>413.35000000000036</v>
      </c>
      <c r="F34" s="8">
        <f t="shared" si="2"/>
        <v>-45.897361886009833</v>
      </c>
      <c r="G34" s="29">
        <v>34.619999999999997</v>
      </c>
      <c r="H34" s="29">
        <v>1.667</v>
      </c>
      <c r="I34" s="29">
        <v>48.79</v>
      </c>
    </row>
    <row r="35" spans="1:9" ht="15.75" customHeight="1">
      <c r="A35" s="28">
        <v>46359.5625</v>
      </c>
      <c r="B35" s="29">
        <v>880</v>
      </c>
      <c r="C35" s="29">
        <v>11294</v>
      </c>
      <c r="D35" s="6">
        <f t="shared" si="0"/>
        <v>387.47620178301923</v>
      </c>
      <c r="E35" s="7">
        <f t="shared" si="1"/>
        <v>375</v>
      </c>
      <c r="F35" s="8">
        <f t="shared" si="2"/>
        <v>-12.476201783019235</v>
      </c>
      <c r="G35" s="29">
        <v>34</v>
      </c>
      <c r="H35" s="29">
        <v>1.667</v>
      </c>
      <c r="I35" s="29">
        <v>48.79</v>
      </c>
    </row>
    <row r="36" spans="1:9" ht="15.75" customHeight="1">
      <c r="A36" s="28">
        <v>46359.555555555555</v>
      </c>
      <c r="B36" s="29">
        <v>866</v>
      </c>
      <c r="C36" s="29">
        <v>10919</v>
      </c>
      <c r="D36" s="6">
        <f t="shared" si="0"/>
        <v>380.88962297048067</v>
      </c>
      <c r="E36" s="7">
        <f t="shared" si="1"/>
        <v>389</v>
      </c>
      <c r="F36" s="8">
        <f t="shared" si="2"/>
        <v>8.1103770295193272</v>
      </c>
      <c r="G36" s="29">
        <v>34.06</v>
      </c>
      <c r="H36" s="29">
        <v>2.222</v>
      </c>
      <c r="I36" s="29">
        <v>49.08</v>
      </c>
    </row>
    <row r="37" spans="1:9" ht="15.75" customHeight="1">
      <c r="A37" s="28">
        <v>46359.548611111109</v>
      </c>
      <c r="B37" s="29">
        <v>858</v>
      </c>
      <c r="C37" s="29">
        <v>10530</v>
      </c>
      <c r="D37" s="6">
        <f t="shared" si="0"/>
        <v>377.78929673844374</v>
      </c>
      <c r="E37" s="7">
        <f t="shared" si="1"/>
        <v>359.64999999999964</v>
      </c>
      <c r="F37" s="8">
        <f t="shared" si="2"/>
        <v>-18.139296738444102</v>
      </c>
      <c r="G37" s="29">
        <v>33.94</v>
      </c>
      <c r="H37" s="29">
        <v>2.222</v>
      </c>
      <c r="I37" s="29">
        <v>48.79</v>
      </c>
    </row>
    <row r="38" spans="1:9" ht="15.75" customHeight="1">
      <c r="A38" s="28">
        <v>46359.541666666664</v>
      </c>
      <c r="B38" s="29">
        <v>893</v>
      </c>
      <c r="C38" s="29">
        <v>10170.35</v>
      </c>
      <c r="D38" s="6">
        <f t="shared" si="0"/>
        <v>392.76493454115382</v>
      </c>
      <c r="E38" s="7">
        <f t="shared" si="1"/>
        <v>406.35000000000036</v>
      </c>
      <c r="F38" s="8">
        <f t="shared" si="2"/>
        <v>13.585065458846543</v>
      </c>
      <c r="G38" s="29">
        <v>33.31</v>
      </c>
      <c r="H38" s="29">
        <v>2.6669999999999998</v>
      </c>
      <c r="I38" s="29">
        <v>49.08</v>
      </c>
    </row>
    <row r="39" spans="1:9" ht="15.75" customHeight="1">
      <c r="A39" s="28">
        <v>46359.534722222219</v>
      </c>
      <c r="B39" s="29">
        <v>845</v>
      </c>
      <c r="C39" s="29">
        <v>9764</v>
      </c>
      <c r="D39" s="6">
        <f t="shared" si="0"/>
        <v>371.65326952662372</v>
      </c>
      <c r="E39" s="7">
        <f t="shared" si="1"/>
        <v>329</v>
      </c>
      <c r="F39" s="8">
        <f t="shared" si="2"/>
        <v>-42.653269526623717</v>
      </c>
      <c r="G39" s="29">
        <v>33.19</v>
      </c>
      <c r="H39" s="29">
        <v>2</v>
      </c>
      <c r="I39" s="29">
        <v>49.08</v>
      </c>
    </row>
    <row r="40" spans="1:9" ht="15.75" customHeight="1">
      <c r="A40" s="28">
        <v>46359.527777777781</v>
      </c>
      <c r="B40" s="29">
        <v>748</v>
      </c>
      <c r="C40" s="29">
        <v>9435</v>
      </c>
      <c r="D40" s="6">
        <f t="shared" si="0"/>
        <v>329.35477151556637</v>
      </c>
      <c r="E40" s="7">
        <f t="shared" si="1"/>
        <v>314</v>
      </c>
      <c r="F40" s="8">
        <f t="shared" si="2"/>
        <v>-15.35477151556637</v>
      </c>
      <c r="G40" s="29">
        <v>33.31</v>
      </c>
      <c r="H40" s="29">
        <v>2.556</v>
      </c>
      <c r="I40" s="29">
        <v>48.79</v>
      </c>
    </row>
    <row r="41" spans="1:9" ht="15.75" customHeight="1">
      <c r="A41" s="28">
        <v>46359.520833333336</v>
      </c>
      <c r="B41" s="29">
        <v>807</v>
      </c>
      <c r="C41" s="29">
        <v>9121</v>
      </c>
      <c r="D41" s="6">
        <f t="shared" si="0"/>
        <v>354.93986805678747</v>
      </c>
      <c r="E41" s="7">
        <f t="shared" si="1"/>
        <v>390</v>
      </c>
      <c r="F41" s="8">
        <f t="shared" si="2"/>
        <v>35.060131943212525</v>
      </c>
      <c r="G41" s="29">
        <v>33.69</v>
      </c>
      <c r="H41" s="29">
        <v>3</v>
      </c>
      <c r="I41" s="29">
        <v>49.08</v>
      </c>
    </row>
    <row r="42" spans="1:9" ht="15.75" customHeight="1">
      <c r="A42" s="28">
        <v>46359.513888888891</v>
      </c>
      <c r="B42" s="29">
        <v>924</v>
      </c>
      <c r="C42" s="29">
        <v>8731</v>
      </c>
      <c r="D42" s="6">
        <f t="shared" si="0"/>
        <v>407.30047221463582</v>
      </c>
      <c r="E42" s="7">
        <f t="shared" si="1"/>
        <v>387</v>
      </c>
      <c r="F42" s="8">
        <f t="shared" si="2"/>
        <v>-20.300472214635818</v>
      </c>
      <c r="G42" s="29">
        <v>32.880000000000003</v>
      </c>
      <c r="H42" s="29">
        <v>2.6669999999999998</v>
      </c>
      <c r="I42" s="29">
        <v>48.5</v>
      </c>
    </row>
    <row r="43" spans="1:9" ht="15.75" customHeight="1">
      <c r="A43" s="28">
        <v>46359.506944444445</v>
      </c>
      <c r="B43" s="29">
        <v>843</v>
      </c>
      <c r="C43" s="29">
        <v>8344</v>
      </c>
      <c r="D43" s="6">
        <f t="shared" si="0"/>
        <v>371.18458875350592</v>
      </c>
      <c r="E43" s="7">
        <f t="shared" si="1"/>
        <v>402</v>
      </c>
      <c r="F43" s="8">
        <f t="shared" si="2"/>
        <v>30.815411246494079</v>
      </c>
      <c r="G43" s="29">
        <v>32.880000000000003</v>
      </c>
      <c r="H43" s="29">
        <v>3.556</v>
      </c>
      <c r="I43" s="29">
        <v>48.79</v>
      </c>
    </row>
    <row r="44" spans="1:9" ht="15.75" customHeight="1">
      <c r="A44" s="28">
        <v>46359.5</v>
      </c>
      <c r="B44" s="29">
        <v>1046</v>
      </c>
      <c r="C44" s="29">
        <v>7942</v>
      </c>
      <c r="D44" s="6">
        <f t="shared" si="0"/>
        <v>460.05836677496865</v>
      </c>
      <c r="E44" s="7">
        <f t="shared" si="1"/>
        <v>445.64699999999993</v>
      </c>
      <c r="F44" s="8">
        <f t="shared" si="2"/>
        <v>-14.411366774968712</v>
      </c>
      <c r="G44" s="29">
        <v>32.5</v>
      </c>
      <c r="H44" s="29">
        <v>1.222</v>
      </c>
      <c r="I44" s="29">
        <v>49.08</v>
      </c>
    </row>
    <row r="45" spans="1:9" ht="15.75" customHeight="1">
      <c r="A45" s="28">
        <v>46359.493055555555</v>
      </c>
      <c r="B45" s="29">
        <v>1192</v>
      </c>
      <c r="C45" s="29">
        <v>7496.3530000000001</v>
      </c>
      <c r="D45" s="6">
        <f t="shared" si="0"/>
        <v>524.85412786972597</v>
      </c>
      <c r="E45" s="7">
        <f t="shared" si="1"/>
        <v>453</v>
      </c>
      <c r="F45" s="8">
        <f t="shared" si="2"/>
        <v>-71.854127869725971</v>
      </c>
      <c r="G45" s="29">
        <v>31.94</v>
      </c>
      <c r="H45" s="29">
        <v>1.222</v>
      </c>
      <c r="I45" s="29">
        <v>48.79</v>
      </c>
    </row>
    <row r="46" spans="1:9" ht="15.75" customHeight="1">
      <c r="A46" s="28">
        <v>46359.486111111109</v>
      </c>
      <c r="B46" s="29">
        <v>1023</v>
      </c>
      <c r="C46" s="29">
        <v>7043.3530000000001</v>
      </c>
      <c r="D46" s="6">
        <f t="shared" si="0"/>
        <v>450.44108457275985</v>
      </c>
      <c r="E46" s="7">
        <f t="shared" si="1"/>
        <v>355.35300000000007</v>
      </c>
      <c r="F46" s="8">
        <f t="shared" si="2"/>
        <v>-95.088084572759783</v>
      </c>
      <c r="G46" s="29">
        <v>31.75</v>
      </c>
      <c r="H46" s="29">
        <v>3.556</v>
      </c>
      <c r="I46" s="29">
        <v>48.79</v>
      </c>
    </row>
    <row r="47" spans="1:9" ht="15.75" customHeight="1">
      <c r="A47" s="28">
        <v>46359.479166666664</v>
      </c>
      <c r="B47" s="29">
        <v>1005</v>
      </c>
      <c r="C47" s="29">
        <v>6688</v>
      </c>
      <c r="D47" s="6">
        <f t="shared" si="0"/>
        <v>442.51543499083448</v>
      </c>
      <c r="E47" s="7">
        <f t="shared" si="1"/>
        <v>414</v>
      </c>
      <c r="F47" s="8">
        <f t="shared" si="2"/>
        <v>-28.515434990834478</v>
      </c>
      <c r="G47" s="29">
        <v>31.37</v>
      </c>
      <c r="H47" s="29">
        <v>2.556</v>
      </c>
      <c r="I47" s="29">
        <v>48.79</v>
      </c>
    </row>
    <row r="48" spans="1:9" ht="15.75" customHeight="1">
      <c r="A48" s="28">
        <v>46359.472222222219</v>
      </c>
      <c r="B48" s="29">
        <v>969</v>
      </c>
      <c r="C48" s="29">
        <v>6274</v>
      </c>
      <c r="D48" s="6">
        <f t="shared" si="0"/>
        <v>426.66413582698368</v>
      </c>
      <c r="E48" s="7">
        <f t="shared" si="1"/>
        <v>435</v>
      </c>
      <c r="F48" s="8">
        <f t="shared" si="2"/>
        <v>8.3358641730163185</v>
      </c>
      <c r="G48" s="29">
        <v>31.31</v>
      </c>
      <c r="H48" s="29">
        <v>1.444</v>
      </c>
      <c r="I48" s="29">
        <v>48.79</v>
      </c>
    </row>
    <row r="49" spans="1:9" ht="15.75" customHeight="1">
      <c r="A49" s="28">
        <v>46359.465277777781</v>
      </c>
      <c r="B49" s="29">
        <v>1043</v>
      </c>
      <c r="C49" s="29">
        <v>5839</v>
      </c>
      <c r="D49" s="6">
        <f t="shared" si="0"/>
        <v>459.2473618860102</v>
      </c>
      <c r="E49" s="7">
        <f t="shared" si="1"/>
        <v>394</v>
      </c>
      <c r="F49" s="8">
        <f t="shared" si="2"/>
        <v>-65.247361886010196</v>
      </c>
      <c r="G49" s="29">
        <v>31.13</v>
      </c>
      <c r="H49" s="29">
        <v>1.778</v>
      </c>
      <c r="I49" s="29">
        <v>48.79</v>
      </c>
    </row>
    <row r="50" spans="1:9" ht="15.75" customHeight="1">
      <c r="A50" s="28">
        <v>46359.458333333336</v>
      </c>
      <c r="B50" s="29">
        <v>986</v>
      </c>
      <c r="C50" s="29">
        <v>5445</v>
      </c>
      <c r="D50" s="6">
        <f t="shared" si="0"/>
        <v>433.66878550680599</v>
      </c>
      <c r="E50" s="7">
        <f t="shared" si="1"/>
        <v>419</v>
      </c>
      <c r="F50" s="8">
        <f t="shared" si="2"/>
        <v>-14.668785506805989</v>
      </c>
      <c r="G50" s="29">
        <v>30.94</v>
      </c>
      <c r="H50" s="29">
        <v>2.556</v>
      </c>
      <c r="I50" s="29">
        <v>49.08</v>
      </c>
    </row>
    <row r="51" spans="1:9" ht="15.75" customHeight="1">
      <c r="A51" s="28">
        <v>46359.451388888891</v>
      </c>
      <c r="B51" s="29">
        <v>994</v>
      </c>
      <c r="C51" s="29">
        <v>5026</v>
      </c>
      <c r="D51" s="6">
        <f t="shared" si="0"/>
        <v>437.18739634256093</v>
      </c>
      <c r="E51" s="7">
        <f t="shared" si="1"/>
        <v>427</v>
      </c>
      <c r="F51" s="8">
        <f t="shared" si="2"/>
        <v>-10.18739634256093</v>
      </c>
      <c r="G51" s="29">
        <v>30.56</v>
      </c>
      <c r="H51" s="29">
        <v>0.77800000000000002</v>
      </c>
      <c r="I51" s="29">
        <v>49.08</v>
      </c>
    </row>
    <row r="52" spans="1:9" ht="15.75" customHeight="1">
      <c r="A52" s="28">
        <v>46359.444444444445</v>
      </c>
      <c r="B52" s="29">
        <v>954</v>
      </c>
      <c r="C52" s="29">
        <v>4599</v>
      </c>
      <c r="D52" s="6">
        <f t="shared" si="0"/>
        <v>419.59434216378583</v>
      </c>
      <c r="E52" s="7">
        <f t="shared" si="1"/>
        <v>382.64699999999993</v>
      </c>
      <c r="F52" s="8">
        <f t="shared" si="2"/>
        <v>-36.947342163785891</v>
      </c>
      <c r="G52" s="29">
        <v>30.31</v>
      </c>
      <c r="H52" s="29">
        <v>1.778</v>
      </c>
      <c r="I52" s="29">
        <v>49.08</v>
      </c>
    </row>
    <row r="53" spans="1:9" ht="15.75" customHeight="1">
      <c r="A53" s="28">
        <v>46359.4375</v>
      </c>
      <c r="B53" s="29">
        <v>832</v>
      </c>
      <c r="C53" s="29">
        <v>4216.3530000000001</v>
      </c>
      <c r="D53" s="6">
        <f t="shared" si="0"/>
        <v>365.93552691852187</v>
      </c>
      <c r="E53" s="7">
        <f t="shared" si="1"/>
        <v>381</v>
      </c>
      <c r="F53" s="8">
        <f t="shared" si="2"/>
        <v>15.064473081478127</v>
      </c>
      <c r="G53" s="29">
        <v>29.75</v>
      </c>
      <c r="H53" s="29">
        <v>3.222</v>
      </c>
      <c r="I53" s="29">
        <v>49.08</v>
      </c>
    </row>
    <row r="54" spans="1:9" ht="15.75" customHeight="1">
      <c r="A54" s="28">
        <v>46359.430555555555</v>
      </c>
      <c r="B54" s="29">
        <v>772</v>
      </c>
      <c r="C54" s="29">
        <v>3835.3530000000001</v>
      </c>
      <c r="D54" s="6">
        <f t="shared" si="0"/>
        <v>339.18256489342764</v>
      </c>
      <c r="E54" s="7">
        <f t="shared" si="1"/>
        <v>358.35300000000007</v>
      </c>
      <c r="F54" s="8">
        <f t="shared" si="2"/>
        <v>19.170435106572427</v>
      </c>
      <c r="G54" s="29">
        <v>29.94</v>
      </c>
      <c r="H54" s="29">
        <v>3.778</v>
      </c>
      <c r="I54" s="29">
        <v>49.36</v>
      </c>
    </row>
    <row r="55" spans="1:9" ht="15.75" customHeight="1">
      <c r="A55" s="28">
        <v>46359.423611111109</v>
      </c>
      <c r="B55" s="29">
        <v>831</v>
      </c>
      <c r="C55" s="29">
        <v>3477</v>
      </c>
      <c r="D55" s="6">
        <f t="shared" si="0"/>
        <v>365.90082236555565</v>
      </c>
      <c r="E55" s="7">
        <f t="shared" si="1"/>
        <v>361</v>
      </c>
      <c r="F55" s="8">
        <f t="shared" si="2"/>
        <v>-4.9008223655556549</v>
      </c>
      <c r="G55" s="29">
        <v>29.25</v>
      </c>
      <c r="H55" s="29">
        <v>1.778</v>
      </c>
      <c r="I55" s="29">
        <v>48.79</v>
      </c>
    </row>
    <row r="56" spans="1:9" ht="15.75" customHeight="1">
      <c r="A56" s="28">
        <v>46359.416666666664</v>
      </c>
      <c r="B56" s="29">
        <v>763</v>
      </c>
      <c r="C56" s="29">
        <v>3116</v>
      </c>
      <c r="D56" s="6">
        <f t="shared" si="0"/>
        <v>335.22836400736441</v>
      </c>
      <c r="E56" s="7">
        <f t="shared" si="1"/>
        <v>348</v>
      </c>
      <c r="F56" s="8">
        <f t="shared" si="2"/>
        <v>12.771635992635595</v>
      </c>
      <c r="G56" s="29">
        <v>29.13</v>
      </c>
      <c r="H56" s="29">
        <v>3.222</v>
      </c>
      <c r="I56" s="29">
        <v>49.36</v>
      </c>
    </row>
    <row r="57" spans="1:9" ht="15.75" customHeight="1">
      <c r="A57" s="28">
        <v>46359.409722222219</v>
      </c>
      <c r="B57" s="29">
        <v>774</v>
      </c>
      <c r="C57" s="29">
        <v>2768</v>
      </c>
      <c r="D57" s="6">
        <f t="shared" si="0"/>
        <v>340.80293202279199</v>
      </c>
      <c r="E57" s="7">
        <f t="shared" si="1"/>
        <v>224</v>
      </c>
      <c r="F57" s="8">
        <f t="shared" si="2"/>
        <v>-116.80293202279199</v>
      </c>
      <c r="G57" s="29">
        <v>29.06</v>
      </c>
      <c r="H57" s="29">
        <v>2.222</v>
      </c>
      <c r="I57" s="29">
        <v>48.79</v>
      </c>
    </row>
    <row r="58" spans="1:9" ht="15.75" customHeight="1">
      <c r="A58" s="28">
        <v>46359.402777777781</v>
      </c>
      <c r="B58" s="29">
        <v>599</v>
      </c>
      <c r="C58" s="29">
        <v>2544</v>
      </c>
      <c r="D58" s="6">
        <f t="shared" si="0"/>
        <v>262.88201754551767</v>
      </c>
      <c r="E58" s="7">
        <f t="shared" si="1"/>
        <v>321</v>
      </c>
      <c r="F58" s="8">
        <f t="shared" si="2"/>
        <v>58.11798245448233</v>
      </c>
      <c r="G58" s="29">
        <v>28.56</v>
      </c>
      <c r="H58" s="29">
        <v>2.222</v>
      </c>
      <c r="I58" s="29">
        <v>49.65</v>
      </c>
    </row>
    <row r="59" spans="1:9" ht="15.75" customHeight="1">
      <c r="A59" s="28">
        <v>46359.395833333336</v>
      </c>
      <c r="B59" s="29">
        <v>711</v>
      </c>
      <c r="C59" s="29">
        <v>2223</v>
      </c>
      <c r="D59" s="6">
        <f t="shared" si="0"/>
        <v>312.71653802772721</v>
      </c>
      <c r="E59" s="7">
        <f t="shared" si="1"/>
        <v>291</v>
      </c>
      <c r="F59" s="8">
        <f t="shared" si="2"/>
        <v>-21.716538027727211</v>
      </c>
      <c r="G59" s="29">
        <v>28.5</v>
      </c>
      <c r="H59" s="29">
        <v>2.6669999999999998</v>
      </c>
      <c r="I59" s="29">
        <v>49.08</v>
      </c>
    </row>
    <row r="60" spans="1:9" ht="15.75" customHeight="1">
      <c r="A60" s="28">
        <v>46359.388888888891</v>
      </c>
      <c r="B60" s="29">
        <v>625</v>
      </c>
      <c r="C60" s="29">
        <v>1932</v>
      </c>
      <c r="D60" s="6">
        <f t="shared" si="0"/>
        <v>274.59728375439408</v>
      </c>
      <c r="E60" s="7">
        <f t="shared" si="1"/>
        <v>298.64699999999993</v>
      </c>
      <c r="F60" s="8">
        <f t="shared" si="2"/>
        <v>24.04971624560585</v>
      </c>
      <c r="G60" s="29">
        <v>28.56</v>
      </c>
      <c r="H60" s="29">
        <v>2.3330000000000002</v>
      </c>
      <c r="I60" s="29">
        <v>49.36</v>
      </c>
    </row>
    <row r="61" spans="1:9" ht="15.75" customHeight="1">
      <c r="A61" s="28">
        <v>46359.381944444445</v>
      </c>
      <c r="B61" s="29">
        <v>618</v>
      </c>
      <c r="C61" s="29">
        <v>1633.3530000000001</v>
      </c>
      <c r="D61" s="6">
        <f t="shared" si="0"/>
        <v>272.11396897943848</v>
      </c>
      <c r="E61" s="7">
        <f t="shared" si="1"/>
        <v>265.35300000000007</v>
      </c>
      <c r="F61" s="8">
        <f t="shared" si="2"/>
        <v>-6.7609689794384167</v>
      </c>
      <c r="G61" s="29">
        <v>28.44</v>
      </c>
      <c r="H61" s="29">
        <v>4.7779999999999996</v>
      </c>
      <c r="I61" s="29">
        <v>48.79</v>
      </c>
    </row>
    <row r="62" spans="1:9" ht="15.75" customHeight="1">
      <c r="A62" s="28">
        <v>46359.375</v>
      </c>
      <c r="B62" s="29">
        <v>555</v>
      </c>
      <c r="C62" s="29">
        <v>1368</v>
      </c>
      <c r="D62" s="6">
        <f t="shared" si="0"/>
        <v>245.44714033588784</v>
      </c>
      <c r="E62" s="7">
        <f t="shared" si="1"/>
        <v>239.64699999999993</v>
      </c>
      <c r="F62" s="8">
        <f t="shared" si="2"/>
        <v>-5.8001403358879031</v>
      </c>
      <c r="G62" s="29">
        <v>27.13</v>
      </c>
      <c r="H62" s="29">
        <v>1.889</v>
      </c>
      <c r="I62" s="29">
        <v>47.64</v>
      </c>
    </row>
    <row r="63" spans="1:9" ht="15.75" customHeight="1">
      <c r="A63" s="28">
        <v>46359.368055555555</v>
      </c>
      <c r="B63" s="29">
        <v>503</v>
      </c>
      <c r="C63" s="29">
        <v>1128.3530000000001</v>
      </c>
      <c r="D63" s="6">
        <f t="shared" si="0"/>
        <v>222.69550928141587</v>
      </c>
      <c r="E63" s="7">
        <f t="shared" si="1"/>
        <v>218.35300000000007</v>
      </c>
      <c r="F63" s="8">
        <f t="shared" si="2"/>
        <v>-4.3425092814158006</v>
      </c>
      <c r="G63" s="29">
        <v>26.63</v>
      </c>
      <c r="H63" s="29">
        <v>2.556</v>
      </c>
      <c r="I63" s="29">
        <v>47.35</v>
      </c>
    </row>
    <row r="64" spans="1:9" ht="15.75" customHeight="1">
      <c r="A64" s="28">
        <v>46359.361111111109</v>
      </c>
      <c r="B64" s="29">
        <v>456</v>
      </c>
      <c r="C64" s="29">
        <v>910</v>
      </c>
      <c r="D64" s="6">
        <f t="shared" si="0"/>
        <v>201.88698256923587</v>
      </c>
      <c r="E64" s="7">
        <f t="shared" si="1"/>
        <v>194.64700000000005</v>
      </c>
      <c r="F64" s="8">
        <f t="shared" si="2"/>
        <v>-7.2399825692358206</v>
      </c>
      <c r="G64" s="29">
        <v>26.63</v>
      </c>
      <c r="H64" s="29">
        <v>3.3330000000000002</v>
      </c>
      <c r="I64" s="29">
        <v>47.35</v>
      </c>
    </row>
    <row r="65" spans="1:26" ht="15.75" customHeight="1">
      <c r="A65" s="28">
        <v>46359.354166666664</v>
      </c>
      <c r="B65" s="29">
        <v>407</v>
      </c>
      <c r="C65" s="29">
        <v>715.35299999999995</v>
      </c>
      <c r="D65" s="6">
        <f t="shared" si="0"/>
        <v>181.17138797844063</v>
      </c>
      <c r="E65" s="7">
        <f t="shared" si="1"/>
        <v>171.35299999999995</v>
      </c>
      <c r="F65" s="8">
        <f t="shared" si="2"/>
        <v>-9.8183879784406827</v>
      </c>
      <c r="G65" s="29">
        <v>25.75</v>
      </c>
      <c r="H65" s="29">
        <v>0.44400000000000001</v>
      </c>
      <c r="I65" s="29">
        <v>45.92</v>
      </c>
    </row>
    <row r="66" spans="1:26" ht="15.75" customHeight="1">
      <c r="A66" s="28">
        <v>46359.347222222219</v>
      </c>
      <c r="B66" s="29">
        <v>364</v>
      </c>
      <c r="C66" s="29">
        <v>544</v>
      </c>
      <c r="D66" s="6">
        <f t="shared" si="0"/>
        <v>165.54279737620297</v>
      </c>
      <c r="E66" s="7">
        <f t="shared" si="1"/>
        <v>144</v>
      </c>
      <c r="F66" s="8">
        <f t="shared" si="2"/>
        <v>-21.542797376202969</v>
      </c>
      <c r="G66" s="29">
        <v>24.56</v>
      </c>
      <c r="H66" s="29">
        <v>0.44400000000000001</v>
      </c>
      <c r="I66" s="29">
        <v>40.18</v>
      </c>
    </row>
    <row r="67" spans="1:26" ht="15.75" customHeight="1">
      <c r="A67" s="28">
        <v>46359.340277777781</v>
      </c>
      <c r="B67" s="29">
        <v>318</v>
      </c>
      <c r="C67" s="29">
        <v>400</v>
      </c>
      <c r="D67" s="6">
        <f t="shared" si="0"/>
        <v>147.07628164048876</v>
      </c>
      <c r="E67" s="7">
        <f t="shared" si="1"/>
        <v>120.64699999999999</v>
      </c>
      <c r="F67" s="8">
        <f t="shared" si="2"/>
        <v>-26.429281640488767</v>
      </c>
      <c r="G67" s="29">
        <v>23.19</v>
      </c>
      <c r="H67" s="29">
        <v>0.44400000000000001</v>
      </c>
      <c r="I67" s="29">
        <v>35.590000000000003</v>
      </c>
    </row>
    <row r="68" spans="1:26" ht="15.75" customHeight="1">
      <c r="A68" s="28">
        <v>46359.333333333336</v>
      </c>
      <c r="B68" s="29">
        <v>262</v>
      </c>
      <c r="C68" s="29">
        <v>279.35300000000001</v>
      </c>
      <c r="D68" s="6">
        <f t="shared" si="0"/>
        <v>123.57646019345212</v>
      </c>
      <c r="E68" s="7">
        <f t="shared" si="1"/>
        <v>90</v>
      </c>
      <c r="F68" s="8">
        <f t="shared" si="2"/>
        <v>-33.576460193452121</v>
      </c>
      <c r="G68" s="29">
        <v>21.56</v>
      </c>
      <c r="H68" s="29">
        <v>0.44400000000000001</v>
      </c>
      <c r="I68" s="29">
        <v>30.14</v>
      </c>
    </row>
    <row r="69" spans="1:26" ht="15.75" customHeight="1">
      <c r="A69" s="28">
        <v>46359.326388888891</v>
      </c>
      <c r="B69" s="29">
        <v>234</v>
      </c>
      <c r="C69" s="29">
        <v>189.35300000000001</v>
      </c>
      <c r="D69" s="6">
        <f t="shared" si="0"/>
        <v>112.28946656392083</v>
      </c>
      <c r="E69" s="7">
        <f t="shared" si="1"/>
        <v>78.353000000000009</v>
      </c>
      <c r="F69" s="8">
        <f t="shared" si="2"/>
        <v>-33.936466563920817</v>
      </c>
      <c r="G69" s="29">
        <v>19.690000000000001</v>
      </c>
      <c r="H69" s="29">
        <v>0.44400000000000001</v>
      </c>
      <c r="I69" s="29">
        <v>25.26</v>
      </c>
    </row>
    <row r="70" spans="1:26" ht="15.75" customHeight="1">
      <c r="A70" s="28">
        <v>46359.319444444445</v>
      </c>
      <c r="B70" s="29">
        <v>178</v>
      </c>
      <c r="C70" s="29">
        <v>111</v>
      </c>
      <c r="D70" s="6">
        <f t="shared" si="0"/>
        <v>86.877021031062085</v>
      </c>
      <c r="E70" s="7">
        <f t="shared" si="1"/>
        <v>55.646999999999998</v>
      </c>
      <c r="F70" s="8">
        <f t="shared" si="2"/>
        <v>-31.230021031062087</v>
      </c>
      <c r="G70" s="29">
        <v>18.13</v>
      </c>
      <c r="H70" s="29">
        <v>0.44400000000000001</v>
      </c>
      <c r="I70" s="29">
        <v>20.38</v>
      </c>
    </row>
    <row r="71" spans="1:26" ht="15.75" customHeight="1">
      <c r="A71" s="28">
        <v>46359.3125</v>
      </c>
      <c r="B71" s="29">
        <v>126</v>
      </c>
      <c r="C71" s="29">
        <v>55.353000000000002</v>
      </c>
      <c r="D71" s="6">
        <f t="shared" si="0"/>
        <v>61.86153929220356</v>
      </c>
      <c r="E71" s="7">
        <f t="shared" si="1"/>
        <v>33</v>
      </c>
      <c r="F71" s="8">
        <f t="shared" si="2"/>
        <v>-28.86153929220356</v>
      </c>
      <c r="G71" s="29">
        <v>17.440000000000001</v>
      </c>
      <c r="H71" s="29">
        <v>0.55600000000000005</v>
      </c>
      <c r="I71" s="29">
        <v>18.66</v>
      </c>
    </row>
    <row r="72" spans="1:26" ht="15.75" customHeight="1">
      <c r="A72" s="28">
        <v>46359.305555555555</v>
      </c>
      <c r="B72" s="29">
        <v>26</v>
      </c>
      <c r="C72" s="29">
        <v>22.353000000000002</v>
      </c>
      <c r="D72" s="6">
        <f t="shared" si="0"/>
        <v>12.828018912594503</v>
      </c>
      <c r="E72" s="7">
        <f t="shared" si="1"/>
        <v>16.353000000000002</v>
      </c>
      <c r="F72" s="8">
        <f t="shared" si="2"/>
        <v>3.5249810874054983</v>
      </c>
      <c r="G72" s="29">
        <v>17.63</v>
      </c>
      <c r="H72" s="29">
        <v>0.55600000000000005</v>
      </c>
      <c r="I72" s="29">
        <v>17.22</v>
      </c>
    </row>
    <row r="73" spans="1:26" ht="15.75" customHeight="1">
      <c r="A73" s="28">
        <v>46359.298611111109</v>
      </c>
      <c r="B73" s="29">
        <v>13</v>
      </c>
      <c r="C73" s="29">
        <v>6</v>
      </c>
      <c r="D73" s="6">
        <f t="shared" si="0"/>
        <v>6.4264662078186374</v>
      </c>
      <c r="E73" s="7">
        <f t="shared" si="1"/>
        <v>5</v>
      </c>
      <c r="F73" s="8">
        <f t="shared" si="2"/>
        <v>-1.4264662078186374</v>
      </c>
      <c r="G73" s="29">
        <v>17.75</v>
      </c>
      <c r="H73" s="29">
        <v>0.55600000000000005</v>
      </c>
      <c r="I73" s="29">
        <v>16.649999999999999</v>
      </c>
    </row>
    <row r="74" spans="1:26" ht="15.75" customHeight="1">
      <c r="A74" s="28">
        <v>46359.291666666664</v>
      </c>
      <c r="B74" s="29">
        <v>5</v>
      </c>
      <c r="C74" s="29">
        <v>1</v>
      </c>
      <c r="D74" s="6">
        <f t="shared" si="0"/>
        <v>2.4621356556830256</v>
      </c>
      <c r="E74" s="7">
        <f t="shared" si="1"/>
        <v>1</v>
      </c>
      <c r="F74" s="8">
        <f t="shared" si="2"/>
        <v>-1.4621356556830256</v>
      </c>
      <c r="G74" s="29">
        <v>18.940000000000001</v>
      </c>
      <c r="H74" s="29">
        <v>0.44400000000000001</v>
      </c>
      <c r="I74" s="29">
        <v>17.79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7.2690000000000001</v>
      </c>
      <c r="C76" s="11"/>
      <c r="D76" s="16">
        <f>SUM(D2:D75)</f>
        <v>19250.100115731977</v>
      </c>
      <c r="E76" s="15">
        <f>SUM(E1:E74)</f>
        <v>18840.349999999999</v>
      </c>
      <c r="F76" s="11"/>
      <c r="G76" s="17">
        <f t="shared" ref="G76:I76" si="3">AVERAGE(G1:G74)</f>
        <v>30.991917808219181</v>
      </c>
      <c r="H76" s="17">
        <f t="shared" si="3"/>
        <v>1.8813150684931497</v>
      </c>
      <c r="I76" s="17">
        <f t="shared" si="3"/>
        <v>44.890547945205455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9" t="s">
        <v>16</v>
      </c>
      <c r="B2" s="29">
        <v>0</v>
      </c>
      <c r="C2" s="29">
        <v>18288.650000000001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31.87</v>
      </c>
      <c r="H2" s="29">
        <v>1.444</v>
      </c>
      <c r="I2" s="29">
        <v>37.880000000000003</v>
      </c>
    </row>
    <row r="3" spans="1:26" ht="15.75" customHeight="1">
      <c r="A3" s="29" t="s">
        <v>17</v>
      </c>
      <c r="B3" s="29">
        <v>0</v>
      </c>
      <c r="C3" s="29">
        <v>18288.650000000001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29">
        <v>31.69</v>
      </c>
      <c r="H3" s="29">
        <v>1.778</v>
      </c>
      <c r="I3" s="29">
        <v>39.03</v>
      </c>
    </row>
    <row r="4" spans="1:26" ht="15.75" customHeight="1">
      <c r="A4" s="29" t="s">
        <v>18</v>
      </c>
      <c r="B4" s="29">
        <v>4</v>
      </c>
      <c r="C4" s="29">
        <v>18287.650000000001</v>
      </c>
      <c r="D4" s="6">
        <f t="shared" si="0"/>
        <v>1.8133687281241706</v>
      </c>
      <c r="E4" s="7">
        <f t="shared" si="1"/>
        <v>5.6500000000014552</v>
      </c>
      <c r="F4" s="8">
        <f t="shared" si="2"/>
        <v>3.8366312718772848</v>
      </c>
      <c r="G4" s="29">
        <v>32.75</v>
      </c>
      <c r="H4" s="29">
        <v>1.333</v>
      </c>
      <c r="I4" s="29">
        <v>41.04</v>
      </c>
    </row>
    <row r="5" spans="1:26" ht="15.75" customHeight="1">
      <c r="A5" s="29" t="s">
        <v>19</v>
      </c>
      <c r="B5" s="29">
        <v>17</v>
      </c>
      <c r="C5" s="29">
        <v>18282</v>
      </c>
      <c r="D5" s="6">
        <f t="shared" si="0"/>
        <v>7.6739521158174577</v>
      </c>
      <c r="E5" s="7">
        <f t="shared" si="1"/>
        <v>12.349999999998545</v>
      </c>
      <c r="F5" s="8">
        <f t="shared" si="2"/>
        <v>4.6760478841810871</v>
      </c>
      <c r="G5" s="29">
        <v>32.69</v>
      </c>
      <c r="H5" s="29">
        <v>1.778</v>
      </c>
      <c r="I5" s="29">
        <v>42.19</v>
      </c>
    </row>
    <row r="6" spans="1:26" ht="15.75" customHeight="1">
      <c r="A6" s="29" t="s">
        <v>20</v>
      </c>
      <c r="B6" s="29">
        <v>32</v>
      </c>
      <c r="C6" s="29">
        <v>18269.650000000001</v>
      </c>
      <c r="D6" s="6">
        <f t="shared" si="0"/>
        <v>14.352560073343698</v>
      </c>
      <c r="E6" s="7">
        <f t="shared" si="1"/>
        <v>18.650000000001455</v>
      </c>
      <c r="F6" s="8">
        <f t="shared" si="2"/>
        <v>4.2974399266577574</v>
      </c>
      <c r="G6" s="29">
        <v>33.130000000000003</v>
      </c>
      <c r="H6" s="29">
        <v>1</v>
      </c>
      <c r="I6" s="29">
        <v>43.91</v>
      </c>
    </row>
    <row r="7" spans="1:26" ht="15.75" customHeight="1">
      <c r="A7" s="29" t="s">
        <v>21</v>
      </c>
      <c r="B7" s="29">
        <v>50</v>
      </c>
      <c r="C7" s="29">
        <v>18251</v>
      </c>
      <c r="D7" s="6">
        <f t="shared" si="0"/>
        <v>22.256927270078705</v>
      </c>
      <c r="E7" s="7">
        <f t="shared" si="1"/>
        <v>35.349999999998545</v>
      </c>
      <c r="F7" s="8">
        <f t="shared" si="2"/>
        <v>13.09307272991984</v>
      </c>
      <c r="G7" s="29">
        <v>33.56</v>
      </c>
      <c r="H7" s="29">
        <v>1.444</v>
      </c>
      <c r="I7" s="29">
        <v>45.92</v>
      </c>
    </row>
    <row r="8" spans="1:26" ht="15.75" customHeight="1">
      <c r="A8" s="29" t="s">
        <v>22</v>
      </c>
      <c r="B8" s="29">
        <v>69</v>
      </c>
      <c r="C8" s="29">
        <v>18215.650000000001</v>
      </c>
      <c r="D8" s="6">
        <f t="shared" si="0"/>
        <v>30.548688151923848</v>
      </c>
      <c r="E8" s="7">
        <f t="shared" si="1"/>
        <v>47</v>
      </c>
      <c r="F8" s="8">
        <f t="shared" si="2"/>
        <v>16.451311848076152</v>
      </c>
      <c r="G8" s="29">
        <v>33.81</v>
      </c>
      <c r="H8" s="29">
        <v>2.6669999999999998</v>
      </c>
      <c r="I8" s="29">
        <v>47.35</v>
      </c>
    </row>
    <row r="9" spans="1:26" ht="15.75" customHeight="1">
      <c r="A9" s="29" t="s">
        <v>23</v>
      </c>
      <c r="B9" s="29">
        <v>127</v>
      </c>
      <c r="C9" s="29">
        <v>18168.650000000001</v>
      </c>
      <c r="D9" s="6">
        <f t="shared" si="0"/>
        <v>56.103467740917033</v>
      </c>
      <c r="E9" s="7">
        <f t="shared" si="1"/>
        <v>65</v>
      </c>
      <c r="F9" s="8">
        <f t="shared" si="2"/>
        <v>8.8965322590829672</v>
      </c>
      <c r="G9" s="29">
        <v>34.19</v>
      </c>
      <c r="H9" s="29">
        <v>1.111</v>
      </c>
      <c r="I9" s="29">
        <v>47.93</v>
      </c>
    </row>
    <row r="10" spans="1:26" ht="15.75" customHeight="1">
      <c r="A10" s="29" t="s">
        <v>24</v>
      </c>
      <c r="B10" s="29">
        <v>171</v>
      </c>
      <c r="C10" s="29">
        <v>18103.650000000001</v>
      </c>
      <c r="D10" s="6">
        <f t="shared" si="0"/>
        <v>75.540889635407993</v>
      </c>
      <c r="E10" s="7">
        <f t="shared" si="1"/>
        <v>82.650000000001455</v>
      </c>
      <c r="F10" s="8">
        <f t="shared" si="2"/>
        <v>7.1091103645934624</v>
      </c>
      <c r="G10" s="29">
        <v>34.380000000000003</v>
      </c>
      <c r="H10" s="29">
        <v>1.333</v>
      </c>
      <c r="I10" s="29">
        <v>47.93</v>
      </c>
    </row>
    <row r="11" spans="1:26" ht="15.75" customHeight="1">
      <c r="A11" s="29" t="s">
        <v>25</v>
      </c>
      <c r="B11" s="29">
        <v>217</v>
      </c>
      <c r="C11" s="29">
        <v>18021</v>
      </c>
      <c r="D11" s="6">
        <f t="shared" si="0"/>
        <v>95.861830706921239</v>
      </c>
      <c r="E11" s="7">
        <f t="shared" si="1"/>
        <v>103.34999999999854</v>
      </c>
      <c r="F11" s="8">
        <f t="shared" si="2"/>
        <v>7.4881692930773056</v>
      </c>
      <c r="G11" s="29">
        <v>34.880000000000003</v>
      </c>
      <c r="H11" s="29">
        <v>2.556</v>
      </c>
      <c r="I11" s="29">
        <v>47.93</v>
      </c>
    </row>
    <row r="12" spans="1:26" ht="15.75" customHeight="1">
      <c r="A12" s="29" t="s">
        <v>26</v>
      </c>
      <c r="B12" s="29">
        <v>265</v>
      </c>
      <c r="C12" s="29">
        <v>17917.650000000001</v>
      </c>
      <c r="D12" s="6">
        <f t="shared" si="0"/>
        <v>117.06629095545682</v>
      </c>
      <c r="E12" s="7">
        <f t="shared" si="1"/>
        <v>125</v>
      </c>
      <c r="F12" s="8">
        <f t="shared" si="2"/>
        <v>7.9337090445431784</v>
      </c>
      <c r="G12" s="29">
        <v>35.119999999999997</v>
      </c>
      <c r="H12" s="29">
        <v>2.222</v>
      </c>
      <c r="I12" s="29">
        <v>47.93</v>
      </c>
    </row>
    <row r="13" spans="1:26" ht="15.75" customHeight="1">
      <c r="A13" s="29" t="s">
        <v>27</v>
      </c>
      <c r="B13" s="29">
        <v>309</v>
      </c>
      <c r="C13" s="29">
        <v>17792.650000000001</v>
      </c>
      <c r="D13" s="6">
        <f t="shared" si="0"/>
        <v>136.50371284994776</v>
      </c>
      <c r="E13" s="7">
        <f t="shared" si="1"/>
        <v>144</v>
      </c>
      <c r="F13" s="8">
        <f t="shared" si="2"/>
        <v>7.4962871500522397</v>
      </c>
      <c r="G13" s="29">
        <v>34.75</v>
      </c>
      <c r="H13" s="29">
        <v>3.6669999999999998</v>
      </c>
      <c r="I13" s="29">
        <v>47.93</v>
      </c>
    </row>
    <row r="14" spans="1:26" ht="15.75" customHeight="1">
      <c r="A14" s="29" t="s">
        <v>28</v>
      </c>
      <c r="B14" s="29">
        <v>350</v>
      </c>
      <c r="C14" s="29">
        <v>17648.650000000001</v>
      </c>
      <c r="D14" s="6">
        <f t="shared" si="0"/>
        <v>154.44522706130459</v>
      </c>
      <c r="E14" s="7">
        <f t="shared" si="1"/>
        <v>164</v>
      </c>
      <c r="F14" s="8">
        <f t="shared" si="2"/>
        <v>9.5547729386954074</v>
      </c>
      <c r="G14" s="29">
        <v>35.380000000000003</v>
      </c>
      <c r="H14" s="29">
        <v>4</v>
      </c>
      <c r="I14" s="29">
        <v>48.22</v>
      </c>
    </row>
    <row r="15" spans="1:26" ht="15.75" customHeight="1">
      <c r="A15" s="29" t="s">
        <v>29</v>
      </c>
      <c r="B15" s="29">
        <v>394</v>
      </c>
      <c r="C15" s="29">
        <v>17484.650000000001</v>
      </c>
      <c r="D15" s="6">
        <f t="shared" si="0"/>
        <v>173.86119846329717</v>
      </c>
      <c r="E15" s="7">
        <f t="shared" si="1"/>
        <v>181</v>
      </c>
      <c r="F15" s="8">
        <f t="shared" si="2"/>
        <v>7.1388015367028288</v>
      </c>
      <c r="G15" s="29">
        <v>35.380000000000003</v>
      </c>
      <c r="H15" s="29">
        <v>1.889</v>
      </c>
      <c r="I15" s="29">
        <v>48.22</v>
      </c>
    </row>
    <row r="16" spans="1:26" ht="15.75" customHeight="1">
      <c r="A16" s="29" t="s">
        <v>30</v>
      </c>
      <c r="B16" s="29">
        <v>433</v>
      </c>
      <c r="C16" s="29">
        <v>17303.650000000001</v>
      </c>
      <c r="D16" s="6">
        <f t="shared" si="0"/>
        <v>190.8669961785036</v>
      </c>
      <c r="E16" s="7">
        <f t="shared" si="1"/>
        <v>203.65000000000146</v>
      </c>
      <c r="F16" s="8">
        <f t="shared" si="2"/>
        <v>12.783003821497857</v>
      </c>
      <c r="G16" s="29">
        <v>35.75</v>
      </c>
      <c r="H16" s="29">
        <v>4.556</v>
      </c>
      <c r="I16" s="29">
        <v>48.5</v>
      </c>
    </row>
    <row r="17" spans="1:9" ht="15.75" customHeight="1">
      <c r="A17" s="29" t="s">
        <v>31</v>
      </c>
      <c r="B17" s="29">
        <v>478</v>
      </c>
      <c r="C17" s="29">
        <v>17100</v>
      </c>
      <c r="D17" s="6">
        <f t="shared" si="0"/>
        <v>210.70305813700861</v>
      </c>
      <c r="E17" s="7">
        <f t="shared" si="1"/>
        <v>221.34999999999854</v>
      </c>
      <c r="F17" s="8">
        <f t="shared" si="2"/>
        <v>10.646941862989934</v>
      </c>
      <c r="G17" s="29">
        <v>35.56</v>
      </c>
      <c r="H17" s="29">
        <v>3.444</v>
      </c>
      <c r="I17" s="29">
        <v>48.5</v>
      </c>
    </row>
    <row r="18" spans="1:9" ht="15.75" customHeight="1">
      <c r="A18" s="29" t="s">
        <v>32</v>
      </c>
      <c r="B18" s="29">
        <v>519</v>
      </c>
      <c r="C18" s="29">
        <v>16878.650000000001</v>
      </c>
      <c r="D18" s="6">
        <f t="shared" si="0"/>
        <v>228.77591458809093</v>
      </c>
      <c r="E18" s="7">
        <f t="shared" si="1"/>
        <v>244</v>
      </c>
      <c r="F18" s="8">
        <f t="shared" si="2"/>
        <v>15.224085411909073</v>
      </c>
      <c r="G18" s="29">
        <v>35.56</v>
      </c>
      <c r="H18" s="29">
        <v>3.8889999999999998</v>
      </c>
      <c r="I18" s="29">
        <v>48.5</v>
      </c>
    </row>
    <row r="19" spans="1:9" ht="15.75" customHeight="1">
      <c r="A19" s="29" t="s">
        <v>33</v>
      </c>
      <c r="B19" s="29">
        <v>581</v>
      </c>
      <c r="C19" s="29">
        <v>16634.650000000001</v>
      </c>
      <c r="D19" s="6">
        <f t="shared" si="0"/>
        <v>256.1055999531423</v>
      </c>
      <c r="E19" s="7">
        <f t="shared" si="1"/>
        <v>274.65000000000146</v>
      </c>
      <c r="F19" s="8">
        <f t="shared" si="2"/>
        <v>18.544400046859153</v>
      </c>
      <c r="G19" s="29">
        <v>36</v>
      </c>
      <c r="H19" s="29">
        <v>5</v>
      </c>
      <c r="I19" s="29">
        <v>48.5</v>
      </c>
    </row>
    <row r="20" spans="1:9" ht="15.75" customHeight="1">
      <c r="A20" s="29" t="s">
        <v>34</v>
      </c>
      <c r="B20" s="29">
        <v>651</v>
      </c>
      <c r="C20" s="29">
        <v>16360</v>
      </c>
      <c r="D20" s="6">
        <f t="shared" si="0"/>
        <v>286.32695675956455</v>
      </c>
      <c r="E20" s="7">
        <f t="shared" si="1"/>
        <v>287.35000000000036</v>
      </c>
      <c r="F20" s="8">
        <f t="shared" si="2"/>
        <v>1.0230432404358112</v>
      </c>
      <c r="G20" s="29">
        <v>35.880000000000003</v>
      </c>
      <c r="H20" s="29">
        <v>3.3330000000000002</v>
      </c>
      <c r="I20" s="29">
        <v>49.08</v>
      </c>
    </row>
    <row r="21" spans="1:9" ht="15.75" customHeight="1">
      <c r="A21" s="29" t="s">
        <v>35</v>
      </c>
      <c r="B21" s="29">
        <v>677</v>
      </c>
      <c r="C21" s="29">
        <v>16072.65</v>
      </c>
      <c r="D21" s="6">
        <f t="shared" si="0"/>
        <v>298.09248705352729</v>
      </c>
      <c r="E21" s="7">
        <f t="shared" si="1"/>
        <v>307.64999999999964</v>
      </c>
      <c r="F21" s="8">
        <f t="shared" si="2"/>
        <v>9.5575129464723432</v>
      </c>
      <c r="G21" s="29">
        <v>35.56</v>
      </c>
      <c r="H21" s="29">
        <v>2.3330000000000002</v>
      </c>
      <c r="I21" s="29">
        <v>48.79</v>
      </c>
    </row>
    <row r="22" spans="1:9" ht="15.75" customHeight="1">
      <c r="A22" s="29" t="s">
        <v>36</v>
      </c>
      <c r="B22" s="29">
        <v>704</v>
      </c>
      <c r="C22" s="29">
        <v>15765</v>
      </c>
      <c r="D22" s="6">
        <f t="shared" si="0"/>
        <v>309.98096142641538</v>
      </c>
      <c r="E22" s="7">
        <f t="shared" si="1"/>
        <v>320.35000000000036</v>
      </c>
      <c r="F22" s="8">
        <f t="shared" si="2"/>
        <v>10.369038573584987</v>
      </c>
      <c r="G22" s="29">
        <v>35.75</v>
      </c>
      <c r="H22" s="29">
        <v>3.3330000000000002</v>
      </c>
      <c r="I22" s="29">
        <v>48.79</v>
      </c>
    </row>
    <row r="23" spans="1:9" ht="15.75" customHeight="1">
      <c r="A23" s="29" t="s">
        <v>37</v>
      </c>
      <c r="B23" s="29">
        <v>772</v>
      </c>
      <c r="C23" s="29">
        <v>15444.65</v>
      </c>
      <c r="D23" s="6">
        <f t="shared" si="0"/>
        <v>339.9223042914669</v>
      </c>
      <c r="E23" s="7">
        <f t="shared" si="1"/>
        <v>331</v>
      </c>
      <c r="F23" s="8">
        <f t="shared" si="2"/>
        <v>-8.9223042914669008</v>
      </c>
      <c r="G23" s="29">
        <v>35.619999999999997</v>
      </c>
      <c r="H23" s="29">
        <v>5.444</v>
      </c>
      <c r="I23" s="29">
        <v>48.79</v>
      </c>
    </row>
    <row r="24" spans="1:9" ht="15.75" customHeight="1">
      <c r="A24" s="29" t="s">
        <v>38</v>
      </c>
      <c r="B24" s="29">
        <v>614</v>
      </c>
      <c r="C24" s="29">
        <v>15113.65</v>
      </c>
      <c r="D24" s="6">
        <f t="shared" si="0"/>
        <v>270.35271351678841</v>
      </c>
      <c r="E24" s="7">
        <f t="shared" si="1"/>
        <v>327</v>
      </c>
      <c r="F24" s="8">
        <f t="shared" si="2"/>
        <v>56.647286483211587</v>
      </c>
      <c r="G24" s="29">
        <v>36.19</v>
      </c>
      <c r="H24" s="29">
        <v>2.556</v>
      </c>
      <c r="I24" s="29">
        <v>48.79</v>
      </c>
    </row>
    <row r="25" spans="1:9" ht="15.75" customHeight="1">
      <c r="A25" s="29" t="s">
        <v>39</v>
      </c>
      <c r="B25" s="29">
        <v>741</v>
      </c>
      <c r="C25" s="29">
        <v>14786.65</v>
      </c>
      <c r="D25" s="6">
        <f t="shared" si="0"/>
        <v>325.91132866180857</v>
      </c>
      <c r="E25" s="7">
        <f t="shared" si="1"/>
        <v>335.64999999999964</v>
      </c>
      <c r="F25" s="8">
        <f t="shared" si="2"/>
        <v>9.7386713381910681</v>
      </c>
      <c r="G25" s="29">
        <v>35.44</v>
      </c>
      <c r="H25" s="29">
        <v>5.556</v>
      </c>
      <c r="I25" s="29">
        <v>49.08</v>
      </c>
    </row>
    <row r="26" spans="1:9" ht="15.75" customHeight="1">
      <c r="A26" s="29" t="s">
        <v>40</v>
      </c>
      <c r="B26" s="29">
        <v>839</v>
      </c>
      <c r="C26" s="29">
        <v>14451</v>
      </c>
      <c r="D26" s="6">
        <f t="shared" si="0"/>
        <v>369.83235518190418</v>
      </c>
      <c r="E26" s="7">
        <f t="shared" si="1"/>
        <v>373</v>
      </c>
      <c r="F26" s="8">
        <f t="shared" si="2"/>
        <v>3.1676448180958232</v>
      </c>
      <c r="G26" s="29">
        <v>35.94</v>
      </c>
      <c r="H26" s="29">
        <v>4.556</v>
      </c>
      <c r="I26" s="29">
        <v>48.5</v>
      </c>
    </row>
    <row r="27" spans="1:9" ht="15.75" customHeight="1">
      <c r="A27" s="29" t="s">
        <v>41</v>
      </c>
      <c r="B27" s="29">
        <v>890</v>
      </c>
      <c r="C27" s="29">
        <v>14078</v>
      </c>
      <c r="D27" s="6">
        <f t="shared" si="0"/>
        <v>391.87934043964447</v>
      </c>
      <c r="E27" s="7">
        <f t="shared" si="1"/>
        <v>380.35000000000036</v>
      </c>
      <c r="F27" s="8">
        <f t="shared" si="2"/>
        <v>-11.529340439644102</v>
      </c>
      <c r="G27" s="29">
        <v>35.81</v>
      </c>
      <c r="H27" s="29">
        <v>3.556</v>
      </c>
      <c r="I27" s="29">
        <v>48.79</v>
      </c>
    </row>
    <row r="28" spans="1:9" ht="15.75" customHeight="1">
      <c r="A28" s="29" t="s">
        <v>42</v>
      </c>
      <c r="B28" s="29">
        <v>919</v>
      </c>
      <c r="C28" s="29">
        <v>13697.65</v>
      </c>
      <c r="D28" s="6">
        <f t="shared" si="0"/>
        <v>404.64844254385758</v>
      </c>
      <c r="E28" s="7">
        <f t="shared" si="1"/>
        <v>382</v>
      </c>
      <c r="F28" s="8">
        <f t="shared" si="2"/>
        <v>-22.648442543857584</v>
      </c>
      <c r="G28" s="29">
        <v>35.619999999999997</v>
      </c>
      <c r="H28" s="29">
        <v>0.44400000000000001</v>
      </c>
      <c r="I28" s="29">
        <v>48.79</v>
      </c>
    </row>
    <row r="29" spans="1:9" ht="15.75" customHeight="1">
      <c r="A29" s="29" t="s">
        <v>43</v>
      </c>
      <c r="B29" s="29">
        <v>954</v>
      </c>
      <c r="C29" s="29">
        <v>13315.65</v>
      </c>
      <c r="D29" s="6">
        <f t="shared" si="0"/>
        <v>419.59434216378583</v>
      </c>
      <c r="E29" s="7">
        <f t="shared" si="1"/>
        <v>412.64999999999964</v>
      </c>
      <c r="F29" s="8">
        <f t="shared" si="2"/>
        <v>-6.9443421637861888</v>
      </c>
      <c r="G29" s="29">
        <v>35.81</v>
      </c>
      <c r="H29" s="29">
        <v>5.1109999999999998</v>
      </c>
      <c r="I29" s="29">
        <v>49.08</v>
      </c>
    </row>
    <row r="30" spans="1:9" ht="15.75" customHeight="1">
      <c r="A30" s="29" t="s">
        <v>44</v>
      </c>
      <c r="B30" s="29">
        <v>1008</v>
      </c>
      <c r="C30" s="29">
        <v>12903</v>
      </c>
      <c r="D30" s="6">
        <f t="shared" si="0"/>
        <v>443.83637658782203</v>
      </c>
      <c r="E30" s="7">
        <f t="shared" si="1"/>
        <v>409.35000000000036</v>
      </c>
      <c r="F30" s="8">
        <f t="shared" si="2"/>
        <v>-34.486376587821667</v>
      </c>
      <c r="G30" s="29">
        <v>35.25</v>
      </c>
      <c r="H30" s="29">
        <v>3.1110000000000002</v>
      </c>
      <c r="I30" s="29">
        <v>48.79</v>
      </c>
    </row>
    <row r="31" spans="1:9" ht="15.75" customHeight="1">
      <c r="A31" s="29" t="s">
        <v>45</v>
      </c>
      <c r="B31" s="29">
        <v>1005</v>
      </c>
      <c r="C31" s="29">
        <v>12493.65</v>
      </c>
      <c r="D31" s="6">
        <f t="shared" si="0"/>
        <v>442.51543499083448</v>
      </c>
      <c r="E31" s="7">
        <f t="shared" si="1"/>
        <v>424</v>
      </c>
      <c r="F31" s="8">
        <f t="shared" si="2"/>
        <v>-18.515434990834478</v>
      </c>
      <c r="G31" s="29">
        <v>35.94</v>
      </c>
      <c r="H31" s="29">
        <v>4.3330000000000002</v>
      </c>
      <c r="I31" s="29">
        <v>48.79</v>
      </c>
    </row>
    <row r="32" spans="1:9" ht="15.75" customHeight="1">
      <c r="A32" s="29" t="s">
        <v>46</v>
      </c>
      <c r="B32" s="29">
        <v>1022</v>
      </c>
      <c r="C32" s="29">
        <v>12069.65</v>
      </c>
      <c r="D32" s="6">
        <f t="shared" si="0"/>
        <v>450.49900714649118</v>
      </c>
      <c r="E32" s="7">
        <f t="shared" si="1"/>
        <v>401</v>
      </c>
      <c r="F32" s="8">
        <f t="shared" si="2"/>
        <v>-49.499007146491181</v>
      </c>
      <c r="G32" s="29">
        <v>35.5</v>
      </c>
      <c r="H32" s="29">
        <v>2.1110000000000002</v>
      </c>
      <c r="I32" s="29">
        <v>48.5</v>
      </c>
    </row>
    <row r="33" spans="1:9" ht="15.75" customHeight="1">
      <c r="A33" s="29" t="s">
        <v>47</v>
      </c>
      <c r="B33" s="29">
        <v>1021</v>
      </c>
      <c r="C33" s="29">
        <v>11668.65</v>
      </c>
      <c r="D33" s="6">
        <f t="shared" si="0"/>
        <v>449.56045684143487</v>
      </c>
      <c r="E33" s="7">
        <f t="shared" si="1"/>
        <v>420</v>
      </c>
      <c r="F33" s="8">
        <f t="shared" si="2"/>
        <v>-29.560456841434871</v>
      </c>
      <c r="G33" s="29">
        <v>35.81</v>
      </c>
      <c r="H33" s="29">
        <v>3.222</v>
      </c>
      <c r="I33" s="29">
        <v>48.79</v>
      </c>
    </row>
    <row r="34" spans="1:9" ht="15.75" customHeight="1">
      <c r="A34" s="29" t="s">
        <v>48</v>
      </c>
      <c r="B34" s="29">
        <v>1057</v>
      </c>
      <c r="C34" s="29">
        <v>11248.65</v>
      </c>
      <c r="D34" s="6">
        <f t="shared" si="0"/>
        <v>465.92705533643942</v>
      </c>
      <c r="E34" s="7">
        <f t="shared" si="1"/>
        <v>429.64999999999964</v>
      </c>
      <c r="F34" s="8">
        <f t="shared" si="2"/>
        <v>-36.277055336439787</v>
      </c>
      <c r="G34" s="29">
        <v>35.56</v>
      </c>
      <c r="H34" s="29">
        <v>2.222</v>
      </c>
      <c r="I34" s="29">
        <v>48.5</v>
      </c>
    </row>
    <row r="35" spans="1:9" ht="15.75" customHeight="1">
      <c r="A35" s="29" t="s">
        <v>49</v>
      </c>
      <c r="B35" s="29">
        <v>1050</v>
      </c>
      <c r="C35" s="29">
        <v>10819</v>
      </c>
      <c r="D35" s="6">
        <f t="shared" si="0"/>
        <v>462.84144569844983</v>
      </c>
      <c r="E35" s="7">
        <f t="shared" si="1"/>
        <v>431</v>
      </c>
      <c r="F35" s="8">
        <f t="shared" si="2"/>
        <v>-31.841445698449832</v>
      </c>
      <c r="G35" s="29">
        <v>35.44</v>
      </c>
      <c r="H35" s="29">
        <v>3</v>
      </c>
      <c r="I35" s="29">
        <v>48.5</v>
      </c>
    </row>
    <row r="36" spans="1:9" ht="15.75" customHeight="1">
      <c r="A36" s="29" t="s">
        <v>50</v>
      </c>
      <c r="B36" s="29">
        <v>1053</v>
      </c>
      <c r="C36" s="29">
        <v>10388</v>
      </c>
      <c r="D36" s="6">
        <f t="shared" si="0"/>
        <v>464.16384982901678</v>
      </c>
      <c r="E36" s="7">
        <f t="shared" si="1"/>
        <v>433.35299999999916</v>
      </c>
      <c r="F36" s="8">
        <f t="shared" si="2"/>
        <v>-30.810849829017627</v>
      </c>
      <c r="G36" s="29">
        <v>35.56</v>
      </c>
      <c r="H36" s="29">
        <v>1.444</v>
      </c>
      <c r="I36" s="29">
        <v>48.5</v>
      </c>
    </row>
    <row r="37" spans="1:9" ht="15.75" customHeight="1">
      <c r="A37" s="29" t="s">
        <v>51</v>
      </c>
      <c r="B37" s="29">
        <v>1032</v>
      </c>
      <c r="C37" s="29">
        <v>9954.6470000000008</v>
      </c>
      <c r="D37" s="6">
        <f t="shared" si="0"/>
        <v>454.40390936372256</v>
      </c>
      <c r="E37" s="7">
        <f t="shared" si="1"/>
        <v>426</v>
      </c>
      <c r="F37" s="8">
        <f t="shared" si="2"/>
        <v>-28.403909363722562</v>
      </c>
      <c r="G37" s="29">
        <v>35.06</v>
      </c>
      <c r="H37" s="29">
        <v>3.1110000000000002</v>
      </c>
      <c r="I37" s="29">
        <v>48.79</v>
      </c>
    </row>
    <row r="38" spans="1:9" ht="15.75" customHeight="1">
      <c r="A38" s="29" t="s">
        <v>52</v>
      </c>
      <c r="B38" s="29">
        <v>1050</v>
      </c>
      <c r="C38" s="29">
        <v>9528.6470000000008</v>
      </c>
      <c r="D38" s="6">
        <f t="shared" si="0"/>
        <v>462.84144569844983</v>
      </c>
      <c r="E38" s="7">
        <f t="shared" si="1"/>
        <v>435</v>
      </c>
      <c r="F38" s="8">
        <f t="shared" si="2"/>
        <v>-27.841445698449832</v>
      </c>
      <c r="G38" s="29">
        <v>35.56</v>
      </c>
      <c r="H38" s="29">
        <v>3.1110000000000002</v>
      </c>
      <c r="I38" s="29">
        <v>48.5</v>
      </c>
    </row>
    <row r="39" spans="1:9" ht="15.75" customHeight="1">
      <c r="A39" s="29" t="s">
        <v>53</v>
      </c>
      <c r="B39" s="29">
        <v>1044</v>
      </c>
      <c r="C39" s="29">
        <v>9093.6470000000008</v>
      </c>
      <c r="D39" s="6">
        <f t="shared" si="0"/>
        <v>460.19663743731581</v>
      </c>
      <c r="E39" s="7">
        <f t="shared" si="1"/>
        <v>430.64700000000084</v>
      </c>
      <c r="F39" s="8">
        <f t="shared" si="2"/>
        <v>-29.549637437314971</v>
      </c>
      <c r="G39" s="29">
        <v>35</v>
      </c>
      <c r="H39" s="29">
        <v>4</v>
      </c>
      <c r="I39" s="29">
        <v>48.5</v>
      </c>
    </row>
    <row r="40" spans="1:9" ht="15.75" customHeight="1">
      <c r="A40" s="29" t="s">
        <v>54</v>
      </c>
      <c r="B40" s="29">
        <v>1035</v>
      </c>
      <c r="C40" s="29">
        <v>8663</v>
      </c>
      <c r="D40" s="6">
        <f t="shared" si="0"/>
        <v>456.22942504561479</v>
      </c>
      <c r="E40" s="7">
        <f t="shared" si="1"/>
        <v>425</v>
      </c>
      <c r="F40" s="8">
        <f t="shared" si="2"/>
        <v>-31.229425045614789</v>
      </c>
      <c r="G40" s="29">
        <v>34.880000000000003</v>
      </c>
      <c r="H40" s="29">
        <v>0.77800000000000002</v>
      </c>
      <c r="I40" s="29">
        <v>48.5</v>
      </c>
    </row>
    <row r="41" spans="1:9" ht="15.75" customHeight="1">
      <c r="A41" s="29" t="s">
        <v>55</v>
      </c>
      <c r="B41" s="29">
        <v>994</v>
      </c>
      <c r="C41" s="29">
        <v>8238</v>
      </c>
      <c r="D41" s="6">
        <f t="shared" si="0"/>
        <v>438.15656859453247</v>
      </c>
      <c r="E41" s="7">
        <f t="shared" si="1"/>
        <v>424.35300000000007</v>
      </c>
      <c r="F41" s="8">
        <f t="shared" si="2"/>
        <v>-13.803568594532408</v>
      </c>
      <c r="G41" s="29">
        <v>34.56</v>
      </c>
      <c r="H41" s="29">
        <v>2.778</v>
      </c>
      <c r="I41" s="29">
        <v>48.5</v>
      </c>
    </row>
    <row r="42" spans="1:9" ht="15.75" customHeight="1">
      <c r="A42" s="29" t="s">
        <v>56</v>
      </c>
      <c r="B42" s="29">
        <v>1026</v>
      </c>
      <c r="C42" s="29">
        <v>7813.6469999999999</v>
      </c>
      <c r="D42" s="6">
        <f t="shared" si="0"/>
        <v>451.76202616974746</v>
      </c>
      <c r="E42" s="7">
        <f t="shared" si="1"/>
        <v>402</v>
      </c>
      <c r="F42" s="8">
        <f t="shared" si="2"/>
        <v>-49.762026169747458</v>
      </c>
      <c r="G42" s="29">
        <v>34.130000000000003</v>
      </c>
      <c r="H42" s="29">
        <v>0.44400000000000001</v>
      </c>
      <c r="I42" s="29">
        <v>48.79</v>
      </c>
    </row>
    <row r="43" spans="1:9" ht="15.75" customHeight="1">
      <c r="A43" s="29" t="s">
        <v>57</v>
      </c>
      <c r="B43" s="29">
        <v>443</v>
      </c>
      <c r="C43" s="29">
        <v>7411.6469999999999</v>
      </c>
      <c r="D43" s="6">
        <f t="shared" si="0"/>
        <v>195.27500994706025</v>
      </c>
      <c r="E43" s="7">
        <f t="shared" si="1"/>
        <v>251.64699999999993</v>
      </c>
      <c r="F43" s="8">
        <f t="shared" si="2"/>
        <v>56.37199005293968</v>
      </c>
      <c r="G43" s="29">
        <v>33.880000000000003</v>
      </c>
      <c r="H43" s="29">
        <v>2</v>
      </c>
      <c r="I43" s="29">
        <v>48.5</v>
      </c>
    </row>
    <row r="44" spans="1:9" ht="15.75" customHeight="1">
      <c r="A44" s="29" t="s">
        <v>58</v>
      </c>
      <c r="B44" s="29">
        <v>1134</v>
      </c>
      <c r="C44" s="29">
        <v>7160</v>
      </c>
      <c r="D44" s="6">
        <f t="shared" si="0"/>
        <v>499.86876135432578</v>
      </c>
      <c r="E44" s="7">
        <f t="shared" si="1"/>
        <v>322.35300000000007</v>
      </c>
      <c r="F44" s="8">
        <f t="shared" si="2"/>
        <v>-177.51576135432572</v>
      </c>
      <c r="G44" s="29">
        <v>33.75</v>
      </c>
      <c r="H44" s="29">
        <v>1.333</v>
      </c>
      <c r="I44" s="29">
        <v>48.5</v>
      </c>
    </row>
    <row r="45" spans="1:9" ht="15.75" customHeight="1">
      <c r="A45" s="29" t="s">
        <v>59</v>
      </c>
      <c r="B45" s="29">
        <v>942</v>
      </c>
      <c r="C45" s="29">
        <v>6837.6469999999999</v>
      </c>
      <c r="D45" s="6">
        <f t="shared" si="0"/>
        <v>415.23489699803781</v>
      </c>
      <c r="E45" s="7">
        <f t="shared" si="1"/>
        <v>414</v>
      </c>
      <c r="F45" s="8">
        <f t="shared" si="2"/>
        <v>-1.2348969980378115</v>
      </c>
      <c r="G45" s="29">
        <v>34.56</v>
      </c>
      <c r="H45" s="29">
        <v>4.6669999999999998</v>
      </c>
      <c r="I45" s="29">
        <v>48.5</v>
      </c>
    </row>
    <row r="46" spans="1:9" ht="15.75" customHeight="1">
      <c r="A46" s="29" t="s">
        <v>60</v>
      </c>
      <c r="B46" s="29">
        <v>970</v>
      </c>
      <c r="C46" s="29">
        <v>6423.6469999999999</v>
      </c>
      <c r="D46" s="6">
        <f t="shared" si="0"/>
        <v>428.03391499847265</v>
      </c>
      <c r="E46" s="7">
        <f t="shared" si="1"/>
        <v>405.64699999999993</v>
      </c>
      <c r="F46" s="8">
        <f t="shared" si="2"/>
        <v>-22.386914998472719</v>
      </c>
      <c r="G46" s="29">
        <v>34.25</v>
      </c>
      <c r="H46" s="29">
        <v>1.333</v>
      </c>
      <c r="I46" s="29">
        <v>48.22</v>
      </c>
    </row>
    <row r="47" spans="1:9" ht="15.75" customHeight="1">
      <c r="A47" s="29" t="s">
        <v>61</v>
      </c>
      <c r="B47" s="29">
        <v>956</v>
      </c>
      <c r="C47" s="29">
        <v>6018</v>
      </c>
      <c r="D47" s="6">
        <f t="shared" si="0"/>
        <v>421.40611627401722</v>
      </c>
      <c r="E47" s="7">
        <f t="shared" si="1"/>
        <v>401.35300000000007</v>
      </c>
      <c r="F47" s="8">
        <f t="shared" si="2"/>
        <v>-20.053116274017157</v>
      </c>
      <c r="G47" s="29">
        <v>34</v>
      </c>
      <c r="H47" s="29">
        <v>0.44400000000000001</v>
      </c>
      <c r="I47" s="29">
        <v>48.5</v>
      </c>
    </row>
    <row r="48" spans="1:9" ht="15.75" customHeight="1">
      <c r="A48" s="29" t="s">
        <v>62</v>
      </c>
      <c r="B48" s="29">
        <v>943</v>
      </c>
      <c r="C48" s="29">
        <v>5616.6469999999999</v>
      </c>
      <c r="D48" s="6">
        <f t="shared" si="0"/>
        <v>415.215975319758</v>
      </c>
      <c r="E48" s="7">
        <f t="shared" si="1"/>
        <v>393</v>
      </c>
      <c r="F48" s="8">
        <f t="shared" si="2"/>
        <v>-22.215975319758002</v>
      </c>
      <c r="G48" s="29">
        <v>33.31</v>
      </c>
      <c r="H48" s="29">
        <v>0.55600000000000005</v>
      </c>
      <c r="I48" s="29">
        <v>48.79</v>
      </c>
    </row>
    <row r="49" spans="1:9" ht="15.75" customHeight="1">
      <c r="A49" s="29" t="s">
        <v>63</v>
      </c>
      <c r="B49" s="29">
        <v>920</v>
      </c>
      <c r="C49" s="29">
        <v>5223.6469999999999</v>
      </c>
      <c r="D49" s="6">
        <f t="shared" si="0"/>
        <v>405.08875640952004</v>
      </c>
      <c r="E49" s="7">
        <f t="shared" si="1"/>
        <v>389</v>
      </c>
      <c r="F49" s="8">
        <f t="shared" si="2"/>
        <v>-16.088756409520045</v>
      </c>
      <c r="G49" s="29">
        <v>33.56</v>
      </c>
      <c r="H49" s="29">
        <v>1.444</v>
      </c>
      <c r="I49" s="29">
        <v>48.79</v>
      </c>
    </row>
    <row r="50" spans="1:9" ht="15.75" customHeight="1">
      <c r="A50" s="29" t="s">
        <v>64</v>
      </c>
      <c r="B50" s="29">
        <v>899</v>
      </c>
      <c r="C50" s="29">
        <v>4834.6469999999999</v>
      </c>
      <c r="D50" s="6">
        <f t="shared" si="0"/>
        <v>395.84216523060712</v>
      </c>
      <c r="E50" s="7">
        <f t="shared" si="1"/>
        <v>380</v>
      </c>
      <c r="F50" s="8">
        <f t="shared" si="2"/>
        <v>-15.842165230607122</v>
      </c>
      <c r="G50" s="29">
        <v>32.69</v>
      </c>
      <c r="H50" s="29">
        <v>0.44400000000000001</v>
      </c>
      <c r="I50" s="29">
        <v>48.79</v>
      </c>
    </row>
    <row r="51" spans="1:9" ht="15.75" customHeight="1">
      <c r="A51" s="29" t="s">
        <v>65</v>
      </c>
      <c r="B51" s="29">
        <v>870</v>
      </c>
      <c r="C51" s="29">
        <v>4454.6469999999999</v>
      </c>
      <c r="D51" s="6">
        <f t="shared" si="0"/>
        <v>383.073063126394</v>
      </c>
      <c r="E51" s="7">
        <f t="shared" si="1"/>
        <v>367.64699999999993</v>
      </c>
      <c r="F51" s="8">
        <f t="shared" si="2"/>
        <v>-15.42606312639407</v>
      </c>
      <c r="G51" s="29">
        <v>32.25</v>
      </c>
      <c r="H51" s="29">
        <v>1.556</v>
      </c>
      <c r="I51" s="29">
        <v>48.79</v>
      </c>
    </row>
    <row r="52" spans="1:9" ht="15.75" customHeight="1">
      <c r="A52" s="29" t="s">
        <v>66</v>
      </c>
      <c r="B52" s="29">
        <v>840</v>
      </c>
      <c r="C52" s="29">
        <v>4087</v>
      </c>
      <c r="D52" s="6">
        <f t="shared" si="0"/>
        <v>369.86364715651837</v>
      </c>
      <c r="E52" s="7">
        <f t="shared" si="1"/>
        <v>357</v>
      </c>
      <c r="F52" s="8">
        <f t="shared" si="2"/>
        <v>-12.863647156518368</v>
      </c>
      <c r="G52" s="29">
        <v>31.87</v>
      </c>
      <c r="H52" s="29">
        <v>0.55600000000000005</v>
      </c>
      <c r="I52" s="29">
        <v>48.79</v>
      </c>
    </row>
    <row r="53" spans="1:9" ht="15.75" customHeight="1">
      <c r="A53" s="29" t="s">
        <v>67</v>
      </c>
      <c r="B53" s="29">
        <v>810</v>
      </c>
      <c r="C53" s="29">
        <v>3730</v>
      </c>
      <c r="D53" s="6">
        <f t="shared" si="0"/>
        <v>356.25934712019557</v>
      </c>
      <c r="E53" s="7">
        <f t="shared" si="1"/>
        <v>346</v>
      </c>
      <c r="F53" s="8">
        <f t="shared" si="2"/>
        <v>-10.259347120195571</v>
      </c>
      <c r="G53" s="29">
        <v>31.19</v>
      </c>
      <c r="H53" s="29">
        <v>0.55600000000000005</v>
      </c>
      <c r="I53" s="29">
        <v>49.08</v>
      </c>
    </row>
    <row r="54" spans="1:9" ht="15.75" customHeight="1">
      <c r="A54" s="29" t="s">
        <v>68</v>
      </c>
      <c r="B54" s="29">
        <v>779</v>
      </c>
      <c r="C54" s="29">
        <v>3384</v>
      </c>
      <c r="D54" s="6">
        <f t="shared" si="0"/>
        <v>342.2580544714769</v>
      </c>
      <c r="E54" s="7">
        <f t="shared" si="1"/>
        <v>336.35300000000007</v>
      </c>
      <c r="F54" s="8">
        <f t="shared" si="2"/>
        <v>-5.9050544714768307</v>
      </c>
      <c r="G54" s="29">
        <v>30.56</v>
      </c>
      <c r="H54" s="29">
        <v>0.44400000000000001</v>
      </c>
      <c r="I54" s="29">
        <v>49.36</v>
      </c>
    </row>
    <row r="55" spans="1:9" ht="15.75" customHeight="1">
      <c r="A55" s="29" t="s">
        <v>69</v>
      </c>
      <c r="B55" s="29">
        <v>751</v>
      </c>
      <c r="C55" s="29">
        <v>3047.6469999999999</v>
      </c>
      <c r="D55" s="6">
        <f t="shared" si="0"/>
        <v>329.95609615928004</v>
      </c>
      <c r="E55" s="7">
        <f t="shared" si="1"/>
        <v>323</v>
      </c>
      <c r="F55" s="8">
        <f t="shared" si="2"/>
        <v>-6.9560961592800368</v>
      </c>
      <c r="G55" s="29">
        <v>30.5</v>
      </c>
      <c r="H55" s="29">
        <v>0.55600000000000005</v>
      </c>
      <c r="I55" s="29">
        <v>49.36</v>
      </c>
    </row>
    <row r="56" spans="1:9" ht="15.75" customHeight="1">
      <c r="A56" s="29" t="s">
        <v>70</v>
      </c>
      <c r="B56" s="29">
        <v>713</v>
      </c>
      <c r="C56" s="29">
        <v>2724.6469999999999</v>
      </c>
      <c r="D56" s="6">
        <f t="shared" si="0"/>
        <v>313.5961907366659</v>
      </c>
      <c r="E56" s="7">
        <f t="shared" si="1"/>
        <v>308</v>
      </c>
      <c r="F56" s="8">
        <f t="shared" si="2"/>
        <v>-5.5961907366659034</v>
      </c>
      <c r="G56" s="29">
        <v>29.56</v>
      </c>
      <c r="H56" s="29">
        <v>1.667</v>
      </c>
      <c r="I56" s="29">
        <v>49.08</v>
      </c>
    </row>
    <row r="57" spans="1:9" ht="15.75" customHeight="1">
      <c r="A57" s="29" t="s">
        <v>71</v>
      </c>
      <c r="B57" s="29">
        <v>670</v>
      </c>
      <c r="C57" s="29">
        <v>2416.6469999999999</v>
      </c>
      <c r="D57" s="6">
        <f t="shared" si="0"/>
        <v>294.68365749448282</v>
      </c>
      <c r="E57" s="7">
        <f t="shared" si="1"/>
        <v>294</v>
      </c>
      <c r="F57" s="8">
        <f t="shared" si="2"/>
        <v>-0.68365749448281576</v>
      </c>
      <c r="G57" s="29">
        <v>28.94</v>
      </c>
      <c r="H57" s="29">
        <v>0.55600000000000005</v>
      </c>
      <c r="I57" s="29">
        <v>49.08</v>
      </c>
    </row>
    <row r="58" spans="1:9" ht="15.75" customHeight="1">
      <c r="A58" s="29" t="s">
        <v>72</v>
      </c>
      <c r="B58" s="29">
        <v>633</v>
      </c>
      <c r="C58" s="29">
        <v>2122.6469999999999</v>
      </c>
      <c r="D58" s="6">
        <f t="shared" si="0"/>
        <v>278.41008237911581</v>
      </c>
      <c r="E58" s="7">
        <f t="shared" si="1"/>
        <v>278</v>
      </c>
      <c r="F58" s="8">
        <f t="shared" si="2"/>
        <v>-0.41008237911580636</v>
      </c>
      <c r="G58" s="29">
        <v>28.5</v>
      </c>
      <c r="H58" s="29">
        <v>0.44400000000000001</v>
      </c>
      <c r="I58" s="29">
        <v>49.08</v>
      </c>
    </row>
    <row r="59" spans="1:9" ht="15.75" customHeight="1">
      <c r="A59" s="29" t="s">
        <v>73</v>
      </c>
      <c r="B59" s="29">
        <v>593</v>
      </c>
      <c r="C59" s="29">
        <v>1844.6469999999999</v>
      </c>
      <c r="D59" s="6">
        <f t="shared" si="0"/>
        <v>260.8170282003407</v>
      </c>
      <c r="E59" s="7">
        <f t="shared" si="1"/>
        <v>260.64699999999993</v>
      </c>
      <c r="F59" s="8">
        <f t="shared" si="2"/>
        <v>-0.17002820034076649</v>
      </c>
      <c r="G59" s="29">
        <v>27.63</v>
      </c>
      <c r="H59" s="29">
        <v>0.44400000000000001</v>
      </c>
      <c r="I59" s="29">
        <v>49.08</v>
      </c>
    </row>
    <row r="60" spans="1:9" ht="15.75" customHeight="1">
      <c r="A60" s="29" t="s">
        <v>74</v>
      </c>
      <c r="B60" s="29">
        <v>549</v>
      </c>
      <c r="C60" s="29">
        <v>1584</v>
      </c>
      <c r="D60" s="6">
        <f t="shared" si="0"/>
        <v>241.73231224872447</v>
      </c>
      <c r="E60" s="7">
        <f t="shared" si="1"/>
        <v>242.35300000000007</v>
      </c>
      <c r="F60" s="8">
        <f t="shared" si="2"/>
        <v>0.62068775127559661</v>
      </c>
      <c r="G60" s="29">
        <v>27.06</v>
      </c>
      <c r="H60" s="29">
        <v>0.44400000000000001</v>
      </c>
      <c r="I60" s="29">
        <v>48.79</v>
      </c>
    </row>
    <row r="61" spans="1:9" ht="15.75" customHeight="1">
      <c r="A61" s="29" t="s">
        <v>75</v>
      </c>
      <c r="B61" s="29">
        <v>509</v>
      </c>
      <c r="C61" s="29">
        <v>1341.6469999999999</v>
      </c>
      <c r="D61" s="6">
        <f t="shared" si="0"/>
        <v>224.36790081953427</v>
      </c>
      <c r="E61" s="7">
        <f t="shared" si="1"/>
        <v>224</v>
      </c>
      <c r="F61" s="8">
        <f t="shared" si="2"/>
        <v>-0.36790081953427034</v>
      </c>
      <c r="G61" s="29">
        <v>26</v>
      </c>
      <c r="H61" s="29">
        <v>0.44400000000000001</v>
      </c>
      <c r="I61" s="29">
        <v>48.5</v>
      </c>
    </row>
    <row r="62" spans="1:9" ht="15.75" customHeight="1">
      <c r="A62" s="29" t="s">
        <v>76</v>
      </c>
      <c r="B62" s="29">
        <v>464</v>
      </c>
      <c r="C62" s="29">
        <v>1117.6469999999999</v>
      </c>
      <c r="D62" s="6">
        <f t="shared" si="0"/>
        <v>204.75024387555808</v>
      </c>
      <c r="E62" s="7">
        <f t="shared" si="1"/>
        <v>204.64699999999993</v>
      </c>
      <c r="F62" s="8">
        <f t="shared" si="2"/>
        <v>-0.10324387555814951</v>
      </c>
      <c r="G62" s="29">
        <v>25.81</v>
      </c>
      <c r="H62" s="29">
        <v>1.667</v>
      </c>
      <c r="I62" s="29">
        <v>48.22</v>
      </c>
    </row>
    <row r="63" spans="1:9" ht="15.75" customHeight="1">
      <c r="A63" s="29" t="s">
        <v>77</v>
      </c>
      <c r="B63" s="29">
        <v>420</v>
      </c>
      <c r="C63" s="29">
        <v>913</v>
      </c>
      <c r="D63" s="6">
        <f t="shared" si="0"/>
        <v>185.53902717468625</v>
      </c>
      <c r="E63" s="7">
        <f t="shared" si="1"/>
        <v>183.35299999999995</v>
      </c>
      <c r="F63" s="8">
        <f t="shared" si="2"/>
        <v>-2.186027174686302</v>
      </c>
      <c r="G63" s="29">
        <v>25.12</v>
      </c>
      <c r="H63" s="29">
        <v>0.44400000000000001</v>
      </c>
      <c r="I63" s="29">
        <v>47.93</v>
      </c>
    </row>
    <row r="64" spans="1:9" ht="15.75" customHeight="1">
      <c r="A64" s="29" t="s">
        <v>78</v>
      </c>
      <c r="B64" s="29">
        <v>376</v>
      </c>
      <c r="C64" s="29">
        <v>729.64700000000005</v>
      </c>
      <c r="D64" s="6">
        <f t="shared" si="0"/>
        <v>170.09637286120736</v>
      </c>
      <c r="E64" s="7">
        <f t="shared" si="1"/>
        <v>163</v>
      </c>
      <c r="F64" s="8">
        <f t="shared" si="2"/>
        <v>-7.0963728612073567</v>
      </c>
      <c r="G64" s="29">
        <v>24.5</v>
      </c>
      <c r="H64" s="29">
        <v>0.44400000000000001</v>
      </c>
      <c r="I64" s="29">
        <v>41.61</v>
      </c>
    </row>
    <row r="65" spans="1:26" ht="15.75" customHeight="1">
      <c r="A65" s="29" t="s">
        <v>79</v>
      </c>
      <c r="B65" s="29">
        <v>331</v>
      </c>
      <c r="C65" s="29">
        <v>566.64700000000005</v>
      </c>
      <c r="D65" s="6">
        <f t="shared" si="0"/>
        <v>152.13176550879987</v>
      </c>
      <c r="E65" s="7">
        <f t="shared" si="1"/>
        <v>140.00000000000006</v>
      </c>
      <c r="F65" s="8">
        <f t="shared" si="2"/>
        <v>-12.131765508799816</v>
      </c>
      <c r="G65" s="29">
        <v>23.94</v>
      </c>
      <c r="H65" s="29">
        <v>0.55600000000000005</v>
      </c>
      <c r="I65" s="29">
        <v>37.31</v>
      </c>
    </row>
    <row r="66" spans="1:26" ht="15.75" customHeight="1">
      <c r="A66" s="29" t="s">
        <v>80</v>
      </c>
      <c r="B66" s="29">
        <v>286</v>
      </c>
      <c r="C66" s="29">
        <v>426.64699999999999</v>
      </c>
      <c r="D66" s="6">
        <f t="shared" si="0"/>
        <v>131.44919920095697</v>
      </c>
      <c r="E66" s="7">
        <f t="shared" si="1"/>
        <v>118</v>
      </c>
      <c r="F66" s="8">
        <f t="shared" si="2"/>
        <v>-13.449199200956969</v>
      </c>
      <c r="G66" s="29">
        <v>23.06</v>
      </c>
      <c r="H66" s="29">
        <v>0.44400000000000001</v>
      </c>
      <c r="I66" s="29">
        <v>37.31</v>
      </c>
    </row>
    <row r="67" spans="1:26" ht="15.75" customHeight="1">
      <c r="A67" s="29" t="s">
        <v>81</v>
      </c>
      <c r="B67" s="29">
        <v>234</v>
      </c>
      <c r="C67" s="29">
        <v>308.64699999999999</v>
      </c>
      <c r="D67" s="6">
        <f t="shared" si="0"/>
        <v>108.34002071314043</v>
      </c>
      <c r="E67" s="7">
        <f t="shared" si="1"/>
        <v>96</v>
      </c>
      <c r="F67" s="8">
        <f t="shared" si="2"/>
        <v>-12.340020713140433</v>
      </c>
      <c r="G67" s="29">
        <v>22.06</v>
      </c>
      <c r="H67" s="29">
        <v>0.44400000000000001</v>
      </c>
      <c r="I67" s="29">
        <v>35.299999999999997</v>
      </c>
    </row>
    <row r="68" spans="1:26" ht="15.75" customHeight="1">
      <c r="A68" s="29" t="s">
        <v>82</v>
      </c>
      <c r="B68" s="29">
        <v>193</v>
      </c>
      <c r="C68" s="29">
        <v>212.64699999999999</v>
      </c>
      <c r="D68" s="6">
        <f t="shared" si="0"/>
        <v>90.288530700902456</v>
      </c>
      <c r="E68" s="7">
        <f t="shared" si="1"/>
        <v>76</v>
      </c>
      <c r="F68" s="8">
        <f t="shared" si="2"/>
        <v>-14.288530700902456</v>
      </c>
      <c r="G68" s="29">
        <v>21.25</v>
      </c>
      <c r="H68" s="29">
        <v>0.55600000000000005</v>
      </c>
      <c r="I68" s="29">
        <v>32.43</v>
      </c>
    </row>
    <row r="69" spans="1:26" ht="15.75" customHeight="1">
      <c r="A69" s="29" t="s">
        <v>83</v>
      </c>
      <c r="B69" s="29">
        <v>152</v>
      </c>
      <c r="C69" s="29">
        <v>136.64699999999999</v>
      </c>
      <c r="D69" s="6">
        <f t="shared" si="0"/>
        <v>71.987065121696887</v>
      </c>
      <c r="E69" s="7">
        <f t="shared" si="1"/>
        <v>56.646999999999991</v>
      </c>
      <c r="F69" s="8">
        <f t="shared" si="2"/>
        <v>-15.340065121696895</v>
      </c>
      <c r="G69" s="29">
        <v>20.25</v>
      </c>
      <c r="H69" s="29">
        <v>0.44400000000000001</v>
      </c>
      <c r="I69" s="29">
        <v>28.99</v>
      </c>
    </row>
    <row r="70" spans="1:26" ht="15.75" customHeight="1">
      <c r="A70" s="29" t="s">
        <v>84</v>
      </c>
      <c r="B70" s="29">
        <v>106</v>
      </c>
      <c r="C70" s="29">
        <v>80</v>
      </c>
      <c r="D70" s="6">
        <f t="shared" si="0"/>
        <v>50.712921992470257</v>
      </c>
      <c r="E70" s="7">
        <f t="shared" si="1"/>
        <v>36.353000000000002</v>
      </c>
      <c r="F70" s="8">
        <f t="shared" si="2"/>
        <v>-14.359921992470255</v>
      </c>
      <c r="G70" s="29">
        <v>18.940000000000001</v>
      </c>
      <c r="H70" s="29">
        <v>0.44400000000000001</v>
      </c>
      <c r="I70" s="29">
        <v>26.12</v>
      </c>
    </row>
    <row r="71" spans="1:26" ht="15.75" customHeight="1">
      <c r="A71" s="29" t="s">
        <v>85</v>
      </c>
      <c r="B71" s="29">
        <v>63</v>
      </c>
      <c r="C71" s="29">
        <v>43.646999999999998</v>
      </c>
      <c r="D71" s="6">
        <f t="shared" si="0"/>
        <v>30.323919075021479</v>
      </c>
      <c r="E71" s="7">
        <f t="shared" si="1"/>
        <v>22.646999999999998</v>
      </c>
      <c r="F71" s="8">
        <f t="shared" si="2"/>
        <v>-7.6769190750214804</v>
      </c>
      <c r="G71" s="29">
        <v>18.38</v>
      </c>
      <c r="H71" s="29">
        <v>0.44400000000000001</v>
      </c>
      <c r="I71" s="29">
        <v>24.39</v>
      </c>
    </row>
    <row r="72" spans="1:26" ht="15.75" customHeight="1">
      <c r="A72" s="29" t="s">
        <v>86</v>
      </c>
      <c r="B72" s="29">
        <v>40</v>
      </c>
      <c r="C72" s="29">
        <v>21</v>
      </c>
      <c r="D72" s="6">
        <f t="shared" si="0"/>
        <v>19.311110866340019</v>
      </c>
      <c r="E72" s="7">
        <f t="shared" si="1"/>
        <v>13.353</v>
      </c>
      <c r="F72" s="8">
        <f t="shared" si="2"/>
        <v>-5.9581108663400197</v>
      </c>
      <c r="G72" s="29">
        <v>18.190000000000001</v>
      </c>
      <c r="H72" s="29">
        <v>0.44400000000000001</v>
      </c>
      <c r="I72" s="29">
        <v>23.53</v>
      </c>
    </row>
    <row r="73" spans="1:26" ht="15.75" customHeight="1">
      <c r="A73" s="29" t="s">
        <v>87</v>
      </c>
      <c r="B73" s="29">
        <v>22</v>
      </c>
      <c r="C73" s="29">
        <v>7.6470000000000002</v>
      </c>
      <c r="D73" s="6">
        <f t="shared" si="0"/>
        <v>10.631466386658634</v>
      </c>
      <c r="E73" s="7">
        <f t="shared" si="1"/>
        <v>7</v>
      </c>
      <c r="F73" s="8">
        <f t="shared" si="2"/>
        <v>-3.6314663866586336</v>
      </c>
      <c r="G73" s="29">
        <v>18.440000000000001</v>
      </c>
      <c r="H73" s="29">
        <v>0.44400000000000001</v>
      </c>
      <c r="I73" s="29">
        <v>23.25</v>
      </c>
    </row>
    <row r="74" spans="1:26" ht="15.75" customHeight="1">
      <c r="A74" s="29" t="s">
        <v>88</v>
      </c>
      <c r="B74" s="29">
        <v>6</v>
      </c>
      <c r="C74" s="29">
        <v>0.64700000000000002</v>
      </c>
      <c r="D74" s="6">
        <f t="shared" si="0"/>
        <v>2.8994908327250828</v>
      </c>
      <c r="E74" s="7">
        <f t="shared" si="1"/>
        <v>0.64700000000000002</v>
      </c>
      <c r="F74" s="8">
        <f t="shared" si="2"/>
        <v>-2.2524908327250825</v>
      </c>
      <c r="G74" s="29">
        <v>18.63</v>
      </c>
      <c r="H74" s="29">
        <v>0.55600000000000005</v>
      </c>
      <c r="I74" s="29">
        <v>23.25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7.1318333333333337</v>
      </c>
      <c r="C76" s="11"/>
      <c r="D76" s="16">
        <f>SUM(D2:D75)</f>
        <v>18891.398664142613</v>
      </c>
      <c r="E76" s="15">
        <f>SUM(E1:E74)</f>
        <v>18288.650000000001</v>
      </c>
      <c r="F76" s="11"/>
      <c r="G76" s="17">
        <f t="shared" ref="G76:I76" si="3">AVERAGE(G1:G74)</f>
        <v>31.57465753424658</v>
      </c>
      <c r="H76" s="17">
        <f t="shared" si="3"/>
        <v>1.9481780821917802</v>
      </c>
      <c r="I76" s="17">
        <f t="shared" si="3"/>
        <v>45.274794520547928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9" t="s">
        <v>89</v>
      </c>
      <c r="B2" s="29">
        <v>0</v>
      </c>
      <c r="C2" s="29">
        <v>16489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30.75</v>
      </c>
      <c r="H2" s="29">
        <v>1.222</v>
      </c>
      <c r="I2" s="29">
        <v>39.03</v>
      </c>
    </row>
    <row r="3" spans="1:26" ht="15.75" customHeight="1">
      <c r="A3" s="29" t="s">
        <v>90</v>
      </c>
      <c r="B3" s="29">
        <v>0</v>
      </c>
      <c r="C3" s="29">
        <v>16489</v>
      </c>
      <c r="D3" s="6">
        <f t="shared" si="0"/>
        <v>0</v>
      </c>
      <c r="E3" s="7">
        <f t="shared" si="1"/>
        <v>1.6500000000014552</v>
      </c>
      <c r="F3" s="8">
        <f t="shared" si="2"/>
        <v>1.6500000000014552</v>
      </c>
      <c r="G3" s="29">
        <v>31.06</v>
      </c>
      <c r="H3" s="29">
        <v>2.222</v>
      </c>
      <c r="I3" s="29">
        <v>39.89</v>
      </c>
    </row>
    <row r="4" spans="1:26" ht="15.75" customHeight="1">
      <c r="A4" s="29" t="s">
        <v>91</v>
      </c>
      <c r="B4" s="29">
        <v>7</v>
      </c>
      <c r="C4" s="29">
        <v>16487.349999999999</v>
      </c>
      <c r="D4" s="6">
        <f t="shared" si="0"/>
        <v>3.1699826958652868</v>
      </c>
      <c r="E4" s="7">
        <f t="shared" si="1"/>
        <v>7.3499999999985448</v>
      </c>
      <c r="F4" s="8">
        <f t="shared" si="2"/>
        <v>4.1800173041332584</v>
      </c>
      <c r="G4" s="29">
        <v>31.25</v>
      </c>
      <c r="H4" s="29">
        <v>1.778</v>
      </c>
      <c r="I4" s="29">
        <v>41.33</v>
      </c>
    </row>
    <row r="5" spans="1:26" ht="15.75" customHeight="1">
      <c r="A5" s="29" t="s">
        <v>92</v>
      </c>
      <c r="B5" s="29">
        <v>26</v>
      </c>
      <c r="C5" s="29">
        <v>16480</v>
      </c>
      <c r="D5" s="6">
        <f t="shared" si="0"/>
        <v>11.723957356699055</v>
      </c>
      <c r="E5" s="7">
        <f t="shared" si="1"/>
        <v>16.650000000001455</v>
      </c>
      <c r="F5" s="8">
        <f t="shared" si="2"/>
        <v>4.9260426433024005</v>
      </c>
      <c r="G5" s="29">
        <v>31.37</v>
      </c>
      <c r="H5" s="29">
        <v>3.8889999999999998</v>
      </c>
      <c r="I5" s="29">
        <v>42.48</v>
      </c>
    </row>
    <row r="6" spans="1:26" ht="15.75" customHeight="1">
      <c r="A6" s="29" t="s">
        <v>93</v>
      </c>
      <c r="B6" s="29">
        <v>43</v>
      </c>
      <c r="C6" s="29">
        <v>16463.349999999999</v>
      </c>
      <c r="D6" s="6">
        <f t="shared" si="0"/>
        <v>19.286252598555588</v>
      </c>
      <c r="E6" s="7">
        <f t="shared" si="1"/>
        <v>29</v>
      </c>
      <c r="F6" s="8">
        <f t="shared" si="2"/>
        <v>9.7137474014444116</v>
      </c>
      <c r="G6" s="29">
        <v>32</v>
      </c>
      <c r="H6" s="29">
        <v>2.6669999999999998</v>
      </c>
      <c r="I6" s="29">
        <v>43.91</v>
      </c>
    </row>
    <row r="7" spans="1:26" ht="15.75" customHeight="1">
      <c r="A7" s="29" t="s">
        <v>94</v>
      </c>
      <c r="B7" s="29">
        <v>78</v>
      </c>
      <c r="C7" s="29">
        <v>16434.349999999999</v>
      </c>
      <c r="D7" s="6">
        <f t="shared" si="0"/>
        <v>34.795547050451091</v>
      </c>
      <c r="E7" s="7">
        <f t="shared" si="1"/>
        <v>38.349999999998545</v>
      </c>
      <c r="F7" s="8">
        <f t="shared" si="2"/>
        <v>3.5544529495474535</v>
      </c>
      <c r="G7" s="29">
        <v>31.81</v>
      </c>
      <c r="H7" s="29">
        <v>1.667</v>
      </c>
      <c r="I7" s="29">
        <v>45.35</v>
      </c>
    </row>
    <row r="8" spans="1:26" ht="15.75" customHeight="1">
      <c r="A8" s="29" t="s">
        <v>95</v>
      </c>
      <c r="B8" s="29">
        <v>80</v>
      </c>
      <c r="C8" s="29">
        <v>16396</v>
      </c>
      <c r="D8" s="6">
        <f t="shared" si="0"/>
        <v>35.687740564565225</v>
      </c>
      <c r="E8" s="7">
        <f t="shared" si="1"/>
        <v>31</v>
      </c>
      <c r="F8" s="8">
        <f t="shared" si="2"/>
        <v>-4.6877405645652246</v>
      </c>
      <c r="G8" s="29">
        <v>31.87</v>
      </c>
      <c r="H8" s="29">
        <v>2.778</v>
      </c>
      <c r="I8" s="29">
        <v>45.35</v>
      </c>
    </row>
    <row r="9" spans="1:26" ht="15.75" customHeight="1">
      <c r="A9" s="29" t="s">
        <v>96</v>
      </c>
      <c r="B9" s="29">
        <v>62</v>
      </c>
      <c r="C9" s="29">
        <v>16365</v>
      </c>
      <c r="D9" s="6">
        <f t="shared" si="0"/>
        <v>27.53918069225714</v>
      </c>
      <c r="E9" s="7">
        <f t="shared" si="1"/>
        <v>42</v>
      </c>
      <c r="F9" s="8">
        <f t="shared" si="2"/>
        <v>14.46081930774286</v>
      </c>
      <c r="G9" s="29">
        <v>32</v>
      </c>
      <c r="H9" s="29">
        <v>2.3330000000000002</v>
      </c>
      <c r="I9" s="29">
        <v>46.49</v>
      </c>
    </row>
    <row r="10" spans="1:26" ht="15.75" customHeight="1">
      <c r="A10" s="29" t="s">
        <v>97</v>
      </c>
      <c r="B10" s="29">
        <v>131</v>
      </c>
      <c r="C10" s="29">
        <v>16323</v>
      </c>
      <c r="D10" s="6">
        <f t="shared" si="0"/>
        <v>57.998234027565566</v>
      </c>
      <c r="E10" s="7">
        <f t="shared" si="1"/>
        <v>53</v>
      </c>
      <c r="F10" s="8">
        <f t="shared" si="2"/>
        <v>-4.9982340275655659</v>
      </c>
      <c r="G10" s="29">
        <v>32.380000000000003</v>
      </c>
      <c r="H10" s="29">
        <v>2.556</v>
      </c>
      <c r="I10" s="29">
        <v>47.35</v>
      </c>
    </row>
    <row r="11" spans="1:26" ht="15.75" customHeight="1">
      <c r="A11" s="29" t="s">
        <v>98</v>
      </c>
      <c r="B11" s="29">
        <v>122</v>
      </c>
      <c r="C11" s="29">
        <v>16270</v>
      </c>
      <c r="D11" s="6">
        <f t="shared" si="0"/>
        <v>54.013622529488529</v>
      </c>
      <c r="E11" s="7">
        <f t="shared" si="1"/>
        <v>54.649999999999636</v>
      </c>
      <c r="F11" s="8">
        <f t="shared" si="2"/>
        <v>0.63637747051110694</v>
      </c>
      <c r="G11" s="29">
        <v>32.44</v>
      </c>
      <c r="H11" s="29">
        <v>2.444</v>
      </c>
      <c r="I11" s="29">
        <v>47.35</v>
      </c>
    </row>
    <row r="12" spans="1:26" ht="15.75" customHeight="1">
      <c r="A12" s="29" t="s">
        <v>99</v>
      </c>
      <c r="B12" s="29">
        <v>121</v>
      </c>
      <c r="C12" s="29">
        <v>16215.35</v>
      </c>
      <c r="D12" s="6">
        <f t="shared" si="0"/>
        <v>53.511899064220586</v>
      </c>
      <c r="E12" s="7">
        <f t="shared" si="1"/>
        <v>63</v>
      </c>
      <c r="F12" s="8">
        <f t="shared" si="2"/>
        <v>9.4881009357794142</v>
      </c>
      <c r="G12" s="29">
        <v>32.630000000000003</v>
      </c>
      <c r="H12" s="29">
        <v>3.3330000000000002</v>
      </c>
      <c r="I12" s="29">
        <v>47.64</v>
      </c>
    </row>
    <row r="13" spans="1:26" ht="15.75" customHeight="1">
      <c r="A13" s="29" t="s">
        <v>100</v>
      </c>
      <c r="B13" s="29">
        <v>149</v>
      </c>
      <c r="C13" s="29">
        <v>16152.35</v>
      </c>
      <c r="D13" s="6">
        <f t="shared" si="0"/>
        <v>65.822178688162495</v>
      </c>
      <c r="E13" s="7">
        <f t="shared" si="1"/>
        <v>106</v>
      </c>
      <c r="F13" s="8">
        <f t="shared" si="2"/>
        <v>40.177821311837505</v>
      </c>
      <c r="G13" s="29">
        <v>33.19</v>
      </c>
      <c r="H13" s="29">
        <v>1.333</v>
      </c>
      <c r="I13" s="29">
        <v>47.93</v>
      </c>
    </row>
    <row r="14" spans="1:26" ht="15.75" customHeight="1">
      <c r="A14" s="29" t="s">
        <v>101</v>
      </c>
      <c r="B14" s="29">
        <v>299</v>
      </c>
      <c r="C14" s="29">
        <v>16046.35</v>
      </c>
      <c r="D14" s="6">
        <f t="shared" si="0"/>
        <v>132.23188281158639</v>
      </c>
      <c r="E14" s="7">
        <f t="shared" si="1"/>
        <v>143.35000000000036</v>
      </c>
      <c r="F14" s="8">
        <f t="shared" si="2"/>
        <v>11.118117188413976</v>
      </c>
      <c r="G14" s="29">
        <v>33.5</v>
      </c>
      <c r="H14" s="29">
        <v>2.1110000000000002</v>
      </c>
      <c r="I14" s="29">
        <v>47.64</v>
      </c>
    </row>
    <row r="15" spans="1:26" ht="15.75" customHeight="1">
      <c r="A15" s="29" t="s">
        <v>102</v>
      </c>
      <c r="B15" s="29">
        <v>254</v>
      </c>
      <c r="C15" s="29">
        <v>15903</v>
      </c>
      <c r="D15" s="6">
        <f t="shared" si="0"/>
        <v>112.20693548183407</v>
      </c>
      <c r="E15" s="7">
        <f t="shared" si="1"/>
        <v>157.64999999999964</v>
      </c>
      <c r="F15" s="8">
        <f t="shared" si="2"/>
        <v>45.443064518165571</v>
      </c>
      <c r="G15" s="29">
        <v>33.44</v>
      </c>
      <c r="H15" s="29">
        <v>3.444</v>
      </c>
      <c r="I15" s="29">
        <v>47.93</v>
      </c>
    </row>
    <row r="16" spans="1:26" ht="15.75" customHeight="1">
      <c r="A16" s="29" t="s">
        <v>103</v>
      </c>
      <c r="B16" s="29">
        <v>367</v>
      </c>
      <c r="C16" s="29">
        <v>15745.35</v>
      </c>
      <c r="D16" s="6">
        <f t="shared" si="0"/>
        <v>161.94685237571079</v>
      </c>
      <c r="E16" s="7">
        <f t="shared" si="1"/>
        <v>166</v>
      </c>
      <c r="F16" s="8">
        <f t="shared" si="2"/>
        <v>4.0531476242892097</v>
      </c>
      <c r="G16" s="29">
        <v>33.630000000000003</v>
      </c>
      <c r="H16" s="29">
        <v>3.222</v>
      </c>
      <c r="I16" s="29">
        <v>48.22</v>
      </c>
    </row>
    <row r="17" spans="1:9" ht="15.75" customHeight="1">
      <c r="A17" s="29" t="s">
        <v>104</v>
      </c>
      <c r="B17" s="29">
        <v>385</v>
      </c>
      <c r="C17" s="29">
        <v>15579.35</v>
      </c>
      <c r="D17" s="6">
        <f t="shared" si="0"/>
        <v>169.70853008943163</v>
      </c>
      <c r="E17" s="7">
        <f t="shared" si="1"/>
        <v>191.35000000000036</v>
      </c>
      <c r="F17" s="8">
        <f t="shared" si="2"/>
        <v>21.64146991056873</v>
      </c>
      <c r="G17" s="29">
        <v>33.630000000000003</v>
      </c>
      <c r="H17" s="29">
        <v>2.778</v>
      </c>
      <c r="I17" s="29">
        <v>48.5</v>
      </c>
    </row>
    <row r="18" spans="1:9" ht="15.75" customHeight="1">
      <c r="A18" s="29" t="s">
        <v>105</v>
      </c>
      <c r="B18" s="29">
        <v>453</v>
      </c>
      <c r="C18" s="29">
        <v>15388</v>
      </c>
      <c r="D18" s="6">
        <f t="shared" si="0"/>
        <v>199.68302371561694</v>
      </c>
      <c r="E18" s="7">
        <f t="shared" si="1"/>
        <v>215</v>
      </c>
      <c r="F18" s="8">
        <f t="shared" si="2"/>
        <v>15.31697628438306</v>
      </c>
      <c r="G18" s="29">
        <v>34.19</v>
      </c>
      <c r="H18" s="29">
        <v>2.556</v>
      </c>
      <c r="I18" s="29">
        <v>48.5</v>
      </c>
    </row>
    <row r="19" spans="1:9" ht="15.75" customHeight="1">
      <c r="A19" s="29" t="s">
        <v>106</v>
      </c>
      <c r="B19" s="29">
        <v>496</v>
      </c>
      <c r="C19" s="29">
        <v>15173</v>
      </c>
      <c r="D19" s="6">
        <f t="shared" si="0"/>
        <v>218.6374829204106</v>
      </c>
      <c r="E19" s="7">
        <f t="shared" si="1"/>
        <v>241</v>
      </c>
      <c r="F19" s="8">
        <f t="shared" si="2"/>
        <v>22.362517079589395</v>
      </c>
      <c r="G19" s="29">
        <v>33.75</v>
      </c>
      <c r="H19" s="29">
        <v>3.1110000000000002</v>
      </c>
      <c r="I19" s="29">
        <v>48.5</v>
      </c>
    </row>
    <row r="20" spans="1:9" ht="15.75" customHeight="1">
      <c r="A20" s="29" t="s">
        <v>107</v>
      </c>
      <c r="B20" s="29">
        <v>600</v>
      </c>
      <c r="C20" s="29">
        <v>14932</v>
      </c>
      <c r="D20" s="6">
        <f t="shared" si="0"/>
        <v>265.05575310669462</v>
      </c>
      <c r="E20" s="7">
        <f t="shared" si="1"/>
        <v>221</v>
      </c>
      <c r="F20" s="8">
        <f t="shared" si="2"/>
        <v>-44.055753106694624</v>
      </c>
      <c r="G20" s="29">
        <v>33.56</v>
      </c>
      <c r="H20" s="29">
        <v>2.222</v>
      </c>
      <c r="I20" s="29">
        <v>47.93</v>
      </c>
    </row>
    <row r="21" spans="1:9" ht="15.75" customHeight="1">
      <c r="A21" s="29" t="s">
        <v>108</v>
      </c>
      <c r="B21" s="29">
        <v>594</v>
      </c>
      <c r="C21" s="29">
        <v>14711</v>
      </c>
      <c r="D21" s="6">
        <f t="shared" si="0"/>
        <v>262.69477722435562</v>
      </c>
      <c r="E21" s="7">
        <f t="shared" si="1"/>
        <v>236</v>
      </c>
      <c r="F21" s="8">
        <f t="shared" si="2"/>
        <v>-26.694777224355619</v>
      </c>
      <c r="G21" s="29">
        <v>33.380000000000003</v>
      </c>
      <c r="H21" s="29">
        <v>1.222</v>
      </c>
      <c r="I21" s="29">
        <v>47.64</v>
      </c>
    </row>
    <row r="22" spans="1:9" ht="15.75" customHeight="1">
      <c r="A22" s="29" t="s">
        <v>109</v>
      </c>
      <c r="B22" s="29">
        <v>560</v>
      </c>
      <c r="C22" s="29">
        <v>14475</v>
      </c>
      <c r="D22" s="6">
        <f t="shared" si="0"/>
        <v>247.65837583440938</v>
      </c>
      <c r="E22" s="7">
        <f t="shared" si="1"/>
        <v>195</v>
      </c>
      <c r="F22" s="8">
        <f t="shared" si="2"/>
        <v>-52.658375834409384</v>
      </c>
      <c r="G22" s="29">
        <v>33.06</v>
      </c>
      <c r="H22" s="29">
        <v>1.667</v>
      </c>
      <c r="I22" s="29">
        <v>47.64</v>
      </c>
    </row>
    <row r="23" spans="1:9" ht="15.75" customHeight="1">
      <c r="A23" s="29" t="s">
        <v>110</v>
      </c>
      <c r="B23" s="29">
        <v>272</v>
      </c>
      <c r="C23" s="29">
        <v>14280</v>
      </c>
      <c r="D23" s="6">
        <f t="shared" si="0"/>
        <v>120.42381416410562</v>
      </c>
      <c r="E23" s="7">
        <f t="shared" si="1"/>
        <v>116</v>
      </c>
      <c r="F23" s="8">
        <f t="shared" si="2"/>
        <v>-4.4238141641056217</v>
      </c>
      <c r="G23" s="29">
        <v>32.81</v>
      </c>
      <c r="H23" s="29">
        <v>2.222</v>
      </c>
      <c r="I23" s="29">
        <v>47.35</v>
      </c>
    </row>
    <row r="24" spans="1:9" ht="15.75" customHeight="1">
      <c r="A24" s="29" t="s">
        <v>111</v>
      </c>
      <c r="B24" s="29">
        <v>235</v>
      </c>
      <c r="C24" s="29">
        <v>14164</v>
      </c>
      <c r="D24" s="6">
        <f t="shared" si="0"/>
        <v>104.04263356090004</v>
      </c>
      <c r="E24" s="7">
        <f t="shared" si="1"/>
        <v>138</v>
      </c>
      <c r="F24" s="8">
        <f t="shared" si="2"/>
        <v>33.957366439099957</v>
      </c>
      <c r="G24" s="29">
        <v>32.630000000000003</v>
      </c>
      <c r="H24" s="29">
        <v>1.444</v>
      </c>
      <c r="I24" s="29">
        <v>47.35</v>
      </c>
    </row>
    <row r="25" spans="1:9" ht="15.75" customHeight="1">
      <c r="A25" s="29" t="s">
        <v>112</v>
      </c>
      <c r="B25" s="29">
        <v>364</v>
      </c>
      <c r="C25" s="29">
        <v>14026</v>
      </c>
      <c r="D25" s="6">
        <f t="shared" si="0"/>
        <v>161.15539836667071</v>
      </c>
      <c r="E25" s="7">
        <f t="shared" si="1"/>
        <v>129</v>
      </c>
      <c r="F25" s="8">
        <f t="shared" si="2"/>
        <v>-32.15539836667071</v>
      </c>
      <c r="G25" s="29">
        <v>32.81</v>
      </c>
      <c r="H25" s="29">
        <v>1.778</v>
      </c>
      <c r="I25" s="29">
        <v>47.35</v>
      </c>
    </row>
    <row r="26" spans="1:9" ht="15.75" customHeight="1">
      <c r="A26" s="29" t="s">
        <v>113</v>
      </c>
      <c r="B26" s="29">
        <v>352</v>
      </c>
      <c r="C26" s="29">
        <v>13897</v>
      </c>
      <c r="D26" s="6">
        <f t="shared" si="0"/>
        <v>155.1620846531946</v>
      </c>
      <c r="E26" s="7">
        <f t="shared" si="1"/>
        <v>304</v>
      </c>
      <c r="F26" s="8">
        <f t="shared" si="2"/>
        <v>148.8379153468054</v>
      </c>
      <c r="G26" s="29">
        <v>33.75</v>
      </c>
      <c r="H26" s="29">
        <v>2.444</v>
      </c>
      <c r="I26" s="29">
        <v>48.5</v>
      </c>
    </row>
    <row r="27" spans="1:9" ht="15.75" customHeight="1">
      <c r="A27" s="29" t="s">
        <v>114</v>
      </c>
      <c r="B27" s="29">
        <v>685</v>
      </c>
      <c r="C27" s="29">
        <v>13593</v>
      </c>
      <c r="D27" s="6">
        <f t="shared" si="0"/>
        <v>301.94894314613157</v>
      </c>
      <c r="E27" s="7">
        <f t="shared" si="1"/>
        <v>355</v>
      </c>
      <c r="F27" s="8">
        <f t="shared" si="2"/>
        <v>53.051056853868431</v>
      </c>
      <c r="G27" s="29">
        <v>34.130000000000003</v>
      </c>
      <c r="H27" s="29">
        <v>2.778</v>
      </c>
      <c r="I27" s="29">
        <v>48.5</v>
      </c>
    </row>
    <row r="28" spans="1:9" ht="15.75" customHeight="1">
      <c r="A28" s="29" t="s">
        <v>115</v>
      </c>
      <c r="B28" s="29">
        <v>881</v>
      </c>
      <c r="C28" s="29">
        <v>13238</v>
      </c>
      <c r="D28" s="6">
        <f t="shared" si="0"/>
        <v>388.34601300984212</v>
      </c>
      <c r="E28" s="7">
        <f t="shared" si="1"/>
        <v>374</v>
      </c>
      <c r="F28" s="8">
        <f t="shared" si="2"/>
        <v>-14.346013009842125</v>
      </c>
      <c r="G28" s="29">
        <v>34</v>
      </c>
      <c r="H28" s="29">
        <v>2.8889999999999998</v>
      </c>
      <c r="I28" s="29">
        <v>48.5</v>
      </c>
    </row>
    <row r="29" spans="1:9" ht="15.75" customHeight="1">
      <c r="A29" s="29" t="s">
        <v>116</v>
      </c>
      <c r="B29" s="29">
        <v>876</v>
      </c>
      <c r="C29" s="29">
        <v>12864</v>
      </c>
      <c r="D29" s="6">
        <f t="shared" si="0"/>
        <v>386.14200612556391</v>
      </c>
      <c r="E29" s="7">
        <f t="shared" si="1"/>
        <v>379.64999999999964</v>
      </c>
      <c r="F29" s="8">
        <f t="shared" si="2"/>
        <v>-6.4920061255642736</v>
      </c>
      <c r="G29" s="29">
        <v>33.56</v>
      </c>
      <c r="H29" s="29">
        <v>4</v>
      </c>
      <c r="I29" s="29">
        <v>48.5</v>
      </c>
    </row>
    <row r="30" spans="1:9" ht="15.75" customHeight="1">
      <c r="A30" s="29" t="s">
        <v>117</v>
      </c>
      <c r="B30" s="29">
        <v>884</v>
      </c>
      <c r="C30" s="29">
        <v>12484.35</v>
      </c>
      <c r="D30" s="6">
        <f t="shared" si="0"/>
        <v>389.66841714040913</v>
      </c>
      <c r="E30" s="7">
        <f t="shared" si="1"/>
        <v>383.35000000000036</v>
      </c>
      <c r="F30" s="8">
        <f t="shared" si="2"/>
        <v>-6.3184171404087692</v>
      </c>
      <c r="G30" s="29">
        <v>33.44</v>
      </c>
      <c r="H30" s="29">
        <v>4.1109999999999998</v>
      </c>
      <c r="I30" s="29">
        <v>48.5</v>
      </c>
    </row>
    <row r="31" spans="1:9" ht="15.75" customHeight="1">
      <c r="A31" s="29" t="s">
        <v>118</v>
      </c>
      <c r="B31" s="29">
        <v>905</v>
      </c>
      <c r="C31" s="29">
        <v>12101</v>
      </c>
      <c r="D31" s="6">
        <f t="shared" si="0"/>
        <v>399.35122997280183</v>
      </c>
      <c r="E31" s="7">
        <f t="shared" si="1"/>
        <v>391</v>
      </c>
      <c r="F31" s="8">
        <f t="shared" si="2"/>
        <v>-8.351229972801832</v>
      </c>
      <c r="G31" s="29">
        <v>33.130000000000003</v>
      </c>
      <c r="H31" s="29">
        <v>2.556</v>
      </c>
      <c r="I31" s="29">
        <v>48.22</v>
      </c>
    </row>
    <row r="32" spans="1:9" ht="15.75" customHeight="1">
      <c r="A32" s="29" t="s">
        <v>119</v>
      </c>
      <c r="B32" s="29">
        <v>917</v>
      </c>
      <c r="C32" s="29">
        <v>11710</v>
      </c>
      <c r="D32" s="6">
        <f t="shared" si="0"/>
        <v>404.21486257664617</v>
      </c>
      <c r="E32" s="7">
        <f t="shared" si="1"/>
        <v>407</v>
      </c>
      <c r="F32" s="8">
        <f t="shared" si="2"/>
        <v>2.7851374233538309</v>
      </c>
      <c r="G32" s="29">
        <v>33.5</v>
      </c>
      <c r="H32" s="29">
        <v>3</v>
      </c>
      <c r="I32" s="29">
        <v>48.5</v>
      </c>
    </row>
    <row r="33" spans="1:9" ht="15.75" customHeight="1">
      <c r="A33" s="29" t="s">
        <v>120</v>
      </c>
      <c r="B33" s="29">
        <v>923</v>
      </c>
      <c r="C33" s="29">
        <v>11303</v>
      </c>
      <c r="D33" s="6">
        <f t="shared" si="0"/>
        <v>406.85967083778019</v>
      </c>
      <c r="E33" s="7">
        <f t="shared" si="1"/>
        <v>405.64999999999964</v>
      </c>
      <c r="F33" s="8">
        <f t="shared" si="2"/>
        <v>-1.2096708377805498</v>
      </c>
      <c r="G33" s="29">
        <v>33.5</v>
      </c>
      <c r="H33" s="29">
        <v>6.444</v>
      </c>
      <c r="I33" s="29">
        <v>48.5</v>
      </c>
    </row>
    <row r="34" spans="1:9" ht="15.75" customHeight="1">
      <c r="A34" s="29" t="s">
        <v>121</v>
      </c>
      <c r="B34" s="29">
        <v>941</v>
      </c>
      <c r="C34" s="29">
        <v>10897.35</v>
      </c>
      <c r="D34" s="6">
        <f t="shared" si="0"/>
        <v>414.79409562118212</v>
      </c>
      <c r="E34" s="7">
        <f t="shared" si="1"/>
        <v>404.35000000000036</v>
      </c>
      <c r="F34" s="8">
        <f t="shared" si="2"/>
        <v>-10.444095621181759</v>
      </c>
      <c r="G34" s="29">
        <v>32.75</v>
      </c>
      <c r="H34" s="29">
        <v>4.7779999999999996</v>
      </c>
      <c r="I34" s="29">
        <v>48.5</v>
      </c>
    </row>
    <row r="35" spans="1:9" ht="15.75" customHeight="1">
      <c r="A35" s="29" t="s">
        <v>122</v>
      </c>
      <c r="B35" s="29">
        <v>977</v>
      </c>
      <c r="C35" s="29">
        <v>10493</v>
      </c>
      <c r="D35" s="6">
        <f t="shared" si="0"/>
        <v>430.18664675228393</v>
      </c>
      <c r="E35" s="7">
        <f t="shared" si="1"/>
        <v>414</v>
      </c>
      <c r="F35" s="8">
        <f t="shared" si="2"/>
        <v>-16.186646752283934</v>
      </c>
      <c r="G35" s="29">
        <v>32.5</v>
      </c>
      <c r="H35" s="29">
        <v>4.7779999999999996</v>
      </c>
      <c r="I35" s="29">
        <v>48.79</v>
      </c>
    </row>
    <row r="36" spans="1:9" ht="15.75" customHeight="1">
      <c r="A36" s="29" t="s">
        <v>123</v>
      </c>
      <c r="B36" s="29">
        <v>938</v>
      </c>
      <c r="C36" s="29">
        <v>10079</v>
      </c>
      <c r="D36" s="6">
        <f t="shared" si="0"/>
        <v>413.47169149061511</v>
      </c>
      <c r="E36" s="7">
        <f t="shared" si="1"/>
        <v>415</v>
      </c>
      <c r="F36" s="8">
        <f t="shared" si="2"/>
        <v>1.5283085093848854</v>
      </c>
      <c r="G36" s="29">
        <v>32.630000000000003</v>
      </c>
      <c r="H36" s="29">
        <v>4.7779999999999996</v>
      </c>
      <c r="I36" s="29">
        <v>48.5</v>
      </c>
    </row>
    <row r="37" spans="1:9" ht="15.75" customHeight="1">
      <c r="A37" s="29" t="s">
        <v>124</v>
      </c>
      <c r="B37" s="29">
        <v>952</v>
      </c>
      <c r="C37" s="29">
        <v>9664</v>
      </c>
      <c r="D37" s="6">
        <f t="shared" si="0"/>
        <v>419.17880011072077</v>
      </c>
      <c r="E37" s="7">
        <f t="shared" si="1"/>
        <v>414</v>
      </c>
      <c r="F37" s="8">
        <f t="shared" si="2"/>
        <v>-5.178800110720772</v>
      </c>
      <c r="G37" s="29">
        <v>32.380000000000003</v>
      </c>
      <c r="H37" s="29">
        <v>6.444</v>
      </c>
      <c r="I37" s="29">
        <v>48.79</v>
      </c>
    </row>
    <row r="38" spans="1:9" ht="15.75" customHeight="1">
      <c r="A38" s="29" t="s">
        <v>125</v>
      </c>
      <c r="B38" s="29">
        <v>950</v>
      </c>
      <c r="C38" s="29">
        <v>9250</v>
      </c>
      <c r="D38" s="6">
        <f t="shared" si="0"/>
        <v>418.76130801288315</v>
      </c>
      <c r="E38" s="7">
        <f t="shared" si="1"/>
        <v>415.64700000000084</v>
      </c>
      <c r="F38" s="8">
        <f t="shared" si="2"/>
        <v>-3.1143080128823044</v>
      </c>
      <c r="G38" s="29">
        <v>32.25</v>
      </c>
      <c r="H38" s="29">
        <v>3.222</v>
      </c>
      <c r="I38" s="29">
        <v>48.5</v>
      </c>
    </row>
    <row r="39" spans="1:9" ht="15.75" customHeight="1">
      <c r="A39" s="29" t="s">
        <v>126</v>
      </c>
      <c r="B39" s="29">
        <v>935</v>
      </c>
      <c r="C39" s="29">
        <v>8834.3529999999992</v>
      </c>
      <c r="D39" s="6">
        <f t="shared" si="0"/>
        <v>412.14928736004816</v>
      </c>
      <c r="E39" s="7">
        <f t="shared" si="1"/>
        <v>413</v>
      </c>
      <c r="F39" s="8">
        <f t="shared" si="2"/>
        <v>0.85071263995183699</v>
      </c>
      <c r="G39" s="29">
        <v>32.06</v>
      </c>
      <c r="H39" s="29">
        <v>2</v>
      </c>
      <c r="I39" s="29">
        <v>48.5</v>
      </c>
    </row>
    <row r="40" spans="1:9" ht="15.75" customHeight="1">
      <c r="A40" s="29" t="s">
        <v>127</v>
      </c>
      <c r="B40" s="29">
        <v>980</v>
      </c>
      <c r="C40" s="29">
        <v>8421.3529999999992</v>
      </c>
      <c r="D40" s="6">
        <f t="shared" si="0"/>
        <v>431.50758834927137</v>
      </c>
      <c r="E40" s="7">
        <f t="shared" si="1"/>
        <v>414.35299999999916</v>
      </c>
      <c r="F40" s="8">
        <f t="shared" si="2"/>
        <v>-17.154588349272217</v>
      </c>
      <c r="G40" s="29">
        <v>31.87</v>
      </c>
      <c r="H40" s="29">
        <v>4</v>
      </c>
      <c r="I40" s="29">
        <v>48.79</v>
      </c>
    </row>
    <row r="41" spans="1:9" ht="15.75" customHeight="1">
      <c r="A41" s="29" t="s">
        <v>128</v>
      </c>
      <c r="B41" s="29">
        <v>971</v>
      </c>
      <c r="C41" s="29">
        <v>8007</v>
      </c>
      <c r="D41" s="6">
        <f t="shared" si="0"/>
        <v>428.01813692685226</v>
      </c>
      <c r="E41" s="7">
        <f t="shared" si="1"/>
        <v>418</v>
      </c>
      <c r="F41" s="8">
        <f t="shared" si="2"/>
        <v>-10.018136926852264</v>
      </c>
      <c r="G41" s="29">
        <v>31.69</v>
      </c>
      <c r="H41" s="29">
        <v>5.444</v>
      </c>
      <c r="I41" s="29">
        <v>48.5</v>
      </c>
    </row>
    <row r="42" spans="1:9" ht="15.75" customHeight="1">
      <c r="A42" s="29" t="s">
        <v>129</v>
      </c>
      <c r="B42" s="29">
        <v>982</v>
      </c>
      <c r="C42" s="29">
        <v>7589</v>
      </c>
      <c r="D42" s="6">
        <f t="shared" si="0"/>
        <v>432.8669520722645</v>
      </c>
      <c r="E42" s="7">
        <f t="shared" si="1"/>
        <v>412</v>
      </c>
      <c r="F42" s="8">
        <f t="shared" si="2"/>
        <v>-20.866952072264496</v>
      </c>
      <c r="G42" s="29">
        <v>31.25</v>
      </c>
      <c r="H42" s="29">
        <v>2.8889999999999998</v>
      </c>
      <c r="I42" s="29">
        <v>48.5</v>
      </c>
    </row>
    <row r="43" spans="1:9" ht="15.75" customHeight="1">
      <c r="A43" s="29" t="s">
        <v>130</v>
      </c>
      <c r="B43" s="29">
        <v>959</v>
      </c>
      <c r="C43" s="29">
        <v>7177</v>
      </c>
      <c r="D43" s="6">
        <f t="shared" si="0"/>
        <v>422.26099717035845</v>
      </c>
      <c r="E43" s="7">
        <f t="shared" si="1"/>
        <v>408.64699999999993</v>
      </c>
      <c r="F43" s="8">
        <f t="shared" si="2"/>
        <v>-13.613997170358516</v>
      </c>
      <c r="G43" s="29">
        <v>31.25</v>
      </c>
      <c r="H43" s="29">
        <v>6.444</v>
      </c>
      <c r="I43" s="29">
        <v>48.79</v>
      </c>
    </row>
    <row r="44" spans="1:9" ht="15.75" customHeight="1">
      <c r="A44" s="29" t="s">
        <v>131</v>
      </c>
      <c r="B44" s="29">
        <v>947</v>
      </c>
      <c r="C44" s="29">
        <v>6768.3530000000001</v>
      </c>
      <c r="D44" s="6">
        <f t="shared" si="0"/>
        <v>417.43890388231614</v>
      </c>
      <c r="E44" s="7">
        <f t="shared" si="1"/>
        <v>400</v>
      </c>
      <c r="F44" s="8">
        <f t="shared" si="2"/>
        <v>-17.43890388231614</v>
      </c>
      <c r="G44" s="29">
        <v>31.31</v>
      </c>
      <c r="H44" s="29">
        <v>4.3330000000000002</v>
      </c>
      <c r="I44" s="29">
        <v>48.5</v>
      </c>
    </row>
    <row r="45" spans="1:9" ht="15.75" customHeight="1">
      <c r="A45" s="29" t="s">
        <v>132</v>
      </c>
      <c r="B45" s="29">
        <v>965</v>
      </c>
      <c r="C45" s="29">
        <v>6368.3530000000001</v>
      </c>
      <c r="D45" s="6">
        <f t="shared" si="0"/>
        <v>425.37332866571825</v>
      </c>
      <c r="E45" s="7">
        <f t="shared" si="1"/>
        <v>382</v>
      </c>
      <c r="F45" s="8">
        <f t="shared" si="2"/>
        <v>-43.373328665718248</v>
      </c>
      <c r="G45" s="29">
        <v>31.31</v>
      </c>
      <c r="H45" s="29">
        <v>1.111</v>
      </c>
      <c r="I45" s="29">
        <v>48.5</v>
      </c>
    </row>
    <row r="46" spans="1:9" ht="15.75" customHeight="1">
      <c r="A46" s="29" t="s">
        <v>133</v>
      </c>
      <c r="B46" s="29">
        <v>710</v>
      </c>
      <c r="C46" s="29">
        <v>5986.3530000000001</v>
      </c>
      <c r="D46" s="6">
        <f t="shared" si="0"/>
        <v>312.96897756752321</v>
      </c>
      <c r="E46" s="7">
        <f t="shared" si="1"/>
        <v>381</v>
      </c>
      <c r="F46" s="8">
        <f t="shared" si="2"/>
        <v>68.031022432476789</v>
      </c>
      <c r="G46" s="29">
        <v>30.87</v>
      </c>
      <c r="H46" s="29">
        <v>2.556</v>
      </c>
      <c r="I46" s="29">
        <v>48.5</v>
      </c>
    </row>
    <row r="47" spans="1:9" ht="15.75" customHeight="1">
      <c r="A47" s="29" t="s">
        <v>134</v>
      </c>
      <c r="B47" s="29">
        <v>895</v>
      </c>
      <c r="C47" s="29">
        <v>5605.3530000000001</v>
      </c>
      <c r="D47" s="6">
        <f t="shared" si="0"/>
        <v>394.51723228582154</v>
      </c>
      <c r="E47" s="7">
        <f t="shared" si="1"/>
        <v>383.35300000000007</v>
      </c>
      <c r="F47" s="8">
        <f t="shared" si="2"/>
        <v>-11.16423228582147</v>
      </c>
      <c r="G47" s="29">
        <v>30.81</v>
      </c>
      <c r="H47" s="29">
        <v>4.1109999999999998</v>
      </c>
      <c r="I47" s="29">
        <v>48.5</v>
      </c>
    </row>
    <row r="48" spans="1:9" ht="15.75" customHeight="1">
      <c r="A48" s="29" t="s">
        <v>135</v>
      </c>
      <c r="B48" s="29">
        <v>877</v>
      </c>
      <c r="C48" s="29">
        <v>5222</v>
      </c>
      <c r="D48" s="6">
        <f t="shared" si="0"/>
        <v>386.99561180789749</v>
      </c>
      <c r="E48" s="7">
        <f t="shared" si="1"/>
        <v>377</v>
      </c>
      <c r="F48" s="8">
        <f t="shared" si="2"/>
        <v>-9.9956118078974896</v>
      </c>
      <c r="G48" s="29">
        <v>31.25</v>
      </c>
      <c r="H48" s="29">
        <v>4.2220000000000004</v>
      </c>
      <c r="I48" s="29">
        <v>48.22</v>
      </c>
    </row>
    <row r="49" spans="1:9" ht="15.75" customHeight="1">
      <c r="A49" s="29" t="s">
        <v>136</v>
      </c>
      <c r="B49" s="29">
        <v>850</v>
      </c>
      <c r="C49" s="29">
        <v>4845</v>
      </c>
      <c r="D49" s="6">
        <f t="shared" si="0"/>
        <v>374.68117032731652</v>
      </c>
      <c r="E49" s="7">
        <f t="shared" si="1"/>
        <v>372</v>
      </c>
      <c r="F49" s="8">
        <f t="shared" si="2"/>
        <v>-2.6811703273165222</v>
      </c>
      <c r="G49" s="29">
        <v>30.37</v>
      </c>
      <c r="H49" s="29">
        <v>4.1109999999999998</v>
      </c>
      <c r="I49" s="29">
        <v>48.5</v>
      </c>
    </row>
    <row r="50" spans="1:9" ht="15.75" customHeight="1">
      <c r="A50" s="29" t="s">
        <v>137</v>
      </c>
      <c r="B50" s="29">
        <v>839</v>
      </c>
      <c r="C50" s="29">
        <v>4473</v>
      </c>
      <c r="D50" s="6">
        <f t="shared" si="0"/>
        <v>369.83235518190418</v>
      </c>
      <c r="E50" s="7">
        <f t="shared" si="1"/>
        <v>363</v>
      </c>
      <c r="F50" s="8">
        <f t="shared" si="2"/>
        <v>-6.8323551819041768</v>
      </c>
      <c r="G50" s="29">
        <v>30.31</v>
      </c>
      <c r="H50" s="29">
        <v>5</v>
      </c>
      <c r="I50" s="29">
        <v>48.5</v>
      </c>
    </row>
    <row r="51" spans="1:9" ht="15.75" customHeight="1">
      <c r="A51" s="29" t="s">
        <v>138</v>
      </c>
      <c r="B51" s="29">
        <v>808</v>
      </c>
      <c r="C51" s="29">
        <v>4110</v>
      </c>
      <c r="D51" s="6">
        <f t="shared" si="0"/>
        <v>356.16751249937857</v>
      </c>
      <c r="E51" s="7">
        <f t="shared" si="1"/>
        <v>354</v>
      </c>
      <c r="F51" s="8">
        <f t="shared" si="2"/>
        <v>-2.1675124993785744</v>
      </c>
      <c r="G51" s="29">
        <v>30</v>
      </c>
      <c r="H51" s="29">
        <v>5.3330000000000002</v>
      </c>
      <c r="I51" s="29">
        <v>48.5</v>
      </c>
    </row>
    <row r="52" spans="1:9" ht="15.75" customHeight="1">
      <c r="A52" s="29" t="s">
        <v>139</v>
      </c>
      <c r="B52" s="29">
        <v>787</v>
      </c>
      <c r="C52" s="29">
        <v>3756</v>
      </c>
      <c r="D52" s="6">
        <f t="shared" si="0"/>
        <v>346.91068358540963</v>
      </c>
      <c r="E52" s="7">
        <f t="shared" si="1"/>
        <v>345</v>
      </c>
      <c r="F52" s="8">
        <f t="shared" si="2"/>
        <v>-1.9106835854096289</v>
      </c>
      <c r="G52" s="29">
        <v>30.13</v>
      </c>
      <c r="H52" s="29">
        <v>3.222</v>
      </c>
      <c r="I52" s="29">
        <v>48.5</v>
      </c>
    </row>
    <row r="53" spans="1:9" ht="15.75" customHeight="1">
      <c r="A53" s="29" t="s">
        <v>140</v>
      </c>
      <c r="B53" s="29">
        <v>760</v>
      </c>
      <c r="C53" s="29">
        <v>3411</v>
      </c>
      <c r="D53" s="6">
        <f t="shared" si="0"/>
        <v>335.0090464103065</v>
      </c>
      <c r="E53" s="7">
        <f t="shared" si="1"/>
        <v>333</v>
      </c>
      <c r="F53" s="8">
        <f t="shared" si="2"/>
        <v>-2.009046410306496</v>
      </c>
      <c r="G53" s="29">
        <v>29.5</v>
      </c>
      <c r="H53" s="29">
        <v>2.1110000000000002</v>
      </c>
      <c r="I53" s="29">
        <v>48.5</v>
      </c>
    </row>
    <row r="54" spans="1:9" ht="15.75" customHeight="1">
      <c r="A54" s="29" t="s">
        <v>141</v>
      </c>
      <c r="B54" s="29">
        <v>721</v>
      </c>
      <c r="C54" s="29">
        <v>3078</v>
      </c>
      <c r="D54" s="6">
        <f t="shared" si="0"/>
        <v>317.46629714267823</v>
      </c>
      <c r="E54" s="7">
        <f t="shared" si="1"/>
        <v>317.64699999999993</v>
      </c>
      <c r="F54" s="8">
        <f t="shared" si="2"/>
        <v>0.18070285732170532</v>
      </c>
      <c r="G54" s="29">
        <v>29.63</v>
      </c>
      <c r="H54" s="29">
        <v>3.556</v>
      </c>
      <c r="I54" s="29">
        <v>48.79</v>
      </c>
    </row>
    <row r="55" spans="1:9" ht="15.75" customHeight="1">
      <c r="A55" s="29" t="s">
        <v>142</v>
      </c>
      <c r="B55" s="29">
        <v>679</v>
      </c>
      <c r="C55" s="29">
        <v>2760.3530000000001</v>
      </c>
      <c r="D55" s="6">
        <f t="shared" si="0"/>
        <v>299.30413488499761</v>
      </c>
      <c r="E55" s="7">
        <f t="shared" si="1"/>
        <v>305.35300000000007</v>
      </c>
      <c r="F55" s="8">
        <f t="shared" si="2"/>
        <v>6.0488651150024566</v>
      </c>
      <c r="G55" s="29">
        <v>29.06</v>
      </c>
      <c r="H55" s="29">
        <v>4.3330000000000002</v>
      </c>
      <c r="I55" s="29">
        <v>48.5</v>
      </c>
    </row>
    <row r="56" spans="1:9" ht="15.75" customHeight="1">
      <c r="A56" s="29" t="s">
        <v>143</v>
      </c>
      <c r="B56" s="29">
        <v>651</v>
      </c>
      <c r="C56" s="29">
        <v>2455</v>
      </c>
      <c r="D56" s="6">
        <f t="shared" si="0"/>
        <v>286.96169633303884</v>
      </c>
      <c r="E56" s="7">
        <f t="shared" si="1"/>
        <v>288</v>
      </c>
      <c r="F56" s="8">
        <f t="shared" si="2"/>
        <v>1.0383036669611556</v>
      </c>
      <c r="G56" s="29">
        <v>29.13</v>
      </c>
      <c r="H56" s="29">
        <v>3.222</v>
      </c>
      <c r="I56" s="29">
        <v>48.5</v>
      </c>
    </row>
    <row r="57" spans="1:9" ht="15.75" customHeight="1">
      <c r="A57" s="29" t="s">
        <v>144</v>
      </c>
      <c r="B57" s="29">
        <v>627</v>
      </c>
      <c r="C57" s="29">
        <v>2167</v>
      </c>
      <c r="D57" s="6">
        <f t="shared" si="0"/>
        <v>276.38246328850295</v>
      </c>
      <c r="E57" s="7">
        <f t="shared" si="1"/>
        <v>276</v>
      </c>
      <c r="F57" s="8">
        <f t="shared" si="2"/>
        <v>-0.38246328850294731</v>
      </c>
      <c r="G57" s="29">
        <v>29.19</v>
      </c>
      <c r="H57" s="29">
        <v>3.444</v>
      </c>
      <c r="I57" s="29">
        <v>48.5</v>
      </c>
    </row>
    <row r="58" spans="1:9" ht="15.75" customHeight="1">
      <c r="A58" s="29" t="s">
        <v>145</v>
      </c>
      <c r="B58" s="29">
        <v>594</v>
      </c>
      <c r="C58" s="29">
        <v>1891</v>
      </c>
      <c r="D58" s="6">
        <f t="shared" si="0"/>
        <v>261.83601785226585</v>
      </c>
      <c r="E58" s="7">
        <f t="shared" si="1"/>
        <v>256.64699999999993</v>
      </c>
      <c r="F58" s="8">
        <f t="shared" si="2"/>
        <v>-5.1890178522659198</v>
      </c>
      <c r="G58" s="29">
        <v>28.87</v>
      </c>
      <c r="H58" s="29">
        <v>1.889</v>
      </c>
      <c r="I58" s="29">
        <v>48.5</v>
      </c>
    </row>
    <row r="59" spans="1:9" ht="15.75" customHeight="1">
      <c r="A59" s="31"/>
      <c r="B59" s="32"/>
      <c r="C59" s="29">
        <v>1634.3530000000001</v>
      </c>
      <c r="D59" s="6">
        <f t="shared" si="0"/>
        <v>0</v>
      </c>
      <c r="E59" s="7">
        <f t="shared" si="1"/>
        <v>245.35300000000007</v>
      </c>
      <c r="F59" s="8">
        <f t="shared" si="2"/>
        <v>245.35300000000007</v>
      </c>
      <c r="G59" s="32"/>
      <c r="H59" s="32"/>
      <c r="I59" s="32"/>
    </row>
    <row r="60" spans="1:9" ht="15.75" customHeight="1">
      <c r="A60" s="29" t="s">
        <v>146</v>
      </c>
      <c r="B60" s="29">
        <v>524</v>
      </c>
      <c r="C60" s="29">
        <v>1389</v>
      </c>
      <c r="D60" s="6">
        <f t="shared" si="0"/>
        <v>231.22656851463887</v>
      </c>
      <c r="E60" s="7">
        <f t="shared" si="1"/>
        <v>211.64699999999993</v>
      </c>
      <c r="F60" s="8">
        <f t="shared" si="2"/>
        <v>-19.579568514638936</v>
      </c>
      <c r="G60" s="29">
        <v>27.5</v>
      </c>
      <c r="H60" s="29">
        <v>2.1110000000000002</v>
      </c>
      <c r="I60" s="29">
        <v>48.22</v>
      </c>
    </row>
    <row r="61" spans="1:9" ht="15.75" customHeight="1">
      <c r="A61" s="29" t="s">
        <v>147</v>
      </c>
      <c r="B61" s="29">
        <v>441</v>
      </c>
      <c r="C61" s="29">
        <v>1177.3530000000001</v>
      </c>
      <c r="D61" s="6">
        <f t="shared" si="0"/>
        <v>194.81597853342058</v>
      </c>
      <c r="E61" s="7">
        <f t="shared" si="1"/>
        <v>164.00000000000011</v>
      </c>
      <c r="F61" s="8">
        <f t="shared" si="2"/>
        <v>-30.815978533420463</v>
      </c>
      <c r="G61" s="29">
        <v>27.06</v>
      </c>
      <c r="H61" s="29">
        <v>1.778</v>
      </c>
      <c r="I61" s="29">
        <v>47.93</v>
      </c>
    </row>
    <row r="62" spans="1:9" ht="15.75" customHeight="1">
      <c r="A62" s="29" t="s">
        <v>148</v>
      </c>
      <c r="B62" s="29">
        <v>404</v>
      </c>
      <c r="C62" s="29">
        <v>1013.353</v>
      </c>
      <c r="D62" s="6">
        <f t="shared" si="0"/>
        <v>178.66782828053817</v>
      </c>
      <c r="E62" s="7">
        <f t="shared" si="1"/>
        <v>207.35299999999995</v>
      </c>
      <c r="F62" s="8">
        <f t="shared" si="2"/>
        <v>28.685171719461778</v>
      </c>
      <c r="G62" s="29">
        <v>27.63</v>
      </c>
      <c r="H62" s="29">
        <v>1.556</v>
      </c>
      <c r="I62" s="29">
        <v>47.64</v>
      </c>
    </row>
    <row r="63" spans="1:9" ht="15.75" customHeight="1">
      <c r="A63" s="29" t="s">
        <v>149</v>
      </c>
      <c r="B63" s="29">
        <v>453</v>
      </c>
      <c r="C63" s="29">
        <v>806</v>
      </c>
      <c r="D63" s="6">
        <f t="shared" si="0"/>
        <v>200.5587787365435</v>
      </c>
      <c r="E63" s="7">
        <f t="shared" si="1"/>
        <v>184</v>
      </c>
      <c r="F63" s="8">
        <f t="shared" si="2"/>
        <v>-16.558778736543502</v>
      </c>
      <c r="G63" s="29">
        <v>26.75</v>
      </c>
      <c r="H63" s="29">
        <v>2.222</v>
      </c>
      <c r="I63" s="29">
        <v>47.35</v>
      </c>
    </row>
    <row r="64" spans="1:9" ht="15.75" customHeight="1">
      <c r="A64" s="29" t="s">
        <v>150</v>
      </c>
      <c r="B64" s="29">
        <v>382</v>
      </c>
      <c r="C64" s="29">
        <v>622</v>
      </c>
      <c r="D64" s="6">
        <f t="shared" si="0"/>
        <v>170.04292434340132</v>
      </c>
      <c r="E64" s="7">
        <f t="shared" si="1"/>
        <v>160</v>
      </c>
      <c r="F64" s="8">
        <f t="shared" si="2"/>
        <v>-10.042924343401324</v>
      </c>
      <c r="G64" s="29">
        <v>26.69</v>
      </c>
      <c r="H64" s="29">
        <v>0.55600000000000005</v>
      </c>
      <c r="I64" s="29">
        <v>45.92</v>
      </c>
    </row>
    <row r="65" spans="1:26" ht="15.75" customHeight="1">
      <c r="A65" s="29" t="s">
        <v>151</v>
      </c>
      <c r="B65" s="29">
        <v>313</v>
      </c>
      <c r="C65" s="29">
        <v>462</v>
      </c>
      <c r="D65" s="6">
        <f t="shared" si="0"/>
        <v>141.59618272754759</v>
      </c>
      <c r="E65" s="7">
        <f t="shared" si="1"/>
        <v>131.64699999999999</v>
      </c>
      <c r="F65" s="8">
        <f t="shared" si="2"/>
        <v>-9.9491827275475941</v>
      </c>
      <c r="G65" s="29">
        <v>26.13</v>
      </c>
      <c r="H65" s="29">
        <v>1</v>
      </c>
      <c r="I65" s="29">
        <v>41.61</v>
      </c>
    </row>
    <row r="66" spans="1:26" ht="15.75" customHeight="1">
      <c r="A66" s="29" t="s">
        <v>152</v>
      </c>
      <c r="B66" s="29">
        <v>263</v>
      </c>
      <c r="C66" s="29">
        <v>330.35300000000001</v>
      </c>
      <c r="D66" s="6">
        <f t="shared" si="0"/>
        <v>120.626100089332</v>
      </c>
      <c r="E66" s="7">
        <f t="shared" si="1"/>
        <v>109</v>
      </c>
      <c r="F66" s="8">
        <f t="shared" si="2"/>
        <v>-11.626100089331999</v>
      </c>
      <c r="G66" s="29">
        <v>25.62</v>
      </c>
      <c r="H66" s="29">
        <v>0.44400000000000001</v>
      </c>
      <c r="I66" s="29">
        <v>37.880000000000003</v>
      </c>
    </row>
    <row r="67" spans="1:26" ht="15.75" customHeight="1">
      <c r="A67" s="29" t="s">
        <v>153</v>
      </c>
      <c r="B67" s="29">
        <v>217</v>
      </c>
      <c r="C67" s="29">
        <v>221.35300000000001</v>
      </c>
      <c r="D67" s="6">
        <f t="shared" si="0"/>
        <v>100.8886762945513</v>
      </c>
      <c r="E67" s="7">
        <f t="shared" si="1"/>
        <v>88</v>
      </c>
      <c r="F67" s="8">
        <f t="shared" si="2"/>
        <v>-12.888676294551303</v>
      </c>
      <c r="G67" s="29">
        <v>25.25</v>
      </c>
      <c r="H67" s="29">
        <v>0.44400000000000001</v>
      </c>
      <c r="I67" s="29">
        <v>34.15</v>
      </c>
    </row>
    <row r="68" spans="1:26" ht="15.75" customHeight="1">
      <c r="A68" s="29" t="s">
        <v>154</v>
      </c>
      <c r="B68" s="29">
        <v>179</v>
      </c>
      <c r="C68" s="29">
        <v>133.35300000000001</v>
      </c>
      <c r="D68" s="6">
        <f t="shared" si="0"/>
        <v>83.910623489760596</v>
      </c>
      <c r="E68" s="7">
        <f t="shared" si="1"/>
        <v>69.353000000000009</v>
      </c>
      <c r="F68" s="8">
        <f t="shared" si="2"/>
        <v>-14.557623489760587</v>
      </c>
      <c r="G68" s="29">
        <v>24.94</v>
      </c>
      <c r="H68" s="29">
        <v>1.667</v>
      </c>
      <c r="I68" s="29">
        <v>31.86</v>
      </c>
    </row>
    <row r="69" spans="1:26" ht="15.75" customHeight="1">
      <c r="A69" s="29" t="s">
        <v>155</v>
      </c>
      <c r="B69" s="29">
        <v>141</v>
      </c>
      <c r="C69" s="29">
        <v>64</v>
      </c>
      <c r="D69" s="6">
        <f t="shared" si="0"/>
        <v>66.504888882735671</v>
      </c>
      <c r="E69" s="7">
        <f t="shared" si="1"/>
        <v>37.646999999999998</v>
      </c>
      <c r="F69" s="8">
        <f t="shared" si="2"/>
        <v>-28.857888882735672</v>
      </c>
      <c r="G69" s="29">
        <v>24.5</v>
      </c>
      <c r="H69" s="29">
        <v>1.222</v>
      </c>
      <c r="I69" s="29">
        <v>30.14</v>
      </c>
    </row>
    <row r="70" spans="1:26" ht="15.75" customHeight="1">
      <c r="A70" s="29" t="s">
        <v>156</v>
      </c>
      <c r="B70" s="29">
        <v>108</v>
      </c>
      <c r="C70" s="29">
        <v>26.353000000000002</v>
      </c>
      <c r="D70" s="6">
        <f t="shared" si="0"/>
        <v>51.304842233068875</v>
      </c>
      <c r="E70" s="7">
        <f t="shared" si="1"/>
        <v>0</v>
      </c>
      <c r="F70" s="8">
        <f t="shared" si="2"/>
        <v>-51.304842233068875</v>
      </c>
      <c r="G70" s="29">
        <v>24</v>
      </c>
      <c r="H70" s="29">
        <v>2.778</v>
      </c>
      <c r="I70" s="29">
        <v>28.13</v>
      </c>
    </row>
    <row r="71" spans="1:26" ht="15.75" customHeight="1">
      <c r="A71" s="29" t="s">
        <v>157</v>
      </c>
      <c r="B71" s="29">
        <v>75</v>
      </c>
      <c r="C71" s="29">
        <v>26.353000000000002</v>
      </c>
      <c r="D71" s="6">
        <f t="shared" si="0"/>
        <v>36.063340321254003</v>
      </c>
      <c r="E71" s="7">
        <f t="shared" si="1"/>
        <v>2.3530000000000015</v>
      </c>
      <c r="F71" s="8">
        <f t="shared" si="2"/>
        <v>-33.710340321254002</v>
      </c>
      <c r="G71" s="29">
        <v>23.19</v>
      </c>
      <c r="H71" s="29">
        <v>2</v>
      </c>
      <c r="I71" s="29">
        <v>24.68</v>
      </c>
    </row>
    <row r="72" spans="1:26" ht="15.75" customHeight="1">
      <c r="A72" s="29" t="s">
        <v>158</v>
      </c>
      <c r="B72" s="29">
        <v>43</v>
      </c>
      <c r="C72" s="29">
        <v>24</v>
      </c>
      <c r="D72" s="6">
        <f t="shared" si="0"/>
        <v>20.841850383687767</v>
      </c>
      <c r="E72" s="7">
        <f t="shared" si="1"/>
        <v>15</v>
      </c>
      <c r="F72" s="8">
        <f t="shared" si="2"/>
        <v>-5.8418503836877669</v>
      </c>
      <c r="G72" s="29">
        <v>22.25</v>
      </c>
      <c r="H72" s="29">
        <v>1.778</v>
      </c>
      <c r="I72" s="29">
        <v>22.39</v>
      </c>
    </row>
    <row r="73" spans="1:26" ht="15.75" customHeight="1">
      <c r="A73" s="29" t="s">
        <v>159</v>
      </c>
      <c r="B73" s="29">
        <v>22</v>
      </c>
      <c r="C73" s="29">
        <v>9</v>
      </c>
      <c r="D73" s="6">
        <f t="shared" si="0"/>
        <v>10.652916879157001</v>
      </c>
      <c r="E73" s="7">
        <f t="shared" si="1"/>
        <v>7</v>
      </c>
      <c r="F73" s="8">
        <f t="shared" si="2"/>
        <v>-3.6529168791570008</v>
      </c>
      <c r="G73" s="29">
        <v>22.06</v>
      </c>
      <c r="H73" s="29">
        <v>0.55600000000000005</v>
      </c>
      <c r="I73" s="29">
        <v>22.67</v>
      </c>
    </row>
    <row r="74" spans="1:26" ht="15.75" customHeight="1">
      <c r="A74" s="29" t="s">
        <v>160</v>
      </c>
      <c r="B74" s="29">
        <v>8</v>
      </c>
      <c r="C74" s="29">
        <v>2</v>
      </c>
      <c r="D74" s="6">
        <f t="shared" si="0"/>
        <v>3.8659877769667772</v>
      </c>
      <c r="E74" s="7">
        <f t="shared" si="1"/>
        <v>2</v>
      </c>
      <c r="F74" s="8">
        <f t="shared" si="2"/>
        <v>-1.8659877769667772</v>
      </c>
      <c r="G74" s="29">
        <v>22.19</v>
      </c>
      <c r="H74" s="29">
        <v>0.55600000000000005</v>
      </c>
      <c r="I74" s="29">
        <v>23.25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6.1648333333333332</v>
      </c>
      <c r="C76" s="11"/>
      <c r="D76" s="16">
        <f>SUM(D2:D75)</f>
        <v>16347.295705450086</v>
      </c>
      <c r="E76" s="15">
        <f>SUM(E1:E74)</f>
        <v>16489</v>
      </c>
      <c r="F76" s="11"/>
      <c r="G76" s="17">
        <f t="shared" ref="G76:I76" si="3">AVERAGE(G1:G74)</f>
        <v>30.559444444444448</v>
      </c>
      <c r="H76" s="17">
        <f t="shared" si="3"/>
        <v>2.8086111111111114</v>
      </c>
      <c r="I76" s="17">
        <f t="shared" si="3"/>
        <v>45.053611111111103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7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9" t="s">
        <v>161</v>
      </c>
      <c r="B2" s="29">
        <v>0</v>
      </c>
      <c r="C2" s="29">
        <v>15110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29">
        <v>30.44</v>
      </c>
      <c r="H2" s="29">
        <v>1</v>
      </c>
      <c r="I2" s="29">
        <v>37.6</v>
      </c>
    </row>
    <row r="3" spans="1:26" ht="15.75" customHeight="1">
      <c r="A3" s="29" t="s">
        <v>162</v>
      </c>
      <c r="B3" s="29">
        <v>0</v>
      </c>
      <c r="C3" s="29">
        <v>15110</v>
      </c>
      <c r="D3" s="6">
        <f t="shared" si="0"/>
        <v>0</v>
      </c>
      <c r="E3" s="7">
        <f t="shared" si="1"/>
        <v>2</v>
      </c>
      <c r="F3" s="8">
        <f t="shared" si="2"/>
        <v>2</v>
      </c>
      <c r="G3" s="29">
        <v>30.63</v>
      </c>
      <c r="H3" s="29">
        <v>1.222</v>
      </c>
      <c r="I3" s="29">
        <v>38.75</v>
      </c>
    </row>
    <row r="4" spans="1:26" ht="15.75" customHeight="1">
      <c r="A4" s="29" t="s">
        <v>163</v>
      </c>
      <c r="B4" s="29">
        <v>7</v>
      </c>
      <c r="C4" s="29">
        <v>15108</v>
      </c>
      <c r="D4" s="6">
        <f t="shared" si="0"/>
        <v>3.1902228157461883</v>
      </c>
      <c r="E4" s="7">
        <f t="shared" si="1"/>
        <v>7</v>
      </c>
      <c r="F4" s="8">
        <f t="shared" si="2"/>
        <v>3.8097771842538117</v>
      </c>
      <c r="G4" s="29">
        <v>31</v>
      </c>
      <c r="H4" s="29">
        <v>1.889</v>
      </c>
      <c r="I4" s="29">
        <v>39.61</v>
      </c>
    </row>
    <row r="5" spans="1:26" ht="15.75" customHeight="1">
      <c r="A5" s="29" t="s">
        <v>164</v>
      </c>
      <c r="B5" s="29">
        <v>22</v>
      </c>
      <c r="C5" s="29">
        <v>15101</v>
      </c>
      <c r="D5" s="6">
        <f t="shared" si="0"/>
        <v>9.9842532509321202</v>
      </c>
      <c r="E5" s="7">
        <f t="shared" si="1"/>
        <v>13</v>
      </c>
      <c r="F5" s="8">
        <f t="shared" si="2"/>
        <v>3.0157467490678798</v>
      </c>
      <c r="G5" s="29">
        <v>31.25</v>
      </c>
      <c r="H5" s="29">
        <v>2</v>
      </c>
      <c r="I5" s="29">
        <v>40.75</v>
      </c>
    </row>
    <row r="6" spans="1:26" ht="15.75" customHeight="1">
      <c r="A6" s="29" t="s">
        <v>165</v>
      </c>
      <c r="B6" s="29">
        <v>31</v>
      </c>
      <c r="C6" s="29">
        <v>15088</v>
      </c>
      <c r="D6" s="6">
        <f t="shared" si="0"/>
        <v>14.023903081642095</v>
      </c>
      <c r="E6" s="7">
        <f t="shared" si="1"/>
        <v>16</v>
      </c>
      <c r="F6" s="8">
        <f t="shared" si="2"/>
        <v>1.9760969183579054</v>
      </c>
      <c r="G6" s="29">
        <v>31.56</v>
      </c>
      <c r="H6" s="29">
        <v>2.222</v>
      </c>
      <c r="I6" s="29">
        <v>41.61</v>
      </c>
    </row>
    <row r="7" spans="1:26" ht="15.75" customHeight="1">
      <c r="A7" s="29" t="s">
        <v>166</v>
      </c>
      <c r="B7" s="29">
        <v>36</v>
      </c>
      <c r="C7" s="29">
        <v>15072</v>
      </c>
      <c r="D7" s="6">
        <f t="shared" si="0"/>
        <v>16.19867610506255</v>
      </c>
      <c r="E7" s="7">
        <f t="shared" si="1"/>
        <v>22</v>
      </c>
      <c r="F7" s="8">
        <f t="shared" si="2"/>
        <v>5.8013238949374504</v>
      </c>
      <c r="G7" s="29">
        <v>31.75</v>
      </c>
      <c r="H7" s="29">
        <v>1.778</v>
      </c>
      <c r="I7" s="29">
        <v>43.05</v>
      </c>
    </row>
    <row r="8" spans="1:26" ht="15.75" customHeight="1">
      <c r="A8" s="29" t="s">
        <v>167</v>
      </c>
      <c r="B8" s="29">
        <v>52</v>
      </c>
      <c r="C8" s="29">
        <v>15050</v>
      </c>
      <c r="D8" s="6">
        <f t="shared" si="0"/>
        <v>23.22238194901092</v>
      </c>
      <c r="E8" s="7">
        <f t="shared" si="1"/>
        <v>39</v>
      </c>
      <c r="F8" s="8">
        <f t="shared" si="2"/>
        <v>15.77761805098908</v>
      </c>
      <c r="G8" s="29">
        <v>32.19</v>
      </c>
      <c r="H8" s="29">
        <v>2.6669999999999998</v>
      </c>
      <c r="I8" s="29">
        <v>45.06</v>
      </c>
    </row>
    <row r="9" spans="1:26" ht="15.75" customHeight="1">
      <c r="A9" s="29" t="s">
        <v>168</v>
      </c>
      <c r="B9" s="29">
        <v>106</v>
      </c>
      <c r="C9" s="29">
        <v>15011</v>
      </c>
      <c r="D9" s="6">
        <f t="shared" si="0"/>
        <v>46.979763004138121</v>
      </c>
      <c r="E9" s="7">
        <f t="shared" si="1"/>
        <v>63.649999999999636</v>
      </c>
      <c r="F9" s="8">
        <f t="shared" si="2"/>
        <v>16.670236995861515</v>
      </c>
      <c r="G9" s="29">
        <v>32.56</v>
      </c>
      <c r="H9" s="29">
        <v>1.889</v>
      </c>
      <c r="I9" s="29">
        <v>47.07</v>
      </c>
    </row>
    <row r="10" spans="1:26" ht="15.75" customHeight="1">
      <c r="A10" s="29" t="s">
        <v>169</v>
      </c>
      <c r="B10" s="29">
        <v>165</v>
      </c>
      <c r="C10" s="29">
        <v>14947.35</v>
      </c>
      <c r="D10" s="6">
        <f t="shared" si="0"/>
        <v>73.051210798078756</v>
      </c>
      <c r="E10" s="7">
        <f t="shared" si="1"/>
        <v>80.350000000000364</v>
      </c>
      <c r="F10" s="8">
        <f t="shared" si="2"/>
        <v>7.2987892019216076</v>
      </c>
      <c r="G10" s="29">
        <v>33.130000000000003</v>
      </c>
      <c r="H10" s="29">
        <v>1.556</v>
      </c>
      <c r="I10" s="29">
        <v>47.35</v>
      </c>
    </row>
    <row r="11" spans="1:26" ht="15.75" customHeight="1">
      <c r="A11" s="29" t="s">
        <v>170</v>
      </c>
      <c r="B11" s="29">
        <v>164</v>
      </c>
      <c r="C11" s="29">
        <v>14867</v>
      </c>
      <c r="D11" s="6">
        <f t="shared" si="0"/>
        <v>72.528524351505581</v>
      </c>
      <c r="E11" s="7">
        <f t="shared" si="1"/>
        <v>82</v>
      </c>
      <c r="F11" s="8">
        <f t="shared" si="2"/>
        <v>9.4714756484944189</v>
      </c>
      <c r="G11" s="29">
        <v>33.31</v>
      </c>
      <c r="H11" s="29">
        <v>2.444</v>
      </c>
      <c r="I11" s="29">
        <v>47.64</v>
      </c>
    </row>
    <row r="12" spans="1:26" ht="15.75" customHeight="1">
      <c r="A12" s="29" t="s">
        <v>171</v>
      </c>
      <c r="B12" s="29">
        <v>247</v>
      </c>
      <c r="C12" s="29">
        <v>14785</v>
      </c>
      <c r="D12" s="6">
        <f t="shared" si="0"/>
        <v>109.35544889166943</v>
      </c>
      <c r="E12" s="7">
        <f t="shared" si="1"/>
        <v>118.64999999999964</v>
      </c>
      <c r="F12" s="8">
        <f t="shared" si="2"/>
        <v>9.2945511083302108</v>
      </c>
      <c r="G12" s="29">
        <v>33.56</v>
      </c>
      <c r="H12" s="29">
        <v>2.556</v>
      </c>
      <c r="I12" s="29">
        <v>47.35</v>
      </c>
    </row>
    <row r="13" spans="1:26" ht="15.75" customHeight="1">
      <c r="A13" s="29" t="s">
        <v>172</v>
      </c>
      <c r="B13" s="29">
        <v>293</v>
      </c>
      <c r="C13" s="29">
        <v>14666.35</v>
      </c>
      <c r="D13" s="6">
        <f t="shared" si="0"/>
        <v>129.5784002133606</v>
      </c>
      <c r="E13" s="7">
        <f t="shared" si="1"/>
        <v>138</v>
      </c>
      <c r="F13" s="8">
        <f t="shared" si="2"/>
        <v>8.4215997866394048</v>
      </c>
      <c r="G13" s="29">
        <v>33.75</v>
      </c>
      <c r="H13" s="29">
        <v>2.222</v>
      </c>
      <c r="I13" s="29">
        <v>47.64</v>
      </c>
    </row>
    <row r="14" spans="1:26" ht="15.75" customHeight="1">
      <c r="A14" s="29" t="s">
        <v>173</v>
      </c>
      <c r="B14" s="29">
        <v>334</v>
      </c>
      <c r="C14" s="29">
        <v>14528.35</v>
      </c>
      <c r="D14" s="6">
        <f t="shared" si="0"/>
        <v>147.71053130123704</v>
      </c>
      <c r="E14" s="7">
        <f t="shared" si="1"/>
        <v>154.35000000000036</v>
      </c>
      <c r="F14" s="8">
        <f t="shared" si="2"/>
        <v>6.6394686987633236</v>
      </c>
      <c r="G14" s="29">
        <v>33.44</v>
      </c>
      <c r="H14" s="29">
        <v>2.3330000000000002</v>
      </c>
      <c r="I14" s="29">
        <v>47.64</v>
      </c>
    </row>
    <row r="15" spans="1:26" ht="15.75" customHeight="1">
      <c r="A15" s="29" t="s">
        <v>174</v>
      </c>
      <c r="B15" s="29">
        <v>376</v>
      </c>
      <c r="C15" s="29">
        <v>14374</v>
      </c>
      <c r="D15" s="6">
        <f t="shared" si="0"/>
        <v>166.10160528019532</v>
      </c>
      <c r="E15" s="7">
        <f t="shared" si="1"/>
        <v>174</v>
      </c>
      <c r="F15" s="8">
        <f t="shared" si="2"/>
        <v>7.8983947198046849</v>
      </c>
      <c r="G15" s="29">
        <v>33.81</v>
      </c>
      <c r="H15" s="29">
        <v>1.444</v>
      </c>
      <c r="I15" s="29">
        <v>47.93</v>
      </c>
    </row>
    <row r="16" spans="1:26" ht="15.75" customHeight="1">
      <c r="A16" s="29" t="s">
        <v>175</v>
      </c>
      <c r="B16" s="29">
        <v>420</v>
      </c>
      <c r="C16" s="29">
        <v>14200</v>
      </c>
      <c r="D16" s="6">
        <f t="shared" si="0"/>
        <v>185.53902717468625</v>
      </c>
      <c r="E16" s="7">
        <f t="shared" si="1"/>
        <v>194.64999999999964</v>
      </c>
      <c r="F16" s="8">
        <f t="shared" si="2"/>
        <v>9.1109728253133824</v>
      </c>
      <c r="G16" s="29">
        <v>34</v>
      </c>
      <c r="H16" s="29">
        <v>1.222</v>
      </c>
      <c r="I16" s="29">
        <v>47.93</v>
      </c>
    </row>
    <row r="17" spans="1:9" ht="15.75" customHeight="1">
      <c r="A17" s="29" t="s">
        <v>176</v>
      </c>
      <c r="B17" s="29">
        <v>458</v>
      </c>
      <c r="C17" s="29">
        <v>14005.35</v>
      </c>
      <c r="D17" s="6">
        <f t="shared" si="0"/>
        <v>202.32589153811028</v>
      </c>
      <c r="E17" s="7">
        <f t="shared" si="1"/>
        <v>189</v>
      </c>
      <c r="F17" s="8">
        <f t="shared" si="2"/>
        <v>-13.325891538110284</v>
      </c>
      <c r="G17" s="29">
        <v>33.81</v>
      </c>
      <c r="H17" s="29">
        <v>0.55600000000000005</v>
      </c>
      <c r="I17" s="29">
        <v>47.93</v>
      </c>
    </row>
    <row r="18" spans="1:9" ht="15.75" customHeight="1">
      <c r="A18" s="29" t="s">
        <v>177</v>
      </c>
      <c r="B18" s="29">
        <v>471</v>
      </c>
      <c r="C18" s="29">
        <v>13816.35</v>
      </c>
      <c r="D18" s="6">
        <f t="shared" si="0"/>
        <v>207.83914841678416</v>
      </c>
      <c r="E18" s="7">
        <f t="shared" si="1"/>
        <v>223.35000000000036</v>
      </c>
      <c r="F18" s="8">
        <f t="shared" si="2"/>
        <v>15.510851583216208</v>
      </c>
      <c r="G18" s="29">
        <v>34.06</v>
      </c>
      <c r="H18" s="29">
        <v>2</v>
      </c>
      <c r="I18" s="29">
        <v>48.22</v>
      </c>
    </row>
    <row r="19" spans="1:9" ht="15.75" customHeight="1">
      <c r="A19" s="29" t="s">
        <v>178</v>
      </c>
      <c r="B19" s="29">
        <v>567</v>
      </c>
      <c r="C19" s="29">
        <v>13593</v>
      </c>
      <c r="D19" s="6">
        <f t="shared" si="0"/>
        <v>249.93438067716289</v>
      </c>
      <c r="E19" s="7">
        <f t="shared" si="1"/>
        <v>196.64999999999964</v>
      </c>
      <c r="F19" s="8">
        <f t="shared" si="2"/>
        <v>-53.284380677163256</v>
      </c>
      <c r="G19" s="29">
        <v>34.130000000000003</v>
      </c>
      <c r="H19" s="29">
        <v>2.8889999999999998</v>
      </c>
      <c r="I19" s="29">
        <v>48.5</v>
      </c>
    </row>
    <row r="20" spans="1:9" ht="15.75" customHeight="1">
      <c r="A20" s="29" t="s">
        <v>179</v>
      </c>
      <c r="B20" s="29">
        <v>604</v>
      </c>
      <c r="C20" s="29">
        <v>13396.35</v>
      </c>
      <c r="D20" s="6">
        <f t="shared" si="0"/>
        <v>266.24403162082262</v>
      </c>
      <c r="E20" s="7">
        <f t="shared" si="1"/>
        <v>0</v>
      </c>
      <c r="F20" s="8">
        <f t="shared" si="2"/>
        <v>-266.24403162082262</v>
      </c>
      <c r="G20" s="29">
        <v>34.5</v>
      </c>
      <c r="H20" s="29">
        <v>5</v>
      </c>
      <c r="I20" s="29">
        <v>48.5</v>
      </c>
    </row>
    <row r="21" spans="1:9" ht="15.75" customHeight="1">
      <c r="A21" s="29" t="s">
        <v>180</v>
      </c>
      <c r="B21" s="29">
        <v>624</v>
      </c>
      <c r="C21" s="29">
        <v>13396.35</v>
      </c>
      <c r="D21" s="6">
        <f t="shared" si="0"/>
        <v>275.06005915793588</v>
      </c>
      <c r="E21" s="7">
        <f t="shared" si="1"/>
        <v>0</v>
      </c>
      <c r="F21" s="8">
        <f t="shared" si="2"/>
        <v>-275.06005915793588</v>
      </c>
      <c r="G21" s="29">
        <v>34.5</v>
      </c>
      <c r="H21" s="29">
        <v>2.6669999999999998</v>
      </c>
      <c r="I21" s="29">
        <v>48.5</v>
      </c>
    </row>
    <row r="22" spans="1:9" ht="15.75" customHeight="1">
      <c r="A22" s="29" t="s">
        <v>181</v>
      </c>
      <c r="B22" s="29">
        <v>668</v>
      </c>
      <c r="C22" s="29">
        <v>13396.35</v>
      </c>
      <c r="D22" s="6">
        <f t="shared" si="0"/>
        <v>294.12966226256469</v>
      </c>
      <c r="E22" s="7">
        <f t="shared" si="1"/>
        <v>0</v>
      </c>
      <c r="F22" s="8">
        <f t="shared" si="2"/>
        <v>-294.12966226256469</v>
      </c>
      <c r="G22" s="29">
        <v>34.5</v>
      </c>
      <c r="H22" s="29">
        <v>2.556</v>
      </c>
      <c r="I22" s="29">
        <v>48.79</v>
      </c>
    </row>
    <row r="23" spans="1:9" ht="15.75" customHeight="1">
      <c r="A23" s="29" t="s">
        <v>182</v>
      </c>
      <c r="B23" s="29">
        <v>709</v>
      </c>
      <c r="C23" s="29">
        <v>13396.35</v>
      </c>
      <c r="D23" s="6">
        <f t="shared" si="0"/>
        <v>312.52817619066752</v>
      </c>
      <c r="E23" s="7">
        <f t="shared" si="1"/>
        <v>0</v>
      </c>
      <c r="F23" s="8">
        <f t="shared" si="2"/>
        <v>-312.52817619066752</v>
      </c>
      <c r="G23" s="29">
        <v>34.31</v>
      </c>
      <c r="H23" s="29">
        <v>3.6669999999999998</v>
      </c>
      <c r="I23" s="29">
        <v>48.5</v>
      </c>
    </row>
    <row r="24" spans="1:9" ht="15.75" customHeight="1">
      <c r="A24" s="29" t="s">
        <v>183</v>
      </c>
      <c r="B24" s="29">
        <v>754</v>
      </c>
      <c r="C24" s="29">
        <v>13396.35</v>
      </c>
      <c r="D24" s="6">
        <f t="shared" si="0"/>
        <v>332.36423814917248</v>
      </c>
      <c r="E24" s="7">
        <f t="shared" si="1"/>
        <v>0</v>
      </c>
      <c r="F24" s="8">
        <f t="shared" si="2"/>
        <v>-332.36423814917248</v>
      </c>
      <c r="G24" s="29">
        <v>33.69</v>
      </c>
      <c r="H24" s="29">
        <v>1.556</v>
      </c>
      <c r="I24" s="29">
        <v>48.5</v>
      </c>
    </row>
    <row r="25" spans="1:9" ht="15.75" customHeight="1">
      <c r="A25" s="29" t="s">
        <v>184</v>
      </c>
      <c r="B25" s="29">
        <v>763</v>
      </c>
      <c r="C25" s="29">
        <v>13396.35</v>
      </c>
      <c r="D25" s="6">
        <f t="shared" si="0"/>
        <v>335.95947950050413</v>
      </c>
      <c r="E25" s="7">
        <f t="shared" si="1"/>
        <v>0</v>
      </c>
      <c r="F25" s="8">
        <f t="shared" si="2"/>
        <v>-335.95947950050413</v>
      </c>
      <c r="G25" s="29">
        <v>33.880000000000003</v>
      </c>
      <c r="H25" s="29">
        <v>4.1109999999999998</v>
      </c>
      <c r="I25" s="29">
        <v>48.79</v>
      </c>
    </row>
    <row r="26" spans="1:9" ht="15.75" customHeight="1">
      <c r="A26" s="29" t="s">
        <v>185</v>
      </c>
      <c r="B26" s="29">
        <v>818</v>
      </c>
      <c r="C26" s="29">
        <v>13396.35</v>
      </c>
      <c r="D26" s="6">
        <f t="shared" si="0"/>
        <v>360.17674211194281</v>
      </c>
      <c r="E26" s="7">
        <f t="shared" si="1"/>
        <v>0</v>
      </c>
      <c r="F26" s="8">
        <f t="shared" si="2"/>
        <v>-360.17674211194281</v>
      </c>
      <c r="G26" s="29">
        <v>33.69</v>
      </c>
      <c r="H26" s="29">
        <v>2</v>
      </c>
      <c r="I26" s="29">
        <v>48.79</v>
      </c>
    </row>
    <row r="27" spans="1:9" ht="15.75" customHeight="1">
      <c r="A27" s="29" t="s">
        <v>186</v>
      </c>
      <c r="B27" s="29">
        <v>875</v>
      </c>
      <c r="C27" s="29">
        <v>13396.35</v>
      </c>
      <c r="D27" s="6">
        <f t="shared" si="0"/>
        <v>385.27463245470659</v>
      </c>
      <c r="E27" s="7">
        <f t="shared" si="1"/>
        <v>0</v>
      </c>
      <c r="F27" s="8">
        <f t="shared" si="2"/>
        <v>-385.27463245470659</v>
      </c>
      <c r="G27" s="29">
        <v>33.880000000000003</v>
      </c>
      <c r="H27" s="29">
        <v>4</v>
      </c>
      <c r="I27" s="29">
        <v>48.79</v>
      </c>
    </row>
    <row r="28" spans="1:9" ht="15.75" customHeight="1">
      <c r="A28" s="29" t="s">
        <v>187</v>
      </c>
      <c r="B28" s="29">
        <v>903</v>
      </c>
      <c r="C28" s="29">
        <v>13396.35</v>
      </c>
      <c r="D28" s="6">
        <f t="shared" si="0"/>
        <v>398.04364330066687</v>
      </c>
      <c r="E28" s="7">
        <f t="shared" si="1"/>
        <v>0</v>
      </c>
      <c r="F28" s="8">
        <f t="shared" si="2"/>
        <v>-398.04364330066687</v>
      </c>
      <c r="G28" s="29">
        <v>33.56</v>
      </c>
      <c r="H28" s="29">
        <v>1.778</v>
      </c>
      <c r="I28" s="29">
        <v>48.5</v>
      </c>
    </row>
    <row r="29" spans="1:9" ht="15.75" customHeight="1">
      <c r="A29" s="29" t="s">
        <v>188</v>
      </c>
      <c r="B29" s="29">
        <v>920</v>
      </c>
      <c r="C29" s="29">
        <v>13396.35</v>
      </c>
      <c r="D29" s="6">
        <f t="shared" si="0"/>
        <v>405.53726670721318</v>
      </c>
      <c r="E29" s="7">
        <f t="shared" si="1"/>
        <v>305.35000000000036</v>
      </c>
      <c r="F29" s="8">
        <f t="shared" si="2"/>
        <v>-100.18726670721281</v>
      </c>
      <c r="G29" s="29">
        <v>33.81</v>
      </c>
      <c r="H29" s="29">
        <v>2.3330000000000002</v>
      </c>
      <c r="I29" s="29">
        <v>48.5</v>
      </c>
    </row>
    <row r="30" spans="1:9" ht="15.75" customHeight="1">
      <c r="A30" s="29" t="s">
        <v>189</v>
      </c>
      <c r="B30" s="29">
        <v>949</v>
      </c>
      <c r="C30" s="29">
        <v>13091</v>
      </c>
      <c r="D30" s="6">
        <f t="shared" si="0"/>
        <v>417.85785851373322</v>
      </c>
      <c r="E30" s="7">
        <f t="shared" si="1"/>
        <v>402.64999999999964</v>
      </c>
      <c r="F30" s="8">
        <f t="shared" si="2"/>
        <v>-15.207858513733584</v>
      </c>
      <c r="G30" s="29">
        <v>33.5</v>
      </c>
      <c r="H30" s="29">
        <v>2.778</v>
      </c>
      <c r="I30" s="29">
        <v>48.79</v>
      </c>
    </row>
    <row r="31" spans="1:9" ht="15.75" customHeight="1">
      <c r="A31" s="29" t="s">
        <v>190</v>
      </c>
      <c r="B31" s="29">
        <v>961</v>
      </c>
      <c r="C31" s="29">
        <v>12688.35</v>
      </c>
      <c r="D31" s="6">
        <f t="shared" si="0"/>
        <v>423.14162490168349</v>
      </c>
      <c r="E31" s="7">
        <f t="shared" si="1"/>
        <v>409.35000000000036</v>
      </c>
      <c r="F31" s="8">
        <f t="shared" si="2"/>
        <v>-13.791624901683122</v>
      </c>
      <c r="G31" s="29">
        <v>32.81</v>
      </c>
      <c r="H31" s="29">
        <v>1.667</v>
      </c>
      <c r="I31" s="29">
        <v>48.79</v>
      </c>
    </row>
    <row r="32" spans="1:9" ht="15.75" customHeight="1">
      <c r="A32" s="29" t="s">
        <v>191</v>
      </c>
      <c r="B32" s="29">
        <v>974</v>
      </c>
      <c r="C32" s="29">
        <v>12279</v>
      </c>
      <c r="D32" s="6">
        <f t="shared" si="0"/>
        <v>428.86570515529633</v>
      </c>
      <c r="E32" s="7">
        <f t="shared" si="1"/>
        <v>417</v>
      </c>
      <c r="F32" s="8">
        <f t="shared" si="2"/>
        <v>-11.865705155296325</v>
      </c>
      <c r="G32" s="29">
        <v>33.31</v>
      </c>
      <c r="H32" s="29">
        <v>4.1109999999999998</v>
      </c>
      <c r="I32" s="29">
        <v>48.79</v>
      </c>
    </row>
    <row r="33" spans="1:9" ht="15.75" customHeight="1">
      <c r="A33" s="29" t="s">
        <v>192</v>
      </c>
      <c r="B33" s="29">
        <v>986</v>
      </c>
      <c r="C33" s="29">
        <v>11862</v>
      </c>
      <c r="D33" s="6">
        <f t="shared" si="0"/>
        <v>434.63015757968725</v>
      </c>
      <c r="E33" s="7">
        <f t="shared" si="1"/>
        <v>416.64999999999964</v>
      </c>
      <c r="F33" s="8">
        <f t="shared" si="2"/>
        <v>-17.980157579687614</v>
      </c>
      <c r="G33" s="29">
        <v>32.56</v>
      </c>
      <c r="H33" s="29">
        <v>2.778</v>
      </c>
      <c r="I33" s="29">
        <v>48.5</v>
      </c>
    </row>
    <row r="34" spans="1:9" ht="15.75" customHeight="1">
      <c r="A34" s="29" t="s">
        <v>193</v>
      </c>
      <c r="B34" s="29">
        <v>983</v>
      </c>
      <c r="C34" s="29">
        <v>11445.35</v>
      </c>
      <c r="D34" s="6">
        <f t="shared" si="0"/>
        <v>432.82852994625898</v>
      </c>
      <c r="E34" s="7">
        <f t="shared" si="1"/>
        <v>420.35000000000036</v>
      </c>
      <c r="F34" s="8">
        <f t="shared" si="2"/>
        <v>-12.478529946258618</v>
      </c>
      <c r="G34" s="29">
        <v>32.25</v>
      </c>
      <c r="H34" s="29">
        <v>3.3330000000000002</v>
      </c>
      <c r="I34" s="29">
        <v>48.79</v>
      </c>
    </row>
    <row r="35" spans="1:9" ht="15.75" customHeight="1">
      <c r="A35" s="29" t="s">
        <v>194</v>
      </c>
      <c r="B35" s="29">
        <v>1017</v>
      </c>
      <c r="C35" s="29">
        <v>11025</v>
      </c>
      <c r="D35" s="6">
        <f t="shared" si="0"/>
        <v>447.7992013787848</v>
      </c>
      <c r="E35" s="7">
        <f t="shared" si="1"/>
        <v>425.64999999999964</v>
      </c>
      <c r="F35" s="8">
        <f t="shared" si="2"/>
        <v>-22.149201378785165</v>
      </c>
      <c r="G35" s="29">
        <v>32.31</v>
      </c>
      <c r="H35" s="29">
        <v>3</v>
      </c>
      <c r="I35" s="29">
        <v>48.79</v>
      </c>
    </row>
    <row r="36" spans="1:9" ht="15.75" customHeight="1">
      <c r="A36" s="29" t="s">
        <v>195</v>
      </c>
      <c r="B36" s="29">
        <v>1015</v>
      </c>
      <c r="C36" s="29">
        <v>10599.35</v>
      </c>
      <c r="D36" s="6">
        <f t="shared" si="0"/>
        <v>446.42374978641777</v>
      </c>
      <c r="E36" s="7">
        <f t="shared" si="1"/>
        <v>418.35000000000036</v>
      </c>
      <c r="F36" s="8">
        <f t="shared" si="2"/>
        <v>-28.073749786417409</v>
      </c>
      <c r="G36" s="29">
        <v>31.75</v>
      </c>
      <c r="H36" s="29">
        <v>2.222</v>
      </c>
      <c r="I36" s="29">
        <v>49.08</v>
      </c>
    </row>
    <row r="37" spans="1:9" ht="15.75" customHeight="1">
      <c r="A37" s="29" t="s">
        <v>196</v>
      </c>
      <c r="B37" s="29">
        <v>1010</v>
      </c>
      <c r="C37" s="29">
        <v>10181</v>
      </c>
      <c r="D37" s="6">
        <f t="shared" si="0"/>
        <v>444.22461801407104</v>
      </c>
      <c r="E37" s="7">
        <f t="shared" si="1"/>
        <v>422</v>
      </c>
      <c r="F37" s="8">
        <f t="shared" si="2"/>
        <v>-22.224618014071041</v>
      </c>
      <c r="G37" s="29">
        <v>30.75</v>
      </c>
      <c r="H37" s="29">
        <v>1.222</v>
      </c>
      <c r="I37" s="29">
        <v>49.08</v>
      </c>
    </row>
    <row r="38" spans="1:9" ht="15.75" customHeight="1">
      <c r="A38" s="29" t="s">
        <v>197</v>
      </c>
      <c r="B38" s="29">
        <v>1013</v>
      </c>
      <c r="C38" s="29">
        <v>9759</v>
      </c>
      <c r="D38" s="6">
        <f t="shared" si="0"/>
        <v>446.03794591613462</v>
      </c>
      <c r="E38" s="7">
        <f t="shared" si="1"/>
        <v>422.64700000000084</v>
      </c>
      <c r="F38" s="8">
        <f t="shared" si="2"/>
        <v>-23.390945916133774</v>
      </c>
      <c r="G38" s="29">
        <v>31.31</v>
      </c>
      <c r="H38" s="29">
        <v>1.889</v>
      </c>
      <c r="I38" s="29">
        <v>48.79</v>
      </c>
    </row>
    <row r="39" spans="1:9" ht="15.75" customHeight="1">
      <c r="A39" s="29" t="s">
        <v>198</v>
      </c>
      <c r="B39" s="29">
        <v>1002</v>
      </c>
      <c r="C39" s="29">
        <v>9336.3529999999992</v>
      </c>
      <c r="D39" s="6">
        <f t="shared" si="0"/>
        <v>440.70600717831593</v>
      </c>
      <c r="E39" s="7">
        <f t="shared" si="1"/>
        <v>421.35299999999916</v>
      </c>
      <c r="F39" s="8">
        <f t="shared" si="2"/>
        <v>-19.353007178316773</v>
      </c>
      <c r="G39" s="29">
        <v>30.87</v>
      </c>
      <c r="H39" s="29">
        <v>0.88900000000000001</v>
      </c>
      <c r="I39" s="29">
        <v>49.08</v>
      </c>
    </row>
    <row r="40" spans="1:9" ht="15.75" customHeight="1">
      <c r="A40" s="29" t="s">
        <v>199</v>
      </c>
      <c r="B40" s="29">
        <v>1005</v>
      </c>
      <c r="C40" s="29">
        <v>8915</v>
      </c>
      <c r="D40" s="6">
        <f t="shared" si="0"/>
        <v>442.51543499083448</v>
      </c>
      <c r="E40" s="7">
        <f t="shared" si="1"/>
        <v>424.64700000000084</v>
      </c>
      <c r="F40" s="8">
        <f t="shared" si="2"/>
        <v>-17.868434990833634</v>
      </c>
      <c r="G40" s="29">
        <v>30.25</v>
      </c>
      <c r="H40" s="29">
        <v>1</v>
      </c>
      <c r="I40" s="29">
        <v>48.79</v>
      </c>
    </row>
    <row r="41" spans="1:9" ht="15.75" customHeight="1">
      <c r="A41" s="29" t="s">
        <v>200</v>
      </c>
      <c r="B41" s="29">
        <v>990</v>
      </c>
      <c r="C41" s="29">
        <v>8490.3529999999992</v>
      </c>
      <c r="D41" s="6">
        <f t="shared" si="0"/>
        <v>435.42809092468343</v>
      </c>
      <c r="E41" s="7">
        <f t="shared" si="1"/>
        <v>419.35299999999916</v>
      </c>
      <c r="F41" s="8">
        <f t="shared" si="2"/>
        <v>-16.075090924684275</v>
      </c>
      <c r="G41" s="29">
        <v>30.13</v>
      </c>
      <c r="H41" s="29">
        <v>2</v>
      </c>
      <c r="I41" s="29">
        <v>49.08</v>
      </c>
    </row>
    <row r="42" spans="1:9" ht="15.75" customHeight="1">
      <c r="A42" s="29" t="s">
        <v>201</v>
      </c>
      <c r="B42" s="29">
        <v>987</v>
      </c>
      <c r="C42" s="29">
        <v>8071</v>
      </c>
      <c r="D42" s="6">
        <f t="shared" si="0"/>
        <v>434.58978540890899</v>
      </c>
      <c r="E42" s="7">
        <f t="shared" si="1"/>
        <v>420</v>
      </c>
      <c r="F42" s="8">
        <f t="shared" si="2"/>
        <v>-14.589785408908995</v>
      </c>
      <c r="G42" s="29">
        <v>29.94</v>
      </c>
      <c r="H42" s="29">
        <v>1.556</v>
      </c>
      <c r="I42" s="29">
        <v>48.79</v>
      </c>
    </row>
    <row r="43" spans="1:9" ht="15.75" customHeight="1">
      <c r="A43" s="29" t="s">
        <v>202</v>
      </c>
      <c r="B43" s="29">
        <v>982</v>
      </c>
      <c r="C43" s="29">
        <v>7651</v>
      </c>
      <c r="D43" s="6">
        <f t="shared" si="0"/>
        <v>432.38821608059646</v>
      </c>
      <c r="E43" s="7">
        <f t="shared" si="1"/>
        <v>416.64699999999993</v>
      </c>
      <c r="F43" s="8">
        <f t="shared" si="2"/>
        <v>-15.74121608059653</v>
      </c>
      <c r="G43" s="29">
        <v>30</v>
      </c>
      <c r="H43" s="29">
        <v>1.333</v>
      </c>
      <c r="I43" s="29">
        <v>48.79</v>
      </c>
    </row>
    <row r="44" spans="1:9" ht="15.75" customHeight="1">
      <c r="A44" s="29" t="s">
        <v>203</v>
      </c>
      <c r="B44" s="29">
        <v>969</v>
      </c>
      <c r="C44" s="29">
        <v>7234.3530000000001</v>
      </c>
      <c r="D44" s="6">
        <f t="shared" si="0"/>
        <v>427.13653417314077</v>
      </c>
      <c r="E44" s="7">
        <f t="shared" si="1"/>
        <v>412.35300000000007</v>
      </c>
      <c r="F44" s="8">
        <f t="shared" si="2"/>
        <v>-14.783534173140708</v>
      </c>
      <c r="G44" s="29">
        <v>29.5</v>
      </c>
      <c r="H44" s="29">
        <v>2.222</v>
      </c>
      <c r="I44" s="29">
        <v>48.5</v>
      </c>
    </row>
    <row r="45" spans="1:9" ht="15.75" customHeight="1">
      <c r="A45" s="29" t="s">
        <v>204</v>
      </c>
      <c r="B45" s="29">
        <v>950</v>
      </c>
      <c r="C45" s="29">
        <v>6822</v>
      </c>
      <c r="D45" s="6">
        <f t="shared" si="0"/>
        <v>418.29817237939574</v>
      </c>
      <c r="E45" s="7">
        <f t="shared" si="1"/>
        <v>408.64699999999993</v>
      </c>
      <c r="F45" s="8">
        <f t="shared" si="2"/>
        <v>-9.6511723793958026</v>
      </c>
      <c r="G45" s="29">
        <v>29.13</v>
      </c>
      <c r="H45" s="29">
        <v>1.778</v>
      </c>
      <c r="I45" s="29">
        <v>48.79</v>
      </c>
    </row>
    <row r="46" spans="1:9" ht="15.75" customHeight="1">
      <c r="A46" s="29" t="s">
        <v>205</v>
      </c>
      <c r="B46" s="29">
        <v>943</v>
      </c>
      <c r="C46" s="29">
        <v>6413.3530000000001</v>
      </c>
      <c r="D46" s="6">
        <f t="shared" si="0"/>
        <v>414.75625226462267</v>
      </c>
      <c r="E46" s="7">
        <f t="shared" si="1"/>
        <v>403.35300000000007</v>
      </c>
      <c r="F46" s="8">
        <f t="shared" si="2"/>
        <v>-11.403252264622608</v>
      </c>
      <c r="G46" s="29">
        <v>28.81</v>
      </c>
      <c r="H46" s="29">
        <v>3.1110000000000002</v>
      </c>
      <c r="I46" s="29">
        <v>49.08</v>
      </c>
    </row>
    <row r="47" spans="1:9" ht="15.75" customHeight="1">
      <c r="A47" s="29" t="s">
        <v>206</v>
      </c>
      <c r="B47" s="29">
        <v>919</v>
      </c>
      <c r="C47" s="29">
        <v>6010</v>
      </c>
      <c r="D47" s="6">
        <f t="shared" si="0"/>
        <v>404.64844254385758</v>
      </c>
      <c r="E47" s="7">
        <f t="shared" si="1"/>
        <v>397</v>
      </c>
      <c r="F47" s="8">
        <f t="shared" si="2"/>
        <v>-7.648442543857584</v>
      </c>
      <c r="G47" s="29">
        <v>28.5</v>
      </c>
      <c r="H47" s="29">
        <v>4</v>
      </c>
      <c r="I47" s="29">
        <v>48.79</v>
      </c>
    </row>
    <row r="48" spans="1:9" ht="15.75" customHeight="1">
      <c r="A48" s="29" t="s">
        <v>207</v>
      </c>
      <c r="B48" s="29">
        <v>905</v>
      </c>
      <c r="C48" s="29">
        <v>5613</v>
      </c>
      <c r="D48" s="6">
        <f t="shared" si="0"/>
        <v>398.48404842458223</v>
      </c>
      <c r="E48" s="7">
        <f t="shared" si="1"/>
        <v>391.64699999999993</v>
      </c>
      <c r="F48" s="8">
        <f t="shared" si="2"/>
        <v>-6.8370484245822922</v>
      </c>
      <c r="G48" s="29">
        <v>29.13</v>
      </c>
      <c r="H48" s="29">
        <v>1.778</v>
      </c>
      <c r="I48" s="29">
        <v>48.79</v>
      </c>
    </row>
    <row r="49" spans="1:9" ht="15.75" customHeight="1">
      <c r="A49" s="29" t="s">
        <v>208</v>
      </c>
      <c r="B49" s="29">
        <v>887</v>
      </c>
      <c r="C49" s="29">
        <v>5221.3530000000001</v>
      </c>
      <c r="D49" s="6">
        <f t="shared" si="0"/>
        <v>389.70846510423615</v>
      </c>
      <c r="E49" s="7">
        <f t="shared" si="1"/>
        <v>385.35300000000007</v>
      </c>
      <c r="F49" s="8">
        <f t="shared" si="2"/>
        <v>-4.3554651042360888</v>
      </c>
      <c r="G49" s="29">
        <v>28.13</v>
      </c>
      <c r="H49" s="29">
        <v>1.889</v>
      </c>
      <c r="I49" s="29">
        <v>49.36</v>
      </c>
    </row>
    <row r="50" spans="1:9" ht="15.75" customHeight="1">
      <c r="A50" s="29" t="s">
        <v>209</v>
      </c>
      <c r="B50" s="29">
        <v>862</v>
      </c>
      <c r="C50" s="29">
        <v>4836</v>
      </c>
      <c r="D50" s="6">
        <f t="shared" si="0"/>
        <v>379.13031755260317</v>
      </c>
      <c r="E50" s="7">
        <f t="shared" si="1"/>
        <v>377.64699999999993</v>
      </c>
      <c r="F50" s="8">
        <f t="shared" si="2"/>
        <v>-1.4833175526032392</v>
      </c>
      <c r="G50" s="29">
        <v>27.75</v>
      </c>
      <c r="H50" s="29">
        <v>3.8889999999999998</v>
      </c>
      <c r="I50" s="29">
        <v>49.08</v>
      </c>
    </row>
    <row r="51" spans="1:9" ht="15.75" customHeight="1">
      <c r="A51" s="29" t="s">
        <v>210</v>
      </c>
      <c r="B51" s="29">
        <v>841</v>
      </c>
      <c r="C51" s="29">
        <v>4458.3530000000001</v>
      </c>
      <c r="D51" s="6">
        <f t="shared" si="0"/>
        <v>370.30396102218089</v>
      </c>
      <c r="E51" s="7">
        <f t="shared" si="1"/>
        <v>369.35300000000007</v>
      </c>
      <c r="F51" s="8">
        <f t="shared" si="2"/>
        <v>-0.95096102218082024</v>
      </c>
      <c r="G51" s="29">
        <v>27.81</v>
      </c>
      <c r="H51" s="29">
        <v>3.444</v>
      </c>
      <c r="I51" s="29">
        <v>48.79</v>
      </c>
    </row>
    <row r="52" spans="1:9" ht="15.75" customHeight="1">
      <c r="A52" s="29" t="s">
        <v>211</v>
      </c>
      <c r="B52" s="29">
        <v>810</v>
      </c>
      <c r="C52" s="29">
        <v>4089</v>
      </c>
      <c r="D52" s="6">
        <f t="shared" si="0"/>
        <v>357.04911525308989</v>
      </c>
      <c r="E52" s="7">
        <f t="shared" si="1"/>
        <v>359</v>
      </c>
      <c r="F52" s="8">
        <f t="shared" si="2"/>
        <v>1.9508847469101056</v>
      </c>
      <c r="G52" s="29">
        <v>27.75</v>
      </c>
      <c r="H52" s="29">
        <v>3.444</v>
      </c>
      <c r="I52" s="29">
        <v>48.5</v>
      </c>
    </row>
    <row r="53" spans="1:9" ht="15.75" customHeight="1">
      <c r="A53" s="29" t="s">
        <v>212</v>
      </c>
      <c r="B53" s="29">
        <v>789</v>
      </c>
      <c r="C53" s="29">
        <v>3730</v>
      </c>
      <c r="D53" s="6">
        <f t="shared" si="0"/>
        <v>347.40764000772975</v>
      </c>
      <c r="E53" s="7">
        <f t="shared" si="1"/>
        <v>349</v>
      </c>
      <c r="F53" s="8">
        <f t="shared" si="2"/>
        <v>1.5923599922702465</v>
      </c>
      <c r="G53" s="29">
        <v>27.63</v>
      </c>
      <c r="H53" s="29">
        <v>4</v>
      </c>
      <c r="I53" s="29">
        <v>48.79</v>
      </c>
    </row>
    <row r="54" spans="1:9" ht="15.75" customHeight="1">
      <c r="A54" s="29" t="s">
        <v>213</v>
      </c>
      <c r="B54" s="29">
        <v>758</v>
      </c>
      <c r="C54" s="29">
        <v>3381</v>
      </c>
      <c r="D54" s="6">
        <f t="shared" si="0"/>
        <v>333.75791017219154</v>
      </c>
      <c r="E54" s="7">
        <f t="shared" si="1"/>
        <v>3381</v>
      </c>
      <c r="F54" s="8">
        <f t="shared" si="2"/>
        <v>3047.2420898278083</v>
      </c>
      <c r="G54" s="29">
        <v>26.94</v>
      </c>
      <c r="H54" s="29">
        <v>0.88900000000000001</v>
      </c>
      <c r="I54" s="29">
        <v>48.79</v>
      </c>
    </row>
    <row r="55" spans="1:9" ht="15.75" customHeight="1">
      <c r="A55" s="29" t="s">
        <v>214</v>
      </c>
      <c r="B55" s="29">
        <v>724</v>
      </c>
      <c r="C55" s="32"/>
      <c r="D55" s="6">
        <f t="shared" si="0"/>
        <v>318.78723873966584</v>
      </c>
      <c r="E55" s="7">
        <f t="shared" si="1"/>
        <v>-2725</v>
      </c>
      <c r="F55" s="8">
        <f t="shared" si="2"/>
        <v>-3043.787238739666</v>
      </c>
      <c r="G55" s="29">
        <v>26.94</v>
      </c>
      <c r="H55" s="29">
        <v>3.444</v>
      </c>
      <c r="I55" s="29">
        <v>48.79</v>
      </c>
    </row>
    <row r="56" spans="1:9" ht="15.75" customHeight="1">
      <c r="A56" s="29" t="s">
        <v>215</v>
      </c>
      <c r="B56" s="29">
        <v>686</v>
      </c>
      <c r="C56" s="29">
        <v>2725</v>
      </c>
      <c r="D56" s="6">
        <f t="shared" si="0"/>
        <v>302.38974452298726</v>
      </c>
      <c r="E56" s="7">
        <f t="shared" si="1"/>
        <v>307</v>
      </c>
      <c r="F56" s="8">
        <f t="shared" si="2"/>
        <v>4.6102554770127426</v>
      </c>
      <c r="G56" s="29">
        <v>26.13</v>
      </c>
      <c r="H56" s="29">
        <v>3.3330000000000002</v>
      </c>
      <c r="I56" s="29">
        <v>48.5</v>
      </c>
    </row>
    <row r="57" spans="1:9" ht="15.75" customHeight="1">
      <c r="A57" s="29" t="s">
        <v>216</v>
      </c>
      <c r="B57" s="29">
        <v>650</v>
      </c>
      <c r="C57" s="29">
        <v>2418</v>
      </c>
      <c r="D57" s="6">
        <f t="shared" si="0"/>
        <v>286.52089495618327</v>
      </c>
      <c r="E57" s="7">
        <f t="shared" si="1"/>
        <v>293</v>
      </c>
      <c r="F57" s="8">
        <f t="shared" si="2"/>
        <v>6.4791050438167304</v>
      </c>
      <c r="G57" s="29">
        <v>26.56</v>
      </c>
      <c r="H57" s="29">
        <v>3.444</v>
      </c>
      <c r="I57" s="29">
        <v>48.5</v>
      </c>
    </row>
    <row r="58" spans="1:9" ht="15.75" customHeight="1">
      <c r="A58" s="29" t="s">
        <v>217</v>
      </c>
      <c r="B58" s="29">
        <v>615</v>
      </c>
      <c r="C58" s="29">
        <v>2125</v>
      </c>
      <c r="D58" s="6">
        <f t="shared" si="0"/>
        <v>270.79302738245099</v>
      </c>
      <c r="E58" s="7">
        <f t="shared" si="1"/>
        <v>276</v>
      </c>
      <c r="F58" s="8">
        <f t="shared" si="2"/>
        <v>5.2069726175490132</v>
      </c>
      <c r="G58" s="29">
        <v>26.18</v>
      </c>
      <c r="H58" s="29">
        <v>3.444</v>
      </c>
      <c r="I58" s="29">
        <v>48.79</v>
      </c>
    </row>
    <row r="59" spans="1:9" ht="15.75" customHeight="1">
      <c r="A59" s="29" t="s">
        <v>218</v>
      </c>
      <c r="B59" s="29">
        <v>579</v>
      </c>
      <c r="C59" s="29">
        <v>1849</v>
      </c>
      <c r="D59" s="6">
        <f t="shared" si="0"/>
        <v>254.94172821860019</v>
      </c>
      <c r="E59" s="7">
        <f t="shared" si="1"/>
        <v>258</v>
      </c>
      <c r="F59" s="8">
        <f t="shared" si="2"/>
        <v>3.0582717813998102</v>
      </c>
      <c r="G59" s="29">
        <v>26.18</v>
      </c>
      <c r="H59" s="29">
        <v>3.222</v>
      </c>
      <c r="I59" s="29">
        <v>48.79</v>
      </c>
    </row>
    <row r="60" spans="1:9" ht="15.75" customHeight="1">
      <c r="A60" s="29" t="s">
        <v>219</v>
      </c>
      <c r="B60" s="29">
        <v>535</v>
      </c>
      <c r="C60" s="29">
        <v>1591</v>
      </c>
      <c r="D60" s="6">
        <f t="shared" si="0"/>
        <v>235.82873661778157</v>
      </c>
      <c r="E60" s="7">
        <f t="shared" si="1"/>
        <v>239</v>
      </c>
      <c r="F60" s="8">
        <f t="shared" si="2"/>
        <v>3.1712633822184273</v>
      </c>
      <c r="G60" s="29">
        <v>26.13</v>
      </c>
      <c r="H60" s="29">
        <v>3.556</v>
      </c>
      <c r="I60" s="29">
        <v>48.5</v>
      </c>
    </row>
    <row r="61" spans="1:9" ht="15.75" customHeight="1">
      <c r="A61" s="29" t="s">
        <v>220</v>
      </c>
      <c r="B61" s="29">
        <v>497</v>
      </c>
      <c r="C61" s="29">
        <v>1352</v>
      </c>
      <c r="D61" s="6">
        <f t="shared" si="0"/>
        <v>220.99156400158941</v>
      </c>
      <c r="E61" s="7">
        <f t="shared" si="1"/>
        <v>221.64699999999993</v>
      </c>
      <c r="F61" s="8">
        <f t="shared" si="2"/>
        <v>0.65543599841052469</v>
      </c>
      <c r="G61" s="29">
        <v>25.81</v>
      </c>
      <c r="H61" s="29">
        <v>2.8889999999999998</v>
      </c>
      <c r="I61" s="29">
        <v>46.21</v>
      </c>
    </row>
    <row r="62" spans="1:9" ht="15.75" customHeight="1">
      <c r="A62" s="29" t="s">
        <v>221</v>
      </c>
      <c r="B62" s="29">
        <v>458</v>
      </c>
      <c r="C62" s="29">
        <v>1130.3530000000001</v>
      </c>
      <c r="D62" s="6">
        <f t="shared" si="0"/>
        <v>203.87345379392096</v>
      </c>
      <c r="E62" s="7">
        <f t="shared" si="1"/>
        <v>202.00000000000011</v>
      </c>
      <c r="F62" s="8">
        <f t="shared" si="2"/>
        <v>-1.8734537939208451</v>
      </c>
      <c r="G62" s="29">
        <v>26.18</v>
      </c>
      <c r="H62" s="29">
        <v>4.2220000000000004</v>
      </c>
      <c r="I62" s="29">
        <v>45.92</v>
      </c>
    </row>
    <row r="63" spans="1:9" ht="15.75" customHeight="1">
      <c r="A63" s="29" t="s">
        <v>222</v>
      </c>
      <c r="B63" s="29">
        <v>416</v>
      </c>
      <c r="C63" s="29">
        <v>928.35299999999995</v>
      </c>
      <c r="D63" s="6">
        <f t="shared" si="0"/>
        <v>186.38047629711983</v>
      </c>
      <c r="E63" s="7">
        <f t="shared" si="1"/>
        <v>182</v>
      </c>
      <c r="F63" s="8">
        <f t="shared" si="2"/>
        <v>-4.3804762971198272</v>
      </c>
      <c r="G63" s="29">
        <v>25.75</v>
      </c>
      <c r="H63" s="29">
        <v>3.556</v>
      </c>
      <c r="I63" s="29">
        <v>44.2</v>
      </c>
    </row>
    <row r="64" spans="1:9" ht="15.75" customHeight="1">
      <c r="A64" s="29" t="s">
        <v>223</v>
      </c>
      <c r="B64" s="29">
        <v>374</v>
      </c>
      <c r="C64" s="29">
        <v>746.35299999999995</v>
      </c>
      <c r="D64" s="6">
        <f t="shared" si="0"/>
        <v>168.82694654798402</v>
      </c>
      <c r="E64" s="7">
        <f t="shared" si="1"/>
        <v>160.35299999999995</v>
      </c>
      <c r="F64" s="8">
        <f t="shared" si="2"/>
        <v>-8.4739465479840703</v>
      </c>
      <c r="G64" s="29">
        <v>25.5</v>
      </c>
      <c r="H64" s="29">
        <v>3.556</v>
      </c>
      <c r="I64" s="29">
        <v>42.19</v>
      </c>
    </row>
    <row r="65" spans="1:26" ht="15.75" customHeight="1">
      <c r="A65" s="29" t="s">
        <v>224</v>
      </c>
      <c r="B65" s="29">
        <v>330</v>
      </c>
      <c r="C65" s="29">
        <v>586</v>
      </c>
      <c r="D65" s="6">
        <f t="shared" si="0"/>
        <v>150.71797584408148</v>
      </c>
      <c r="E65" s="7">
        <f t="shared" si="1"/>
        <v>140</v>
      </c>
      <c r="F65" s="8">
        <f t="shared" si="2"/>
        <v>-10.717975844081479</v>
      </c>
      <c r="G65" s="29">
        <v>25.31</v>
      </c>
      <c r="H65" s="29">
        <v>3</v>
      </c>
      <c r="I65" s="29">
        <v>39.03</v>
      </c>
    </row>
    <row r="66" spans="1:26" ht="15.75" customHeight="1">
      <c r="A66" s="29" t="s">
        <v>225</v>
      </c>
      <c r="B66" s="29">
        <v>288</v>
      </c>
      <c r="C66" s="29">
        <v>446</v>
      </c>
      <c r="D66" s="6">
        <f t="shared" si="0"/>
        <v>131.9520561897873</v>
      </c>
      <c r="E66" s="7">
        <f t="shared" si="1"/>
        <v>118.64699999999999</v>
      </c>
      <c r="F66" s="8">
        <f t="shared" si="2"/>
        <v>-13.305056189787308</v>
      </c>
      <c r="G66" s="29">
        <v>25</v>
      </c>
      <c r="H66" s="29">
        <v>2.556</v>
      </c>
      <c r="I66" s="29">
        <v>38.17</v>
      </c>
    </row>
    <row r="67" spans="1:26" ht="15.75" customHeight="1">
      <c r="A67" s="29" t="s">
        <v>226</v>
      </c>
      <c r="B67" s="29">
        <v>243</v>
      </c>
      <c r="C67" s="29">
        <v>327.35300000000001</v>
      </c>
      <c r="D67" s="6">
        <f t="shared" si="0"/>
        <v>111.68585806235156</v>
      </c>
      <c r="E67" s="7">
        <f t="shared" si="1"/>
        <v>96.353000000000009</v>
      </c>
      <c r="F67" s="8">
        <f t="shared" si="2"/>
        <v>-15.332858062351548</v>
      </c>
      <c r="G67" s="29">
        <v>24.56</v>
      </c>
      <c r="H67" s="29">
        <v>1.111</v>
      </c>
      <c r="I67" s="29">
        <v>37.31</v>
      </c>
    </row>
    <row r="68" spans="1:26" ht="15.75" customHeight="1">
      <c r="A68" s="29" t="s">
        <v>227</v>
      </c>
      <c r="B68" s="29">
        <v>197</v>
      </c>
      <c r="C68" s="29">
        <v>231</v>
      </c>
      <c r="D68" s="6">
        <f t="shared" si="0"/>
        <v>91.590180783532745</v>
      </c>
      <c r="E68" s="7">
        <f t="shared" si="1"/>
        <v>77</v>
      </c>
      <c r="F68" s="8">
        <f t="shared" si="2"/>
        <v>-14.590180783532745</v>
      </c>
      <c r="G68" s="29">
        <v>24.06</v>
      </c>
      <c r="H68" s="29">
        <v>2.222</v>
      </c>
      <c r="I68" s="29">
        <v>34.15</v>
      </c>
    </row>
    <row r="69" spans="1:26" ht="15.75" customHeight="1">
      <c r="A69" s="29" t="s">
        <v>228</v>
      </c>
      <c r="B69" s="29">
        <v>154</v>
      </c>
      <c r="C69" s="29">
        <v>154</v>
      </c>
      <c r="D69" s="6">
        <f t="shared" si="0"/>
        <v>72.191262667168346</v>
      </c>
      <c r="E69" s="7">
        <f t="shared" si="1"/>
        <v>58</v>
      </c>
      <c r="F69" s="8">
        <f t="shared" si="2"/>
        <v>-14.191262667168346</v>
      </c>
      <c r="G69" s="29">
        <v>23.5</v>
      </c>
      <c r="H69" s="29">
        <v>1.222</v>
      </c>
      <c r="I69" s="29">
        <v>31.86</v>
      </c>
    </row>
    <row r="70" spans="1:26" ht="15.75" customHeight="1">
      <c r="A70" s="29" t="s">
        <v>229</v>
      </c>
      <c r="B70" s="29">
        <v>116</v>
      </c>
      <c r="C70" s="29">
        <v>96</v>
      </c>
      <c r="D70" s="6">
        <f t="shared" si="0"/>
        <v>54.602089365674637</v>
      </c>
      <c r="E70" s="7">
        <f t="shared" si="1"/>
        <v>42</v>
      </c>
      <c r="F70" s="8">
        <f t="shared" si="2"/>
        <v>-12.602089365674637</v>
      </c>
      <c r="G70" s="29">
        <v>23.31</v>
      </c>
      <c r="H70" s="29">
        <v>0.88900000000000001</v>
      </c>
      <c r="I70" s="29">
        <v>30.71</v>
      </c>
    </row>
    <row r="71" spans="1:26" ht="15.75" customHeight="1">
      <c r="A71" s="29" t="s">
        <v>230</v>
      </c>
      <c r="B71" s="29">
        <v>80</v>
      </c>
      <c r="C71" s="29">
        <v>54</v>
      </c>
      <c r="D71" s="6">
        <f t="shared" si="0"/>
        <v>37.772271183528559</v>
      </c>
      <c r="E71" s="7">
        <f t="shared" si="1"/>
        <v>27.646999999999998</v>
      </c>
      <c r="F71" s="8">
        <f t="shared" si="2"/>
        <v>-10.125271183528561</v>
      </c>
      <c r="G71" s="29">
        <v>23.25</v>
      </c>
      <c r="H71" s="29">
        <v>0.88900000000000001</v>
      </c>
      <c r="I71" s="29">
        <v>29.85</v>
      </c>
    </row>
    <row r="72" spans="1:26" ht="15.75" customHeight="1">
      <c r="A72" s="29" t="s">
        <v>231</v>
      </c>
      <c r="B72" s="29">
        <v>45</v>
      </c>
      <c r="C72" s="29">
        <v>26.353000000000002</v>
      </c>
      <c r="D72" s="6">
        <f t="shared" si="0"/>
        <v>21.290778548117828</v>
      </c>
      <c r="E72" s="7">
        <f t="shared" si="1"/>
        <v>16</v>
      </c>
      <c r="F72" s="8">
        <f t="shared" si="2"/>
        <v>-5.290778548117828</v>
      </c>
      <c r="G72" s="29">
        <v>23.56</v>
      </c>
      <c r="H72" s="29">
        <v>1.778</v>
      </c>
      <c r="I72" s="29">
        <v>29.27</v>
      </c>
    </row>
    <row r="73" spans="1:26" ht="15.75" customHeight="1">
      <c r="A73" s="29" t="s">
        <v>232</v>
      </c>
      <c r="B73" s="29">
        <v>25</v>
      </c>
      <c r="C73" s="29">
        <v>10.353</v>
      </c>
      <c r="D73" s="6">
        <f t="shared" si="0"/>
        <v>11.864353375725802</v>
      </c>
      <c r="E73" s="7">
        <f t="shared" si="1"/>
        <v>8</v>
      </c>
      <c r="F73" s="8">
        <f t="shared" si="2"/>
        <v>-3.864353375725802</v>
      </c>
      <c r="G73" s="29">
        <v>23.38</v>
      </c>
      <c r="H73" s="29">
        <v>1.778</v>
      </c>
      <c r="I73" s="29">
        <v>28.41</v>
      </c>
    </row>
    <row r="74" spans="1:26" ht="15.75" customHeight="1">
      <c r="A74" s="29" t="s">
        <v>233</v>
      </c>
      <c r="B74" s="29">
        <v>10</v>
      </c>
      <c r="C74" s="29">
        <v>2.3530000000000002</v>
      </c>
      <c r="D74" s="6">
        <f t="shared" si="0"/>
        <v>4.7457413502903201</v>
      </c>
      <c r="E74" s="7">
        <f t="shared" si="1"/>
        <v>2.3530000000000002</v>
      </c>
      <c r="F74" s="8">
        <f t="shared" si="2"/>
        <v>-2.3927413502903199</v>
      </c>
      <c r="G74" s="29">
        <v>23.56</v>
      </c>
      <c r="H74" s="29">
        <v>1.444</v>
      </c>
      <c r="I74" s="29">
        <v>28.41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6.9859999999999998</v>
      </c>
      <c r="C76" s="11"/>
      <c r="D76" s="16">
        <f>SUM(D2:D75)</f>
        <v>18508.745463427094</v>
      </c>
      <c r="E76" s="15">
        <f>SUM(E1:E74)</f>
        <v>15110</v>
      </c>
      <c r="F76" s="11"/>
      <c r="G76" s="17">
        <f t="shared" ref="G76:I76" si="3">AVERAGE(G1:G74)</f>
        <v>29.895479452054801</v>
      </c>
      <c r="H76" s="17">
        <f t="shared" si="3"/>
        <v>2.4018356164383565</v>
      </c>
      <c r="I76" s="17">
        <f t="shared" si="3"/>
        <v>45.432054794520532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11.906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3" t="s">
        <v>234</v>
      </c>
      <c r="B2" s="33">
        <v>0</v>
      </c>
      <c r="C2" s="33">
        <v>18744</v>
      </c>
      <c r="D2" s="6">
        <f t="shared" ref="D2:D74" si="0">( B2/1000)*(10/60)*3159.1*(1-0.0035*(I2-25))*0.9459*0.9857*0.9784</f>
        <v>0</v>
      </c>
      <c r="E2" s="7">
        <f t="shared" ref="E2:E74" si="1">(C2-C3)</f>
        <v>0.65000000000145519</v>
      </c>
      <c r="F2" s="8">
        <f t="shared" ref="F2:F74" si="2">E2-D2</f>
        <v>0.65000000000145519</v>
      </c>
      <c r="G2" s="33">
        <v>30.87</v>
      </c>
      <c r="H2" s="33">
        <v>1.444</v>
      </c>
      <c r="I2" s="33">
        <v>39.32</v>
      </c>
    </row>
    <row r="3" spans="1:26" ht="15.75" customHeight="1">
      <c r="A3" s="33" t="s">
        <v>235</v>
      </c>
      <c r="B3" s="33">
        <v>0</v>
      </c>
      <c r="C3" s="33">
        <v>18743.349999999999</v>
      </c>
      <c r="D3" s="6">
        <f t="shared" si="0"/>
        <v>0</v>
      </c>
      <c r="E3" s="7">
        <f t="shared" si="1"/>
        <v>2.3499999999985448</v>
      </c>
      <c r="F3" s="8">
        <f t="shared" si="2"/>
        <v>2.3499999999985448</v>
      </c>
      <c r="G3" s="33">
        <v>30.75</v>
      </c>
      <c r="H3" s="33">
        <v>4</v>
      </c>
      <c r="I3" s="33">
        <v>40.47</v>
      </c>
    </row>
    <row r="4" spans="1:26" ht="15.75" customHeight="1">
      <c r="A4" s="33" t="s">
        <v>236</v>
      </c>
      <c r="B4" s="33">
        <v>11</v>
      </c>
      <c r="C4" s="33">
        <v>18741</v>
      </c>
      <c r="D4" s="6">
        <f t="shared" si="0"/>
        <v>4.9654984278818839</v>
      </c>
      <c r="E4" s="7">
        <f t="shared" si="1"/>
        <v>10</v>
      </c>
      <c r="F4" s="8">
        <f t="shared" si="2"/>
        <v>5.0345015721181161</v>
      </c>
      <c r="G4" s="33">
        <v>30.75</v>
      </c>
      <c r="H4" s="33">
        <v>4.3330000000000002</v>
      </c>
      <c r="I4" s="33">
        <v>42.19</v>
      </c>
    </row>
    <row r="5" spans="1:26" ht="15.75" customHeight="1">
      <c r="A5" s="33" t="s">
        <v>237</v>
      </c>
      <c r="B5" s="33">
        <v>31</v>
      </c>
      <c r="C5" s="33">
        <v>18731</v>
      </c>
      <c r="D5" s="6">
        <f t="shared" si="0"/>
        <v>13.948859979359417</v>
      </c>
      <c r="E5" s="7">
        <f t="shared" si="1"/>
        <v>23</v>
      </c>
      <c r="F5" s="8">
        <f t="shared" si="2"/>
        <v>9.0511400206405828</v>
      </c>
      <c r="G5" s="33">
        <v>31.06</v>
      </c>
      <c r="H5" s="33">
        <v>3.1110000000000002</v>
      </c>
      <c r="I5" s="33">
        <v>43.05</v>
      </c>
    </row>
    <row r="6" spans="1:26" ht="15.75" customHeight="1">
      <c r="A6" s="33" t="s">
        <v>238</v>
      </c>
      <c r="B6" s="33">
        <v>62</v>
      </c>
      <c r="C6" s="33">
        <v>18708</v>
      </c>
      <c r="D6" s="6">
        <f t="shared" si="0"/>
        <v>27.838310836078382</v>
      </c>
      <c r="E6" s="7">
        <f t="shared" si="1"/>
        <v>31</v>
      </c>
      <c r="F6" s="8">
        <f t="shared" si="2"/>
        <v>3.1616891639216185</v>
      </c>
      <c r="G6" s="33">
        <v>31.19</v>
      </c>
      <c r="H6" s="33">
        <v>3.6669999999999998</v>
      </c>
      <c r="I6" s="33">
        <v>43.62</v>
      </c>
    </row>
    <row r="7" spans="1:26" ht="15.75" customHeight="1">
      <c r="A7" s="33" t="s">
        <v>239</v>
      </c>
      <c r="B7" s="33">
        <v>69</v>
      </c>
      <c r="C7" s="33">
        <v>18677</v>
      </c>
      <c r="D7" s="6">
        <f t="shared" si="0"/>
        <v>30.914069385820362</v>
      </c>
      <c r="E7" s="7">
        <f t="shared" si="1"/>
        <v>38</v>
      </c>
      <c r="F7" s="8">
        <f t="shared" si="2"/>
        <v>7.0859306141796381</v>
      </c>
      <c r="G7" s="33">
        <v>31.31</v>
      </c>
      <c r="H7" s="33">
        <v>2</v>
      </c>
      <c r="I7" s="33">
        <v>44.2</v>
      </c>
    </row>
    <row r="8" spans="1:26" ht="15.75" customHeight="1">
      <c r="A8" s="33" t="s">
        <v>240</v>
      </c>
      <c r="B8" s="33">
        <v>80</v>
      </c>
      <c r="C8" s="33">
        <v>18639</v>
      </c>
      <c r="D8" s="6">
        <f t="shared" si="0"/>
        <v>35.765742355468369</v>
      </c>
      <c r="E8" s="7">
        <f t="shared" si="1"/>
        <v>41</v>
      </c>
      <c r="F8" s="8">
        <f t="shared" si="2"/>
        <v>5.2342576445316311</v>
      </c>
      <c r="G8" s="33">
        <v>31.44</v>
      </c>
      <c r="H8" s="33">
        <v>3</v>
      </c>
      <c r="I8" s="33">
        <v>44.77</v>
      </c>
    </row>
    <row r="9" spans="1:26" ht="15.75" customHeight="1">
      <c r="A9" s="33" t="s">
        <v>241</v>
      </c>
      <c r="B9" s="33">
        <v>97</v>
      </c>
      <c r="C9" s="33">
        <v>18598</v>
      </c>
      <c r="D9" s="6">
        <f t="shared" si="0"/>
        <v>43.27138543453534</v>
      </c>
      <c r="E9" s="7">
        <f t="shared" si="1"/>
        <v>45.650000000001455</v>
      </c>
      <c r="F9" s="8">
        <f t="shared" si="2"/>
        <v>2.3786145654661155</v>
      </c>
      <c r="G9" s="33">
        <v>31.56</v>
      </c>
      <c r="H9" s="33">
        <v>1.333</v>
      </c>
      <c r="I9" s="33">
        <v>45.35</v>
      </c>
    </row>
    <row r="10" spans="1:26" ht="15.75" customHeight="1">
      <c r="A10" s="33" t="s">
        <v>242</v>
      </c>
      <c r="B10" s="33">
        <v>99</v>
      </c>
      <c r="C10" s="33">
        <v>18552.349999999999</v>
      </c>
      <c r="D10" s="6">
        <f t="shared" si="0"/>
        <v>44.02045238663451</v>
      </c>
      <c r="E10" s="7">
        <f t="shared" si="1"/>
        <v>48.349999999998545</v>
      </c>
      <c r="F10" s="8">
        <f t="shared" si="2"/>
        <v>4.3295476133640349</v>
      </c>
      <c r="G10" s="33">
        <v>31.75</v>
      </c>
      <c r="H10" s="33">
        <v>3.556</v>
      </c>
      <c r="I10" s="33">
        <v>46.21</v>
      </c>
    </row>
    <row r="11" spans="1:26" ht="15.75" customHeight="1">
      <c r="A11" s="33" t="s">
        <v>243</v>
      </c>
      <c r="B11" s="33">
        <v>106</v>
      </c>
      <c r="C11" s="33">
        <v>18504</v>
      </c>
      <c r="D11" s="6">
        <f t="shared" si="0"/>
        <v>46.878192568656047</v>
      </c>
      <c r="E11" s="7">
        <f t="shared" si="1"/>
        <v>67</v>
      </c>
      <c r="F11" s="8">
        <f t="shared" si="2"/>
        <v>20.121807431343953</v>
      </c>
      <c r="G11" s="33">
        <v>32.06</v>
      </c>
      <c r="H11" s="33">
        <v>3.444</v>
      </c>
      <c r="I11" s="33">
        <v>47.64</v>
      </c>
    </row>
    <row r="12" spans="1:26" ht="15.75" customHeight="1">
      <c r="A12" s="33" t="s">
        <v>244</v>
      </c>
      <c r="B12" s="33">
        <v>195</v>
      </c>
      <c r="C12" s="33">
        <v>18437</v>
      </c>
      <c r="D12" s="6">
        <f t="shared" si="0"/>
        <v>86.048055077012563</v>
      </c>
      <c r="E12" s="7">
        <f t="shared" si="1"/>
        <v>91</v>
      </c>
      <c r="F12" s="8">
        <f t="shared" si="2"/>
        <v>4.9519449229874368</v>
      </c>
      <c r="G12" s="33">
        <v>32.5</v>
      </c>
      <c r="H12" s="33">
        <v>3.778</v>
      </c>
      <c r="I12" s="33">
        <v>48.22</v>
      </c>
    </row>
    <row r="13" spans="1:26" ht="15.75" customHeight="1">
      <c r="A13" s="33" t="s">
        <v>245</v>
      </c>
      <c r="B13" s="33">
        <v>159</v>
      </c>
      <c r="C13" s="33">
        <v>18346</v>
      </c>
      <c r="D13" s="6">
        <f t="shared" si="0"/>
        <v>70.162260293564088</v>
      </c>
      <c r="E13" s="7">
        <f t="shared" si="1"/>
        <v>124</v>
      </c>
      <c r="F13" s="8">
        <f t="shared" si="2"/>
        <v>53.837739706435912</v>
      </c>
      <c r="G13" s="33">
        <v>32.81</v>
      </c>
      <c r="H13" s="33">
        <v>3.556</v>
      </c>
      <c r="I13" s="33">
        <v>48.22</v>
      </c>
    </row>
    <row r="14" spans="1:26" ht="15.75" customHeight="1">
      <c r="A14" s="33" t="s">
        <v>246</v>
      </c>
      <c r="B14" s="33">
        <v>350</v>
      </c>
      <c r="C14" s="33">
        <v>18222</v>
      </c>
      <c r="D14" s="6">
        <f t="shared" si="0"/>
        <v>154.44522706130459</v>
      </c>
      <c r="E14" s="7">
        <f t="shared" si="1"/>
        <v>157.65000000000146</v>
      </c>
      <c r="F14" s="8">
        <f t="shared" si="2"/>
        <v>3.2047729386968626</v>
      </c>
      <c r="G14" s="33">
        <v>33.25</v>
      </c>
      <c r="H14" s="33">
        <v>2.444</v>
      </c>
      <c r="I14" s="33">
        <v>48.22</v>
      </c>
    </row>
    <row r="15" spans="1:26" ht="15.75" customHeight="1">
      <c r="A15" s="33" t="s">
        <v>247</v>
      </c>
      <c r="B15" s="33">
        <v>382</v>
      </c>
      <c r="C15" s="33">
        <v>18064.349999999999</v>
      </c>
      <c r="D15" s="6">
        <f t="shared" si="0"/>
        <v>168.56593353548098</v>
      </c>
      <c r="E15" s="7">
        <f t="shared" si="1"/>
        <v>191.34999999999854</v>
      </c>
      <c r="F15" s="8">
        <f t="shared" si="2"/>
        <v>22.784066464517565</v>
      </c>
      <c r="G15" s="33">
        <v>33.5</v>
      </c>
      <c r="H15" s="33">
        <v>5.444</v>
      </c>
      <c r="I15" s="33">
        <v>48.22</v>
      </c>
    </row>
    <row r="16" spans="1:26" ht="15.75" customHeight="1">
      <c r="A16" s="33" t="s">
        <v>248</v>
      </c>
      <c r="B16" s="33">
        <v>471</v>
      </c>
      <c r="C16" s="33">
        <v>17873</v>
      </c>
      <c r="D16" s="6">
        <f t="shared" si="0"/>
        <v>207.83914841678416</v>
      </c>
      <c r="E16" s="7">
        <f t="shared" si="1"/>
        <v>225</v>
      </c>
      <c r="F16" s="8">
        <f t="shared" si="2"/>
        <v>17.160851583215845</v>
      </c>
      <c r="G16" s="33">
        <v>33.880000000000003</v>
      </c>
      <c r="H16" s="33">
        <v>4.444</v>
      </c>
      <c r="I16" s="33">
        <v>48.22</v>
      </c>
    </row>
    <row r="17" spans="1:9" ht="15.75" customHeight="1">
      <c r="A17" s="33" t="s">
        <v>249</v>
      </c>
      <c r="B17" s="33">
        <v>528</v>
      </c>
      <c r="C17" s="33">
        <v>17648</v>
      </c>
      <c r="D17" s="6">
        <f t="shared" si="0"/>
        <v>232.99165682391089</v>
      </c>
      <c r="E17" s="7">
        <f t="shared" si="1"/>
        <v>243</v>
      </c>
      <c r="F17" s="8">
        <f t="shared" si="2"/>
        <v>10.008343176089113</v>
      </c>
      <c r="G17" s="33">
        <v>33.81</v>
      </c>
      <c r="H17" s="33">
        <v>4.556</v>
      </c>
      <c r="I17" s="33">
        <v>48.22</v>
      </c>
    </row>
    <row r="18" spans="1:9" ht="15.75" customHeight="1">
      <c r="A18" s="33" t="s">
        <v>250</v>
      </c>
      <c r="B18" s="33">
        <v>414</v>
      </c>
      <c r="C18" s="33">
        <v>17405</v>
      </c>
      <c r="D18" s="6">
        <f t="shared" si="0"/>
        <v>182.49177001824594</v>
      </c>
      <c r="E18" s="7">
        <f t="shared" si="1"/>
        <v>245</v>
      </c>
      <c r="F18" s="8">
        <f t="shared" si="2"/>
        <v>62.508229981754056</v>
      </c>
      <c r="G18" s="33">
        <v>34.06</v>
      </c>
      <c r="H18" s="33">
        <v>3.6669999999999998</v>
      </c>
      <c r="I18" s="33">
        <v>48.5</v>
      </c>
    </row>
    <row r="19" spans="1:9" ht="15.75" customHeight="1">
      <c r="A19" s="33" t="s">
        <v>251</v>
      </c>
      <c r="B19" s="33">
        <v>618</v>
      </c>
      <c r="C19" s="33">
        <v>17160</v>
      </c>
      <c r="D19" s="6">
        <f t="shared" si="0"/>
        <v>272.41525089680198</v>
      </c>
      <c r="E19" s="7">
        <f t="shared" si="1"/>
        <v>284</v>
      </c>
      <c r="F19" s="8">
        <f t="shared" si="2"/>
        <v>11.584749103198021</v>
      </c>
      <c r="G19" s="33">
        <v>34.25</v>
      </c>
      <c r="H19" s="33">
        <v>3.8889999999999998</v>
      </c>
      <c r="I19" s="33">
        <v>48.5</v>
      </c>
    </row>
    <row r="20" spans="1:9" ht="15.75" customHeight="1">
      <c r="A20" s="33" t="s">
        <v>252</v>
      </c>
      <c r="B20" s="33">
        <v>599</v>
      </c>
      <c r="C20" s="33">
        <v>16876</v>
      </c>
      <c r="D20" s="6">
        <f t="shared" si="0"/>
        <v>264.32197431348982</v>
      </c>
      <c r="E20" s="7">
        <f t="shared" si="1"/>
        <v>255.65000000000146</v>
      </c>
      <c r="F20" s="8">
        <f t="shared" si="2"/>
        <v>-8.6719743134883629</v>
      </c>
      <c r="G20" s="33">
        <v>34.130000000000003</v>
      </c>
      <c r="H20" s="33">
        <v>2.444</v>
      </c>
      <c r="I20" s="33">
        <v>48.22</v>
      </c>
    </row>
    <row r="21" spans="1:9" ht="15.75" customHeight="1">
      <c r="A21" s="33" t="s">
        <v>253</v>
      </c>
      <c r="B21" s="33">
        <v>629</v>
      </c>
      <c r="C21" s="33">
        <v>16620.349999999999</v>
      </c>
      <c r="D21" s="6">
        <f t="shared" si="0"/>
        <v>277.56013663303031</v>
      </c>
      <c r="E21" s="7">
        <f t="shared" si="1"/>
        <v>278.34999999999854</v>
      </c>
      <c r="F21" s="8">
        <f t="shared" si="2"/>
        <v>0.789863366968234</v>
      </c>
      <c r="G21" s="33">
        <v>33.94</v>
      </c>
      <c r="H21" s="33">
        <v>2.222</v>
      </c>
      <c r="I21" s="33">
        <v>48.22</v>
      </c>
    </row>
    <row r="22" spans="1:9" ht="15.75" customHeight="1">
      <c r="A22" s="33" t="s">
        <v>254</v>
      </c>
      <c r="B22" s="33">
        <v>534</v>
      </c>
      <c r="C22" s="33">
        <v>16342</v>
      </c>
      <c r="D22" s="6">
        <f t="shared" si="0"/>
        <v>235.89962026495826</v>
      </c>
      <c r="E22" s="7">
        <f t="shared" si="1"/>
        <v>271</v>
      </c>
      <c r="F22" s="8">
        <f t="shared" si="2"/>
        <v>35.100379735041741</v>
      </c>
      <c r="G22" s="33">
        <v>34.06</v>
      </c>
      <c r="H22" s="33">
        <v>2.778</v>
      </c>
      <c r="I22" s="33">
        <v>47.93</v>
      </c>
    </row>
    <row r="23" spans="1:9" ht="15.75" customHeight="1">
      <c r="A23" s="33" t="s">
        <v>255</v>
      </c>
      <c r="B23" s="33">
        <v>409</v>
      </c>
      <c r="C23" s="33">
        <v>16071</v>
      </c>
      <c r="D23" s="6">
        <f t="shared" si="0"/>
        <v>180.87906377905963</v>
      </c>
      <c r="E23" s="7">
        <f t="shared" si="1"/>
        <v>209.64999999999964</v>
      </c>
      <c r="F23" s="8">
        <f t="shared" si="2"/>
        <v>28.770936220940001</v>
      </c>
      <c r="G23" s="33">
        <v>33.56</v>
      </c>
      <c r="H23" s="33">
        <v>4.7779999999999996</v>
      </c>
      <c r="I23" s="33">
        <v>47.64</v>
      </c>
    </row>
    <row r="24" spans="1:9" ht="15.75" customHeight="1">
      <c r="A24" s="33" t="s">
        <v>256</v>
      </c>
      <c r="B24" s="33">
        <v>540</v>
      </c>
      <c r="C24" s="33">
        <v>15861.35</v>
      </c>
      <c r="D24" s="6">
        <f t="shared" si="0"/>
        <v>238.03274350205993</v>
      </c>
      <c r="E24" s="7">
        <f t="shared" si="1"/>
        <v>350.35000000000036</v>
      </c>
      <c r="F24" s="8">
        <f t="shared" si="2"/>
        <v>112.31725649794043</v>
      </c>
      <c r="G24" s="33">
        <v>34.31</v>
      </c>
      <c r="H24" s="33">
        <v>2.556</v>
      </c>
      <c r="I24" s="33">
        <v>48.5</v>
      </c>
    </row>
    <row r="25" spans="1:9" ht="15.75" customHeight="1">
      <c r="A25" s="33" t="s">
        <v>257</v>
      </c>
      <c r="B25" s="33">
        <v>878</v>
      </c>
      <c r="C25" s="33">
        <v>15511</v>
      </c>
      <c r="D25" s="6">
        <f t="shared" si="0"/>
        <v>387.02360887927517</v>
      </c>
      <c r="E25" s="7">
        <f t="shared" si="1"/>
        <v>348</v>
      </c>
      <c r="F25" s="8">
        <f t="shared" si="2"/>
        <v>-39.023608879275173</v>
      </c>
      <c r="G25" s="33">
        <v>34.619999999999997</v>
      </c>
      <c r="H25" s="33">
        <v>5.444</v>
      </c>
      <c r="I25" s="33">
        <v>48.5</v>
      </c>
    </row>
    <row r="26" spans="1:9" ht="15.75" customHeight="1">
      <c r="A26" s="33" t="s">
        <v>258</v>
      </c>
      <c r="B26" s="33">
        <v>896</v>
      </c>
      <c r="C26" s="33">
        <v>15163</v>
      </c>
      <c r="D26" s="6">
        <f t="shared" si="0"/>
        <v>394.08441360456197</v>
      </c>
      <c r="E26" s="7">
        <f t="shared" si="1"/>
        <v>383</v>
      </c>
      <c r="F26" s="8">
        <f t="shared" si="2"/>
        <v>-11.084413604561973</v>
      </c>
      <c r="G26" s="33">
        <v>34.81</v>
      </c>
      <c r="H26" s="33">
        <v>3.3330000000000002</v>
      </c>
      <c r="I26" s="33">
        <v>49.08</v>
      </c>
    </row>
    <row r="27" spans="1:9" ht="15.75" customHeight="1">
      <c r="A27" s="33" t="s">
        <v>259</v>
      </c>
      <c r="B27" s="33">
        <v>800</v>
      </c>
      <c r="C27" s="33">
        <v>14780</v>
      </c>
      <c r="D27" s="6">
        <f t="shared" si="0"/>
        <v>351.86108357550177</v>
      </c>
      <c r="E27" s="7">
        <f t="shared" si="1"/>
        <v>388.64999999999964</v>
      </c>
      <c r="F27" s="8">
        <f t="shared" si="2"/>
        <v>36.78891642449787</v>
      </c>
      <c r="G27" s="33">
        <v>34.5</v>
      </c>
      <c r="H27" s="33">
        <v>5.2220000000000004</v>
      </c>
      <c r="I27" s="33">
        <v>49.08</v>
      </c>
    </row>
    <row r="28" spans="1:9" ht="15.75" customHeight="1">
      <c r="A28" s="33" t="s">
        <v>260</v>
      </c>
      <c r="B28" s="33">
        <v>935</v>
      </c>
      <c r="C28" s="33">
        <v>14391.35</v>
      </c>
      <c r="D28" s="6">
        <f t="shared" si="0"/>
        <v>411.23764142886773</v>
      </c>
      <c r="E28" s="7">
        <f t="shared" si="1"/>
        <v>405.35000000000036</v>
      </c>
      <c r="F28" s="8">
        <f t="shared" si="2"/>
        <v>-5.8876414288673686</v>
      </c>
      <c r="G28" s="33">
        <v>34.44</v>
      </c>
      <c r="H28" s="33">
        <v>3.1110000000000002</v>
      </c>
      <c r="I28" s="33">
        <v>49.08</v>
      </c>
    </row>
    <row r="29" spans="1:9" ht="15.75" customHeight="1">
      <c r="A29" s="33" t="s">
        <v>261</v>
      </c>
      <c r="B29" s="33">
        <v>972</v>
      </c>
      <c r="C29" s="33">
        <v>13986</v>
      </c>
      <c r="D29" s="6">
        <f t="shared" si="0"/>
        <v>427.05369569483378</v>
      </c>
      <c r="E29" s="7">
        <f t="shared" si="1"/>
        <v>410</v>
      </c>
      <c r="F29" s="8">
        <f t="shared" si="2"/>
        <v>-17.053695694833777</v>
      </c>
      <c r="G29" s="33">
        <v>34.380000000000003</v>
      </c>
      <c r="H29" s="33">
        <v>1.444</v>
      </c>
      <c r="I29" s="33">
        <v>49.36</v>
      </c>
    </row>
    <row r="30" spans="1:9" ht="15.75" customHeight="1">
      <c r="A30" s="33" t="s">
        <v>262</v>
      </c>
      <c r="B30" s="33">
        <v>973</v>
      </c>
      <c r="C30" s="33">
        <v>13576</v>
      </c>
      <c r="D30" s="6">
        <f t="shared" si="0"/>
        <v>427.49305134884082</v>
      </c>
      <c r="E30" s="7">
        <f t="shared" si="1"/>
        <v>416</v>
      </c>
      <c r="F30" s="8">
        <f t="shared" si="2"/>
        <v>-11.493051348840822</v>
      </c>
      <c r="G30" s="33">
        <v>34.130000000000003</v>
      </c>
      <c r="H30" s="33">
        <v>3.444</v>
      </c>
      <c r="I30" s="33">
        <v>49.36</v>
      </c>
    </row>
    <row r="31" spans="1:9" ht="15.75" customHeight="1">
      <c r="A31" s="33" t="s">
        <v>263</v>
      </c>
      <c r="B31" s="33">
        <v>969</v>
      </c>
      <c r="C31" s="33">
        <v>13160</v>
      </c>
      <c r="D31" s="6">
        <f t="shared" si="0"/>
        <v>425.73562873281264</v>
      </c>
      <c r="E31" s="7">
        <f t="shared" si="1"/>
        <v>413.64999999999964</v>
      </c>
      <c r="F31" s="8">
        <f t="shared" si="2"/>
        <v>-12.085628732813007</v>
      </c>
      <c r="G31" s="33">
        <v>34.19</v>
      </c>
      <c r="H31" s="33">
        <v>4.1109999999999998</v>
      </c>
      <c r="I31" s="33">
        <v>49.36</v>
      </c>
    </row>
    <row r="32" spans="1:9" ht="15.75" customHeight="1">
      <c r="A32" s="33" t="s">
        <v>264</v>
      </c>
      <c r="B32" s="33">
        <v>1005</v>
      </c>
      <c r="C32" s="33">
        <v>12746.35</v>
      </c>
      <c r="D32" s="6">
        <f t="shared" si="0"/>
        <v>441.5524322770658</v>
      </c>
      <c r="E32" s="7">
        <f t="shared" si="1"/>
        <v>423</v>
      </c>
      <c r="F32" s="8">
        <f t="shared" si="2"/>
        <v>-18.552432277065805</v>
      </c>
      <c r="G32" s="33">
        <v>33.81</v>
      </c>
      <c r="H32" s="33">
        <v>3.778</v>
      </c>
      <c r="I32" s="33">
        <v>49.36</v>
      </c>
    </row>
    <row r="33" spans="1:9" ht="15.75" customHeight="1">
      <c r="A33" s="33" t="s">
        <v>265</v>
      </c>
      <c r="B33" s="33">
        <v>1006</v>
      </c>
      <c r="C33" s="33">
        <v>12323.35</v>
      </c>
      <c r="D33" s="6">
        <f t="shared" si="0"/>
        <v>441.50135167076934</v>
      </c>
      <c r="E33" s="7">
        <f t="shared" si="1"/>
        <v>425</v>
      </c>
      <c r="F33" s="8">
        <f t="shared" si="2"/>
        <v>-16.501351670769338</v>
      </c>
      <c r="G33" s="33">
        <v>33.75</v>
      </c>
      <c r="H33" s="33">
        <v>2.222</v>
      </c>
      <c r="I33" s="33">
        <v>49.65</v>
      </c>
    </row>
    <row r="34" spans="1:9" ht="15.75" customHeight="1">
      <c r="A34" s="33" t="s">
        <v>266</v>
      </c>
      <c r="B34" s="33">
        <v>1029</v>
      </c>
      <c r="C34" s="33">
        <v>11898.35</v>
      </c>
      <c r="D34" s="6">
        <f t="shared" si="0"/>
        <v>451.59531895548866</v>
      </c>
      <c r="E34" s="7">
        <f t="shared" si="1"/>
        <v>426.35000000000036</v>
      </c>
      <c r="F34" s="8">
        <f t="shared" si="2"/>
        <v>-25.245318955488301</v>
      </c>
      <c r="G34" s="33">
        <v>33.94</v>
      </c>
      <c r="H34" s="33">
        <v>2.778</v>
      </c>
      <c r="I34" s="33">
        <v>49.65</v>
      </c>
    </row>
    <row r="35" spans="1:9" ht="15.75" customHeight="1">
      <c r="A35" s="33" t="s">
        <v>267</v>
      </c>
      <c r="B35" s="33">
        <v>1043</v>
      </c>
      <c r="C35" s="33">
        <v>11472</v>
      </c>
      <c r="D35" s="6">
        <f t="shared" si="0"/>
        <v>457.73947295488313</v>
      </c>
      <c r="E35" s="7">
        <f t="shared" si="1"/>
        <v>430.64999999999964</v>
      </c>
      <c r="F35" s="8">
        <f t="shared" si="2"/>
        <v>-27.08947295488349</v>
      </c>
      <c r="G35" s="33">
        <v>33.81</v>
      </c>
      <c r="H35" s="33">
        <v>3.222</v>
      </c>
      <c r="I35" s="33">
        <v>49.65</v>
      </c>
    </row>
    <row r="36" spans="1:9" ht="15.75" customHeight="1">
      <c r="A36" s="33" t="s">
        <v>268</v>
      </c>
      <c r="B36" s="33">
        <v>1057</v>
      </c>
      <c r="C36" s="33">
        <v>11041.35</v>
      </c>
      <c r="D36" s="6">
        <f t="shared" si="0"/>
        <v>463.88362695427747</v>
      </c>
      <c r="E36" s="7">
        <f t="shared" si="1"/>
        <v>430.35000000000036</v>
      </c>
      <c r="F36" s="8">
        <f t="shared" si="2"/>
        <v>-33.533626954277111</v>
      </c>
      <c r="G36" s="33">
        <v>33.56</v>
      </c>
      <c r="H36" s="33">
        <v>2.6669999999999998</v>
      </c>
      <c r="I36" s="33">
        <v>49.65</v>
      </c>
    </row>
    <row r="37" spans="1:9" ht="15.75" customHeight="1">
      <c r="A37" s="33" t="s">
        <v>269</v>
      </c>
      <c r="B37" s="33">
        <v>1058</v>
      </c>
      <c r="C37" s="33">
        <v>10611</v>
      </c>
      <c r="D37" s="6">
        <f t="shared" si="0"/>
        <v>464.32249509709146</v>
      </c>
      <c r="E37" s="7">
        <f t="shared" si="1"/>
        <v>435.64999999999964</v>
      </c>
      <c r="F37" s="8">
        <f t="shared" si="2"/>
        <v>-28.672495097091826</v>
      </c>
      <c r="G37" s="33">
        <v>33.81</v>
      </c>
      <c r="H37" s="33">
        <v>1.333</v>
      </c>
      <c r="I37" s="33">
        <v>49.65</v>
      </c>
    </row>
    <row r="38" spans="1:9" ht="15.75" customHeight="1">
      <c r="A38" s="33" t="s">
        <v>270</v>
      </c>
      <c r="B38" s="33">
        <v>1066</v>
      </c>
      <c r="C38" s="33">
        <v>10175.35</v>
      </c>
      <c r="D38" s="6">
        <f t="shared" si="0"/>
        <v>468.35312717149463</v>
      </c>
      <c r="E38" s="7">
        <f t="shared" si="1"/>
        <v>438.35000000000036</v>
      </c>
      <c r="F38" s="8">
        <f t="shared" si="2"/>
        <v>-30.00312717149427</v>
      </c>
      <c r="G38" s="33">
        <v>33.380000000000003</v>
      </c>
      <c r="H38" s="33">
        <v>4</v>
      </c>
      <c r="I38" s="33">
        <v>49.36</v>
      </c>
    </row>
    <row r="39" spans="1:9" ht="15.75" customHeight="1">
      <c r="A39" s="33" t="s">
        <v>271</v>
      </c>
      <c r="B39" s="33">
        <v>1057</v>
      </c>
      <c r="C39" s="33">
        <v>9737</v>
      </c>
      <c r="D39" s="6">
        <f t="shared" si="0"/>
        <v>465.4117560052855</v>
      </c>
      <c r="E39" s="7">
        <f t="shared" si="1"/>
        <v>437</v>
      </c>
      <c r="F39" s="8">
        <f t="shared" si="2"/>
        <v>-28.411756005285497</v>
      </c>
      <c r="G39" s="33">
        <v>33.56</v>
      </c>
      <c r="H39" s="33">
        <v>2.556</v>
      </c>
      <c r="I39" s="33">
        <v>48.79</v>
      </c>
    </row>
    <row r="40" spans="1:9" ht="15.75" customHeight="1">
      <c r="A40" s="33" t="s">
        <v>272</v>
      </c>
      <c r="B40" s="33">
        <v>1059</v>
      </c>
      <c r="C40" s="33">
        <v>9300</v>
      </c>
      <c r="D40" s="6">
        <f t="shared" si="0"/>
        <v>466.2923837366107</v>
      </c>
      <c r="E40" s="7">
        <f t="shared" si="1"/>
        <v>439</v>
      </c>
      <c r="F40" s="8">
        <f t="shared" si="2"/>
        <v>-27.292383736610702</v>
      </c>
      <c r="G40" s="33">
        <v>33.19</v>
      </c>
      <c r="H40" s="33">
        <v>4.1109999999999998</v>
      </c>
      <c r="I40" s="33">
        <v>48.79</v>
      </c>
    </row>
    <row r="41" spans="1:9" ht="15.75" customHeight="1">
      <c r="A41" s="33" t="s">
        <v>273</v>
      </c>
      <c r="B41" s="33">
        <v>1059</v>
      </c>
      <c r="C41" s="33">
        <v>8861</v>
      </c>
      <c r="D41" s="6">
        <f t="shared" si="0"/>
        <v>466.2923837366107</v>
      </c>
      <c r="E41" s="7">
        <f t="shared" si="1"/>
        <v>440</v>
      </c>
      <c r="F41" s="8">
        <f t="shared" si="2"/>
        <v>-26.292383736610702</v>
      </c>
      <c r="G41" s="33">
        <v>32.880000000000003</v>
      </c>
      <c r="H41" s="33">
        <v>4.3330000000000002</v>
      </c>
      <c r="I41" s="33">
        <v>48.79</v>
      </c>
    </row>
    <row r="42" spans="1:9" ht="15.75" customHeight="1">
      <c r="A42" s="33" t="s">
        <v>274</v>
      </c>
      <c r="B42" s="33">
        <v>1053</v>
      </c>
      <c r="C42" s="33">
        <v>8421</v>
      </c>
      <c r="D42" s="6">
        <f t="shared" si="0"/>
        <v>463.65050054263548</v>
      </c>
      <c r="E42" s="7">
        <f t="shared" si="1"/>
        <v>439</v>
      </c>
      <c r="F42" s="8">
        <f t="shared" si="2"/>
        <v>-24.650500542635484</v>
      </c>
      <c r="G42" s="33">
        <v>32.130000000000003</v>
      </c>
      <c r="H42" s="33">
        <v>2.1110000000000002</v>
      </c>
      <c r="I42" s="33">
        <v>48.79</v>
      </c>
    </row>
    <row r="43" spans="1:9" ht="15.75" customHeight="1">
      <c r="A43" s="33" t="s">
        <v>275</v>
      </c>
      <c r="B43" s="33">
        <v>1048</v>
      </c>
      <c r="C43" s="33">
        <v>7982</v>
      </c>
      <c r="D43" s="6">
        <f t="shared" si="0"/>
        <v>461.95984294473851</v>
      </c>
      <c r="E43" s="7">
        <f t="shared" si="1"/>
        <v>437</v>
      </c>
      <c r="F43" s="8">
        <f t="shared" si="2"/>
        <v>-24.959842944738512</v>
      </c>
      <c r="G43" s="33">
        <v>32.44</v>
      </c>
      <c r="H43" s="33">
        <v>4.556</v>
      </c>
      <c r="I43" s="33">
        <v>48.5</v>
      </c>
    </row>
    <row r="44" spans="1:9" ht="15.75" customHeight="1">
      <c r="A44" s="33" t="s">
        <v>276</v>
      </c>
      <c r="B44" s="33">
        <v>1037</v>
      </c>
      <c r="C44" s="33">
        <v>7545</v>
      </c>
      <c r="D44" s="6">
        <f t="shared" si="0"/>
        <v>457.11102779932617</v>
      </c>
      <c r="E44" s="7">
        <f t="shared" si="1"/>
        <v>432</v>
      </c>
      <c r="F44" s="8">
        <f t="shared" si="2"/>
        <v>-25.111027799326166</v>
      </c>
      <c r="G44" s="33">
        <v>32.56</v>
      </c>
      <c r="H44" s="33">
        <v>3.1110000000000002</v>
      </c>
      <c r="I44" s="33">
        <v>48.5</v>
      </c>
    </row>
    <row r="45" spans="1:9" ht="15.75" customHeight="1">
      <c r="A45" s="33" t="s">
        <v>277</v>
      </c>
      <c r="B45" s="33">
        <v>1021</v>
      </c>
      <c r="C45" s="33">
        <v>7113</v>
      </c>
      <c r="D45" s="6">
        <f t="shared" si="0"/>
        <v>450.05820576963549</v>
      </c>
      <c r="E45" s="7">
        <f t="shared" si="1"/>
        <v>430</v>
      </c>
      <c r="F45" s="8">
        <f t="shared" si="2"/>
        <v>-20.058205769635492</v>
      </c>
      <c r="G45" s="33">
        <v>32.06</v>
      </c>
      <c r="H45" s="33">
        <v>1.667</v>
      </c>
      <c r="I45" s="33">
        <v>48.5</v>
      </c>
    </row>
    <row r="46" spans="1:9" ht="15.75" customHeight="1">
      <c r="A46" s="33" t="s">
        <v>278</v>
      </c>
      <c r="B46" s="33">
        <v>1006</v>
      </c>
      <c r="C46" s="33">
        <v>6683</v>
      </c>
      <c r="D46" s="6">
        <f t="shared" si="0"/>
        <v>443.44618511680051</v>
      </c>
      <c r="E46" s="7">
        <f t="shared" si="1"/>
        <v>422</v>
      </c>
      <c r="F46" s="8">
        <f t="shared" si="2"/>
        <v>-21.446185116800507</v>
      </c>
      <c r="G46" s="33">
        <v>31.63</v>
      </c>
      <c r="H46" s="33">
        <v>2.1110000000000002</v>
      </c>
      <c r="I46" s="33">
        <v>48.5</v>
      </c>
    </row>
    <row r="47" spans="1:9" ht="15.75" customHeight="1">
      <c r="A47" s="33" t="s">
        <v>279</v>
      </c>
      <c r="B47" s="33">
        <v>984</v>
      </c>
      <c r="C47" s="33">
        <v>6261</v>
      </c>
      <c r="D47" s="6">
        <f t="shared" si="0"/>
        <v>433.74855482597576</v>
      </c>
      <c r="E47" s="7">
        <f t="shared" si="1"/>
        <v>416</v>
      </c>
      <c r="F47" s="8">
        <f t="shared" si="2"/>
        <v>-17.748554825975759</v>
      </c>
      <c r="G47" s="33">
        <v>31.5</v>
      </c>
      <c r="H47" s="33">
        <v>2.6669999999999998</v>
      </c>
      <c r="I47" s="33">
        <v>48.5</v>
      </c>
    </row>
    <row r="48" spans="1:9" ht="15.75" customHeight="1">
      <c r="A48" s="33" t="s">
        <v>280</v>
      </c>
      <c r="B48" s="33">
        <v>962</v>
      </c>
      <c r="C48" s="33">
        <v>5845</v>
      </c>
      <c r="D48" s="6">
        <f t="shared" si="0"/>
        <v>424.05092453515118</v>
      </c>
      <c r="E48" s="7">
        <f t="shared" si="1"/>
        <v>406.64699999999993</v>
      </c>
      <c r="F48" s="8">
        <f t="shared" si="2"/>
        <v>-17.403924535151248</v>
      </c>
      <c r="G48" s="33">
        <v>31.44</v>
      </c>
      <c r="H48" s="33">
        <v>2.3330000000000002</v>
      </c>
      <c r="I48" s="33">
        <v>48.5</v>
      </c>
    </row>
    <row r="49" spans="1:9" ht="15.75" customHeight="1">
      <c r="A49" s="33" t="s">
        <v>281</v>
      </c>
      <c r="B49" s="33">
        <v>943</v>
      </c>
      <c r="C49" s="33">
        <v>5438.3530000000001</v>
      </c>
      <c r="D49" s="6">
        <f t="shared" si="0"/>
        <v>415.6756983748935</v>
      </c>
      <c r="E49" s="7">
        <f t="shared" si="1"/>
        <v>397.35300000000007</v>
      </c>
      <c r="F49" s="8">
        <f t="shared" si="2"/>
        <v>-18.322698374893434</v>
      </c>
      <c r="G49" s="33">
        <v>30.5</v>
      </c>
      <c r="H49" s="33">
        <v>2.222</v>
      </c>
      <c r="I49" s="33">
        <v>48.5</v>
      </c>
    </row>
    <row r="50" spans="1:9" ht="15.75" customHeight="1">
      <c r="A50" s="33" t="s">
        <v>282</v>
      </c>
      <c r="B50" s="33">
        <v>920</v>
      </c>
      <c r="C50" s="33">
        <v>5041</v>
      </c>
      <c r="D50" s="6">
        <f t="shared" si="0"/>
        <v>405.53726670721318</v>
      </c>
      <c r="E50" s="7">
        <f t="shared" si="1"/>
        <v>392.64699999999993</v>
      </c>
      <c r="F50" s="8">
        <f t="shared" si="2"/>
        <v>-12.890266707213243</v>
      </c>
      <c r="G50" s="33">
        <v>30.69</v>
      </c>
      <c r="H50" s="33">
        <v>1.889</v>
      </c>
      <c r="I50" s="33">
        <v>48.5</v>
      </c>
    </row>
    <row r="51" spans="1:9" ht="15.75" customHeight="1">
      <c r="A51" s="33" t="s">
        <v>283</v>
      </c>
      <c r="B51" s="33">
        <v>897</v>
      </c>
      <c r="C51" s="33">
        <v>4648.3530000000001</v>
      </c>
      <c r="D51" s="6">
        <f t="shared" si="0"/>
        <v>394.96153749928209</v>
      </c>
      <c r="E51" s="7">
        <f t="shared" si="1"/>
        <v>383</v>
      </c>
      <c r="F51" s="8">
        <f t="shared" si="2"/>
        <v>-11.961537499282088</v>
      </c>
      <c r="G51" s="33">
        <v>30.13</v>
      </c>
      <c r="H51" s="33">
        <v>0.77800000000000002</v>
      </c>
      <c r="I51" s="33">
        <v>48.79</v>
      </c>
    </row>
    <row r="52" spans="1:9" ht="15.75" customHeight="1">
      <c r="A52" s="33" t="s">
        <v>284</v>
      </c>
      <c r="B52" s="33">
        <v>868</v>
      </c>
      <c r="C52" s="33">
        <v>4265.3530000000001</v>
      </c>
      <c r="D52" s="6">
        <f t="shared" si="0"/>
        <v>382.19243539506903</v>
      </c>
      <c r="E52" s="7">
        <f t="shared" si="1"/>
        <v>368.35300000000007</v>
      </c>
      <c r="F52" s="8">
        <f t="shared" si="2"/>
        <v>-13.839435395068961</v>
      </c>
      <c r="G52" s="33">
        <v>30.13</v>
      </c>
      <c r="H52" s="33">
        <v>2.556</v>
      </c>
      <c r="I52" s="33">
        <v>48.79</v>
      </c>
    </row>
    <row r="53" spans="1:9" ht="15.75" customHeight="1">
      <c r="A53" s="33" t="s">
        <v>285</v>
      </c>
      <c r="B53" s="33">
        <v>832</v>
      </c>
      <c r="C53" s="33">
        <v>3897</v>
      </c>
      <c r="D53" s="6">
        <f t="shared" si="0"/>
        <v>366.74674554391453</v>
      </c>
      <c r="E53" s="7">
        <f t="shared" si="1"/>
        <v>356</v>
      </c>
      <c r="F53" s="8">
        <f t="shared" si="2"/>
        <v>-10.746745543914528</v>
      </c>
      <c r="G53" s="33">
        <v>30.31</v>
      </c>
      <c r="H53" s="33">
        <v>0.77800000000000002</v>
      </c>
      <c r="I53" s="33">
        <v>48.5</v>
      </c>
    </row>
    <row r="54" spans="1:9" ht="15.75" customHeight="1">
      <c r="A54" s="33" t="s">
        <v>286</v>
      </c>
      <c r="B54" s="33">
        <v>803</v>
      </c>
      <c r="C54" s="33">
        <v>3541</v>
      </c>
      <c r="D54" s="6">
        <f t="shared" si="0"/>
        <v>353.57203412700511</v>
      </c>
      <c r="E54" s="7">
        <f t="shared" si="1"/>
        <v>342</v>
      </c>
      <c r="F54" s="8">
        <f t="shared" si="2"/>
        <v>-11.572034127005111</v>
      </c>
      <c r="G54" s="33">
        <v>29.87</v>
      </c>
      <c r="H54" s="33">
        <v>0.66700000000000004</v>
      </c>
      <c r="I54" s="33">
        <v>48.79</v>
      </c>
    </row>
    <row r="55" spans="1:9" ht="15.75" customHeight="1">
      <c r="A55" s="33" t="s">
        <v>287</v>
      </c>
      <c r="B55" s="33">
        <v>764</v>
      </c>
      <c r="C55" s="33">
        <v>3199</v>
      </c>
      <c r="D55" s="6">
        <f t="shared" si="0"/>
        <v>336.39979336616665</v>
      </c>
      <c r="E55" s="7">
        <f t="shared" si="1"/>
        <v>329.64699999999993</v>
      </c>
      <c r="F55" s="8">
        <f t="shared" si="2"/>
        <v>-6.7527933661667134</v>
      </c>
      <c r="G55" s="33">
        <v>29.63</v>
      </c>
      <c r="H55" s="33">
        <v>0.55600000000000005</v>
      </c>
      <c r="I55" s="33">
        <v>48.79</v>
      </c>
    </row>
    <row r="56" spans="1:9" ht="15.75" customHeight="1">
      <c r="A56" s="33" t="s">
        <v>288</v>
      </c>
      <c r="B56" s="33">
        <v>732</v>
      </c>
      <c r="C56" s="33">
        <v>2869.3530000000001</v>
      </c>
      <c r="D56" s="6">
        <f t="shared" si="0"/>
        <v>321.95289147158411</v>
      </c>
      <c r="E56" s="7">
        <f t="shared" si="1"/>
        <v>315.35300000000007</v>
      </c>
      <c r="F56" s="8">
        <f t="shared" si="2"/>
        <v>-6.5998914715840442</v>
      </c>
      <c r="G56" s="33">
        <v>29.75</v>
      </c>
      <c r="H56" s="33">
        <v>1.333</v>
      </c>
      <c r="I56" s="33">
        <v>49.08</v>
      </c>
    </row>
    <row r="57" spans="1:9" ht="15.75" customHeight="1">
      <c r="A57" s="33" t="s">
        <v>289</v>
      </c>
      <c r="B57" s="33">
        <v>688</v>
      </c>
      <c r="C57" s="33">
        <v>2554</v>
      </c>
      <c r="D57" s="6">
        <f t="shared" si="0"/>
        <v>302.93593957581504</v>
      </c>
      <c r="E57" s="7">
        <f t="shared" si="1"/>
        <v>299.64699999999993</v>
      </c>
      <c r="F57" s="8">
        <f t="shared" si="2"/>
        <v>-3.2889395758151068</v>
      </c>
      <c r="G57" s="33">
        <v>29.25</v>
      </c>
      <c r="H57" s="33">
        <v>0.55600000000000005</v>
      </c>
      <c r="I57" s="33">
        <v>48.79</v>
      </c>
    </row>
    <row r="58" spans="1:9" ht="15.75" customHeight="1">
      <c r="A58" s="33" t="s">
        <v>290</v>
      </c>
      <c r="B58" s="33">
        <v>650</v>
      </c>
      <c r="C58" s="33">
        <v>2254.3530000000001</v>
      </c>
      <c r="D58" s="6">
        <f t="shared" si="0"/>
        <v>286.52089495618327</v>
      </c>
      <c r="E58" s="7">
        <f t="shared" si="1"/>
        <v>284.35300000000007</v>
      </c>
      <c r="F58" s="8">
        <f t="shared" si="2"/>
        <v>-2.1678949561832042</v>
      </c>
      <c r="G58" s="33">
        <v>28.25</v>
      </c>
      <c r="H58" s="33">
        <v>0.55600000000000005</v>
      </c>
      <c r="I58" s="33">
        <v>48.5</v>
      </c>
    </row>
    <row r="59" spans="1:9" ht="15.75" customHeight="1">
      <c r="A59" s="33" t="s">
        <v>291</v>
      </c>
      <c r="B59" s="33">
        <v>607</v>
      </c>
      <c r="C59" s="33">
        <v>1970</v>
      </c>
      <c r="D59" s="6">
        <f t="shared" si="0"/>
        <v>267.56643575138952</v>
      </c>
      <c r="E59" s="7">
        <f t="shared" si="1"/>
        <v>267.64699999999993</v>
      </c>
      <c r="F59" s="8">
        <f t="shared" si="2"/>
        <v>8.0564248610414779E-2</v>
      </c>
      <c r="G59" s="33">
        <v>28.06</v>
      </c>
      <c r="H59" s="33">
        <v>0.55600000000000005</v>
      </c>
      <c r="I59" s="33">
        <v>48.5</v>
      </c>
    </row>
    <row r="60" spans="1:9" ht="15.75" customHeight="1">
      <c r="A60" s="33" t="s">
        <v>292</v>
      </c>
      <c r="B60" s="33">
        <v>567</v>
      </c>
      <c r="C60" s="33">
        <v>1702.3530000000001</v>
      </c>
      <c r="D60" s="6">
        <f t="shared" si="0"/>
        <v>249.93438067716289</v>
      </c>
      <c r="E60" s="7">
        <f t="shared" si="1"/>
        <v>248.35300000000007</v>
      </c>
      <c r="F60" s="8">
        <f t="shared" si="2"/>
        <v>-1.5813806771628265</v>
      </c>
      <c r="G60" s="33">
        <v>27.94</v>
      </c>
      <c r="H60" s="33">
        <v>0.55600000000000005</v>
      </c>
      <c r="I60" s="33">
        <v>48.5</v>
      </c>
    </row>
    <row r="61" spans="1:9" ht="15.75" customHeight="1">
      <c r="A61" s="33" t="s">
        <v>293</v>
      </c>
      <c r="B61" s="33">
        <v>524</v>
      </c>
      <c r="C61" s="33">
        <v>1454</v>
      </c>
      <c r="D61" s="6">
        <f t="shared" si="0"/>
        <v>231.22656851463887</v>
      </c>
      <c r="E61" s="7">
        <f t="shared" si="1"/>
        <v>231</v>
      </c>
      <c r="F61" s="8">
        <f t="shared" si="2"/>
        <v>-0.22656851463887051</v>
      </c>
      <c r="G61" s="33">
        <v>27.69</v>
      </c>
      <c r="H61" s="33">
        <v>0.55600000000000005</v>
      </c>
      <c r="I61" s="33">
        <v>48.22</v>
      </c>
    </row>
    <row r="62" spans="1:9" ht="15.75" customHeight="1">
      <c r="A62" s="33" t="s">
        <v>294</v>
      </c>
      <c r="B62" s="33">
        <v>487</v>
      </c>
      <c r="C62" s="33">
        <v>1223</v>
      </c>
      <c r="D62" s="6">
        <f t="shared" si="0"/>
        <v>215.13691960493384</v>
      </c>
      <c r="E62" s="7">
        <f t="shared" si="1"/>
        <v>211</v>
      </c>
      <c r="F62" s="8">
        <f t="shared" si="2"/>
        <v>-4.136919604933837</v>
      </c>
      <c r="G62" s="33">
        <v>26.44</v>
      </c>
      <c r="H62" s="33">
        <v>0.55600000000000005</v>
      </c>
      <c r="I62" s="33">
        <v>47.93</v>
      </c>
    </row>
    <row r="63" spans="1:9" ht="15.75" customHeight="1">
      <c r="A63" s="33" t="s">
        <v>295</v>
      </c>
      <c r="B63" s="33">
        <v>445</v>
      </c>
      <c r="C63" s="33">
        <v>1012</v>
      </c>
      <c r="D63" s="6">
        <f t="shared" si="0"/>
        <v>196.79995936841453</v>
      </c>
      <c r="E63" s="7">
        <f t="shared" si="1"/>
        <v>193.64700000000005</v>
      </c>
      <c r="F63" s="8">
        <f t="shared" si="2"/>
        <v>-3.1529593684144857</v>
      </c>
      <c r="G63" s="33">
        <v>25.5</v>
      </c>
      <c r="H63" s="33">
        <v>0.55600000000000005</v>
      </c>
      <c r="I63" s="33">
        <v>47.64</v>
      </c>
    </row>
    <row r="64" spans="1:9" ht="15.75" customHeight="1">
      <c r="A64" s="33" t="s">
        <v>296</v>
      </c>
      <c r="B64" s="33">
        <v>402</v>
      </c>
      <c r="C64" s="33">
        <v>818.35299999999995</v>
      </c>
      <c r="D64" s="6">
        <f t="shared" si="0"/>
        <v>177.97931358077372</v>
      </c>
      <c r="E64" s="7">
        <f t="shared" si="1"/>
        <v>172.35299999999995</v>
      </c>
      <c r="F64" s="8">
        <f t="shared" si="2"/>
        <v>-5.6263135807737683</v>
      </c>
      <c r="G64" s="33">
        <v>24.94</v>
      </c>
      <c r="H64" s="33">
        <v>0.55600000000000005</v>
      </c>
      <c r="I64" s="33">
        <v>47.35</v>
      </c>
    </row>
    <row r="65" spans="1:26" ht="15.75" customHeight="1">
      <c r="A65" s="33" t="s">
        <v>297</v>
      </c>
      <c r="B65" s="33">
        <v>358</v>
      </c>
      <c r="C65" s="33">
        <v>646</v>
      </c>
      <c r="D65" s="6">
        <f t="shared" si="0"/>
        <v>160.74379482767836</v>
      </c>
      <c r="E65" s="7">
        <f t="shared" si="1"/>
        <v>150.64699999999999</v>
      </c>
      <c r="F65" s="8">
        <f t="shared" si="2"/>
        <v>-10.096794827678366</v>
      </c>
      <c r="G65" s="33">
        <v>23.56</v>
      </c>
      <c r="H65" s="33">
        <v>0.55600000000000005</v>
      </c>
      <c r="I65" s="33">
        <v>43.62</v>
      </c>
    </row>
    <row r="66" spans="1:26" ht="15.75" customHeight="1">
      <c r="A66" s="33" t="s">
        <v>298</v>
      </c>
      <c r="B66" s="33">
        <v>312</v>
      </c>
      <c r="C66" s="33">
        <v>495.35300000000001</v>
      </c>
      <c r="D66" s="6">
        <f t="shared" si="0"/>
        <v>144.75232298736714</v>
      </c>
      <c r="E66" s="7">
        <f t="shared" si="1"/>
        <v>129.35300000000001</v>
      </c>
      <c r="F66" s="8">
        <f t="shared" si="2"/>
        <v>-15.399322987367128</v>
      </c>
      <c r="G66" s="33">
        <v>22.31</v>
      </c>
      <c r="H66" s="33">
        <v>0.55600000000000005</v>
      </c>
      <c r="I66" s="33">
        <v>34.729999999999997</v>
      </c>
    </row>
    <row r="67" spans="1:26" ht="15.75" customHeight="1">
      <c r="A67" s="33" t="s">
        <v>299</v>
      </c>
      <c r="B67" s="33">
        <v>265</v>
      </c>
      <c r="C67" s="33">
        <v>366</v>
      </c>
      <c r="D67" s="6">
        <f t="shared" si="0"/>
        <v>126.78230498117566</v>
      </c>
      <c r="E67" s="7">
        <f t="shared" si="1"/>
        <v>106.64699999999999</v>
      </c>
      <c r="F67" s="8">
        <f t="shared" si="2"/>
        <v>-20.135304981175665</v>
      </c>
      <c r="G67" s="33">
        <v>20.88</v>
      </c>
      <c r="H67" s="33">
        <v>0.66700000000000004</v>
      </c>
      <c r="I67" s="33">
        <v>26.12</v>
      </c>
    </row>
    <row r="68" spans="1:26" ht="15.75" customHeight="1">
      <c r="A68" s="33" t="s">
        <v>300</v>
      </c>
      <c r="B68" s="33">
        <v>218</v>
      </c>
      <c r="C68" s="33">
        <v>259.35300000000001</v>
      </c>
      <c r="D68" s="6">
        <f t="shared" si="0"/>
        <v>104.29638673923128</v>
      </c>
      <c r="E68" s="7">
        <f t="shared" si="1"/>
        <v>85</v>
      </c>
      <c r="F68" s="8">
        <f t="shared" si="2"/>
        <v>-19.296386739231281</v>
      </c>
      <c r="G68" s="33">
        <v>19.190000000000001</v>
      </c>
      <c r="H68" s="33">
        <v>0.55600000000000005</v>
      </c>
      <c r="I68" s="33">
        <v>26.12</v>
      </c>
    </row>
    <row r="69" spans="1:26" ht="15.75" customHeight="1">
      <c r="A69" s="33" t="s">
        <v>301</v>
      </c>
      <c r="B69" s="33">
        <v>174</v>
      </c>
      <c r="C69" s="33">
        <v>174.35300000000001</v>
      </c>
      <c r="D69" s="6">
        <f t="shared" si="0"/>
        <v>84.59127076751156</v>
      </c>
      <c r="E69" s="7">
        <f t="shared" si="1"/>
        <v>64.353000000000009</v>
      </c>
      <c r="F69" s="8">
        <f t="shared" si="2"/>
        <v>-20.238270767511551</v>
      </c>
      <c r="G69" s="33">
        <v>17.88</v>
      </c>
      <c r="H69" s="33">
        <v>0.55600000000000005</v>
      </c>
      <c r="I69" s="33">
        <v>21.52</v>
      </c>
    </row>
    <row r="70" spans="1:26" ht="15.75" customHeight="1">
      <c r="A70" s="33" t="s">
        <v>302</v>
      </c>
      <c r="B70" s="33">
        <v>132</v>
      </c>
      <c r="C70" s="33">
        <v>110</v>
      </c>
      <c r="D70" s="6">
        <f t="shared" si="0"/>
        <v>65.062513771061617</v>
      </c>
      <c r="E70" s="7">
        <f t="shared" si="1"/>
        <v>48</v>
      </c>
      <c r="F70" s="8">
        <f t="shared" si="2"/>
        <v>-17.062513771061617</v>
      </c>
      <c r="G70" s="33">
        <v>16.440000000000001</v>
      </c>
      <c r="H70" s="33">
        <v>0.88900000000000001</v>
      </c>
      <c r="I70" s="33">
        <v>17.510000000000002</v>
      </c>
    </row>
    <row r="71" spans="1:26" ht="15.75" customHeight="1">
      <c r="A71" s="33" t="s">
        <v>303</v>
      </c>
      <c r="B71" s="33">
        <v>92</v>
      </c>
      <c r="C71" s="33">
        <v>62</v>
      </c>
      <c r="D71" s="6">
        <f t="shared" si="0"/>
        <v>45.657464541021852</v>
      </c>
      <c r="E71" s="7">
        <f t="shared" si="1"/>
        <v>31</v>
      </c>
      <c r="F71" s="8">
        <f t="shared" si="2"/>
        <v>-14.657464541021852</v>
      </c>
      <c r="G71" s="33">
        <v>15.38</v>
      </c>
      <c r="H71" s="33">
        <v>0.55600000000000005</v>
      </c>
      <c r="I71" s="33">
        <v>15.5</v>
      </c>
    </row>
    <row r="72" spans="1:26" ht="15.75" customHeight="1">
      <c r="A72" s="33" t="s">
        <v>304</v>
      </c>
      <c r="B72" s="33">
        <v>49</v>
      </c>
      <c r="C72" s="33">
        <v>31</v>
      </c>
      <c r="D72" s="6">
        <f t="shared" si="0"/>
        <v>24.41229110402627</v>
      </c>
      <c r="E72" s="7">
        <f t="shared" si="1"/>
        <v>18.646999999999998</v>
      </c>
      <c r="F72" s="8">
        <f t="shared" si="2"/>
        <v>-5.7652911040262715</v>
      </c>
      <c r="G72" s="33">
        <v>15.13</v>
      </c>
      <c r="H72" s="33">
        <v>0.55600000000000005</v>
      </c>
      <c r="I72" s="33">
        <v>14.35</v>
      </c>
    </row>
    <row r="73" spans="1:26" ht="15.75" customHeight="1">
      <c r="A73" s="33" t="s">
        <v>305</v>
      </c>
      <c r="B73" s="33">
        <v>28</v>
      </c>
      <c r="C73" s="33">
        <v>12.353</v>
      </c>
      <c r="D73" s="6">
        <f t="shared" si="0"/>
        <v>13.99036087063396</v>
      </c>
      <c r="E73" s="7">
        <f t="shared" si="1"/>
        <v>9.3529999999999998</v>
      </c>
      <c r="F73" s="8">
        <f t="shared" si="2"/>
        <v>-4.6373608706339606</v>
      </c>
      <c r="G73" s="33">
        <v>15.38</v>
      </c>
      <c r="H73" s="33">
        <v>0.55600000000000005</v>
      </c>
      <c r="I73" s="33">
        <v>13.49</v>
      </c>
    </row>
    <row r="74" spans="1:26" ht="15.75" customHeight="1">
      <c r="A74" s="33" t="s">
        <v>306</v>
      </c>
      <c r="B74" s="33">
        <v>13</v>
      </c>
      <c r="C74" s="33">
        <v>3</v>
      </c>
      <c r="D74" s="6">
        <f t="shared" si="0"/>
        <v>6.4955246899371941</v>
      </c>
      <c r="E74" s="7">
        <f t="shared" si="1"/>
        <v>3</v>
      </c>
      <c r="F74" s="8">
        <f t="shared" si="2"/>
        <v>-3.4955246899371941</v>
      </c>
      <c r="G74" s="33">
        <v>15.44</v>
      </c>
      <c r="H74" s="33">
        <v>0.55600000000000005</v>
      </c>
      <c r="I74" s="33">
        <v>13.49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7.1876666666666669</v>
      </c>
      <c r="C76" s="11"/>
      <c r="D76" s="16">
        <f>SUM(D2:D75)</f>
        <v>19046.637115142752</v>
      </c>
      <c r="E76" s="15">
        <f>SUM(E1:E74)</f>
        <v>18744</v>
      </c>
      <c r="F76" s="11"/>
      <c r="G76" s="17">
        <f t="shared" ref="G76:I76" si="3">AVERAGE(G1:G74)</f>
        <v>30.027260273972619</v>
      </c>
      <c r="H76" s="17">
        <f t="shared" si="3"/>
        <v>2.3745205479452083</v>
      </c>
      <c r="I76" s="17">
        <f t="shared" si="3"/>
        <v>44.413972602739697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4" t="s">
        <v>307</v>
      </c>
      <c r="B2" s="34">
        <v>0</v>
      </c>
      <c r="C2" s="34">
        <v>15493</v>
      </c>
      <c r="D2" s="6">
        <f t="shared" ref="D2:D74" si="0">( B2/1000)*(10/60)*3159.1*(1-0.0035*(I2-25))*0.9459*0.9857*0.9784</f>
        <v>0</v>
      </c>
      <c r="E2" s="7">
        <f t="shared" ref="E2:E25" si="1">(C2-C3)</f>
        <v>0</v>
      </c>
      <c r="F2" s="8">
        <f t="shared" ref="F2:F74" si="2">E2-D2</f>
        <v>0</v>
      </c>
      <c r="G2" s="34">
        <v>28.75</v>
      </c>
      <c r="H2" s="34">
        <v>0.55600000000000005</v>
      </c>
      <c r="I2" s="34">
        <v>34.15</v>
      </c>
    </row>
    <row r="3" spans="1:26" ht="15.75" customHeight="1">
      <c r="A3" s="34" t="s">
        <v>308</v>
      </c>
      <c r="B3" s="34">
        <v>0</v>
      </c>
      <c r="C3" s="34">
        <v>15493</v>
      </c>
      <c r="D3" s="6">
        <f t="shared" si="0"/>
        <v>0</v>
      </c>
      <c r="E3" s="7">
        <f t="shared" si="1"/>
        <v>2</v>
      </c>
      <c r="F3" s="8">
        <f t="shared" si="2"/>
        <v>2</v>
      </c>
      <c r="G3" s="34">
        <v>30.06</v>
      </c>
      <c r="H3" s="34">
        <v>0.55600000000000005</v>
      </c>
      <c r="I3" s="34">
        <v>36.159999999999997</v>
      </c>
    </row>
    <row r="4" spans="1:26" ht="15.75" customHeight="1">
      <c r="A4" s="34" t="s">
        <v>309</v>
      </c>
      <c r="B4" s="34">
        <v>5</v>
      </c>
      <c r="C4" s="34">
        <v>15491</v>
      </c>
      <c r="D4" s="6">
        <f t="shared" si="0"/>
        <v>2.2859591969190283</v>
      </c>
      <c r="E4" s="7">
        <f t="shared" si="1"/>
        <v>8</v>
      </c>
      <c r="F4" s="8">
        <f t="shared" si="2"/>
        <v>5.7140408030809713</v>
      </c>
      <c r="G4" s="34">
        <v>30.19</v>
      </c>
      <c r="H4" s="34">
        <v>0.55600000000000005</v>
      </c>
      <c r="I4" s="34">
        <v>38.75</v>
      </c>
    </row>
    <row r="5" spans="1:26" ht="15.75" customHeight="1">
      <c r="A5" s="34" t="s">
        <v>310</v>
      </c>
      <c r="B5" s="34">
        <v>25</v>
      </c>
      <c r="C5" s="34">
        <v>15483</v>
      </c>
      <c r="D5" s="6">
        <f t="shared" si="0"/>
        <v>11.33355455077607</v>
      </c>
      <c r="E5" s="7">
        <f t="shared" si="1"/>
        <v>17</v>
      </c>
      <c r="F5" s="8">
        <f t="shared" si="2"/>
        <v>5.6664454492239305</v>
      </c>
      <c r="G5" s="34">
        <v>30.81</v>
      </c>
      <c r="H5" s="34">
        <v>0.88900000000000001</v>
      </c>
      <c r="I5" s="34">
        <v>41.04</v>
      </c>
    </row>
    <row r="6" spans="1:26" ht="15.75" customHeight="1">
      <c r="A6" s="34" t="s">
        <v>311</v>
      </c>
      <c r="B6" s="34">
        <v>37</v>
      </c>
      <c r="C6" s="34">
        <v>15466</v>
      </c>
      <c r="D6" s="6">
        <f t="shared" si="0"/>
        <v>16.666677244349522</v>
      </c>
      <c r="E6" s="7">
        <f t="shared" si="1"/>
        <v>24</v>
      </c>
      <c r="F6" s="8">
        <f t="shared" si="2"/>
        <v>7.3333227556504781</v>
      </c>
      <c r="G6" s="34">
        <v>31.5</v>
      </c>
      <c r="H6" s="34">
        <v>0.88900000000000001</v>
      </c>
      <c r="I6" s="34">
        <v>42.76</v>
      </c>
    </row>
    <row r="7" spans="1:26" ht="15.75" customHeight="1">
      <c r="A7" s="34" t="s">
        <v>312</v>
      </c>
      <c r="B7" s="34">
        <v>64</v>
      </c>
      <c r="C7" s="34">
        <v>15442</v>
      </c>
      <c r="D7" s="6">
        <f t="shared" si="0"/>
        <v>28.612593884374689</v>
      </c>
      <c r="E7" s="7">
        <f t="shared" si="1"/>
        <v>36.649999999999636</v>
      </c>
      <c r="F7" s="8">
        <f t="shared" si="2"/>
        <v>8.0374061156249468</v>
      </c>
      <c r="G7" s="34">
        <v>31.87</v>
      </c>
      <c r="H7" s="34">
        <v>0.77800000000000002</v>
      </c>
      <c r="I7" s="34">
        <v>44.77</v>
      </c>
    </row>
    <row r="8" spans="1:26" ht="15.75" customHeight="1">
      <c r="A8" s="34" t="s">
        <v>313</v>
      </c>
      <c r="B8" s="34">
        <v>69</v>
      </c>
      <c r="C8" s="34">
        <v>15405.35</v>
      </c>
      <c r="D8" s="6">
        <f t="shared" si="0"/>
        <v>30.648443028479722</v>
      </c>
      <c r="E8" s="7">
        <f t="shared" si="1"/>
        <v>38.350000000000364</v>
      </c>
      <c r="F8" s="8">
        <f t="shared" si="2"/>
        <v>7.7015569715206418</v>
      </c>
      <c r="G8" s="34">
        <v>32</v>
      </c>
      <c r="H8" s="34">
        <v>1</v>
      </c>
      <c r="I8" s="34">
        <v>46.49</v>
      </c>
    </row>
    <row r="9" spans="1:26" ht="15.75" customHeight="1">
      <c r="A9" s="34" t="s">
        <v>314</v>
      </c>
      <c r="B9" s="34">
        <v>106</v>
      </c>
      <c r="C9" s="34">
        <v>15367</v>
      </c>
      <c r="D9" s="6">
        <f t="shared" si="0"/>
        <v>46.979763004138121</v>
      </c>
      <c r="E9" s="7">
        <f t="shared" si="1"/>
        <v>80</v>
      </c>
      <c r="F9" s="8">
        <f t="shared" si="2"/>
        <v>33.020236995861879</v>
      </c>
      <c r="G9" s="34">
        <v>32.94</v>
      </c>
      <c r="H9" s="34">
        <v>1.889</v>
      </c>
      <c r="I9" s="34">
        <v>47.07</v>
      </c>
    </row>
    <row r="10" spans="1:26" ht="15.75" customHeight="1">
      <c r="A10" s="34" t="s">
        <v>315</v>
      </c>
      <c r="B10" s="34">
        <v>221</v>
      </c>
      <c r="C10" s="34">
        <v>15287</v>
      </c>
      <c r="D10" s="6">
        <f t="shared" si="0"/>
        <v>97.844349008335783</v>
      </c>
      <c r="E10" s="7">
        <f t="shared" si="1"/>
        <v>99</v>
      </c>
      <c r="F10" s="8">
        <f t="shared" si="2"/>
        <v>1.155650991664217</v>
      </c>
      <c r="G10" s="34">
        <v>33.06</v>
      </c>
      <c r="H10" s="34">
        <v>1.667</v>
      </c>
      <c r="I10" s="34">
        <v>47.35</v>
      </c>
    </row>
    <row r="11" spans="1:26" ht="15.75" customHeight="1">
      <c r="A11" s="34" t="s">
        <v>316</v>
      </c>
      <c r="B11" s="34">
        <v>209</v>
      </c>
      <c r="C11" s="34">
        <v>15188</v>
      </c>
      <c r="D11" s="6">
        <f t="shared" si="0"/>
        <v>92.429643838199183</v>
      </c>
      <c r="E11" s="7">
        <f t="shared" si="1"/>
        <v>81</v>
      </c>
      <c r="F11" s="8">
        <f t="shared" si="2"/>
        <v>-11.429643838199183</v>
      </c>
      <c r="G11" s="34">
        <v>32.56</v>
      </c>
      <c r="H11" s="34">
        <v>0.88900000000000001</v>
      </c>
      <c r="I11" s="34">
        <v>47.64</v>
      </c>
    </row>
    <row r="12" spans="1:26" ht="15.75" customHeight="1">
      <c r="A12" s="34" t="s">
        <v>317</v>
      </c>
      <c r="B12" s="34">
        <v>166</v>
      </c>
      <c r="C12" s="34">
        <v>15107</v>
      </c>
      <c r="D12" s="6">
        <f t="shared" si="0"/>
        <v>73.413018550914202</v>
      </c>
      <c r="E12" s="7">
        <f t="shared" si="1"/>
        <v>67</v>
      </c>
      <c r="F12" s="8">
        <f t="shared" si="2"/>
        <v>-6.4130185509142024</v>
      </c>
      <c r="G12" s="34">
        <v>32.81</v>
      </c>
      <c r="H12" s="34">
        <v>0.66700000000000004</v>
      </c>
      <c r="I12" s="34">
        <v>47.64</v>
      </c>
    </row>
    <row r="13" spans="1:26" ht="15.75" customHeight="1">
      <c r="A13" s="34" t="s">
        <v>318</v>
      </c>
      <c r="B13" s="34">
        <v>188</v>
      </c>
      <c r="C13" s="34">
        <v>15040</v>
      </c>
      <c r="D13" s="6">
        <f t="shared" si="0"/>
        <v>83.142454744408838</v>
      </c>
      <c r="E13" s="7">
        <f t="shared" si="1"/>
        <v>103</v>
      </c>
      <c r="F13" s="8">
        <f t="shared" si="2"/>
        <v>19.857545255591162</v>
      </c>
      <c r="G13" s="34">
        <v>33.25</v>
      </c>
      <c r="H13" s="34">
        <v>0.77800000000000002</v>
      </c>
      <c r="I13" s="34">
        <v>47.64</v>
      </c>
    </row>
    <row r="14" spans="1:26" ht="15.75" customHeight="1">
      <c r="A14" s="34" t="s">
        <v>319</v>
      </c>
      <c r="B14" s="34">
        <v>328</v>
      </c>
      <c r="C14" s="34">
        <v>14937</v>
      </c>
      <c r="D14" s="6">
        <f t="shared" si="0"/>
        <v>144.89714503165976</v>
      </c>
      <c r="E14" s="7">
        <f t="shared" si="1"/>
        <v>162.64999999999964</v>
      </c>
      <c r="F14" s="8">
        <f t="shared" si="2"/>
        <v>17.752854968339875</v>
      </c>
      <c r="G14" s="34">
        <v>33.130000000000003</v>
      </c>
      <c r="H14" s="34">
        <v>2.1110000000000002</v>
      </c>
      <c r="I14" s="34">
        <v>47.93</v>
      </c>
    </row>
    <row r="15" spans="1:26" ht="15.75" customHeight="1">
      <c r="A15" s="34" t="s">
        <v>320</v>
      </c>
      <c r="B15" s="34">
        <v>404</v>
      </c>
      <c r="C15" s="34">
        <v>14774.35</v>
      </c>
      <c r="D15" s="6">
        <f t="shared" si="0"/>
        <v>178.2739192364773</v>
      </c>
      <c r="E15" s="7">
        <f t="shared" si="1"/>
        <v>192.35000000000036</v>
      </c>
      <c r="F15" s="8">
        <f t="shared" si="2"/>
        <v>14.076080763523066</v>
      </c>
      <c r="G15" s="34">
        <v>33.380000000000003</v>
      </c>
      <c r="H15" s="34">
        <v>4</v>
      </c>
      <c r="I15" s="34">
        <v>48.22</v>
      </c>
    </row>
    <row r="16" spans="1:26" ht="15.75" customHeight="1">
      <c r="A16" s="34" t="s">
        <v>321</v>
      </c>
      <c r="B16" s="34">
        <v>402</v>
      </c>
      <c r="C16" s="34">
        <v>14582</v>
      </c>
      <c r="D16" s="6">
        <f t="shared" si="0"/>
        <v>177.00617399633381</v>
      </c>
      <c r="E16" s="7">
        <f t="shared" si="1"/>
        <v>221</v>
      </c>
      <c r="F16" s="8">
        <f t="shared" si="2"/>
        <v>43.993826003666186</v>
      </c>
      <c r="G16" s="34">
        <v>33.56</v>
      </c>
      <c r="H16" s="34">
        <v>1.889</v>
      </c>
      <c r="I16" s="34">
        <v>48.79</v>
      </c>
    </row>
    <row r="17" spans="1:9" ht="15.75" customHeight="1">
      <c r="A17" s="34" t="s">
        <v>322</v>
      </c>
      <c r="B17" s="34">
        <v>524</v>
      </c>
      <c r="C17" s="34">
        <v>14361</v>
      </c>
      <c r="D17" s="6">
        <f t="shared" si="0"/>
        <v>230.97992147236926</v>
      </c>
      <c r="E17" s="7">
        <f t="shared" si="1"/>
        <v>222</v>
      </c>
      <c r="F17" s="8">
        <f t="shared" si="2"/>
        <v>-8.9799214723692558</v>
      </c>
      <c r="G17" s="34">
        <v>33.880000000000003</v>
      </c>
      <c r="H17" s="34">
        <v>2.778</v>
      </c>
      <c r="I17" s="34">
        <v>48.5</v>
      </c>
    </row>
    <row r="18" spans="1:9" ht="15.75" customHeight="1">
      <c r="A18" s="34" t="s">
        <v>323</v>
      </c>
      <c r="B18" s="34">
        <v>555</v>
      </c>
      <c r="C18" s="34">
        <v>14139</v>
      </c>
      <c r="D18" s="6">
        <f t="shared" si="0"/>
        <v>244.64476415489492</v>
      </c>
      <c r="E18" s="7">
        <f t="shared" si="1"/>
        <v>169.64999999999964</v>
      </c>
      <c r="F18" s="8">
        <f t="shared" si="2"/>
        <v>-74.994764154895279</v>
      </c>
      <c r="G18" s="34">
        <v>33.5</v>
      </c>
      <c r="H18" s="34">
        <v>2</v>
      </c>
      <c r="I18" s="34">
        <v>48.5</v>
      </c>
    </row>
    <row r="19" spans="1:9" ht="15.75" customHeight="1">
      <c r="A19" s="34" t="s">
        <v>324</v>
      </c>
      <c r="B19" s="34">
        <v>536</v>
      </c>
      <c r="C19" s="34">
        <v>13969.35</v>
      </c>
      <c r="D19" s="6">
        <f t="shared" si="0"/>
        <v>236.52183344245503</v>
      </c>
      <c r="E19" s="7">
        <f t="shared" si="1"/>
        <v>201.35000000000036</v>
      </c>
      <c r="F19" s="8">
        <f t="shared" si="2"/>
        <v>-35.17183344245467</v>
      </c>
      <c r="G19" s="34">
        <v>33.130000000000003</v>
      </c>
      <c r="H19" s="34">
        <v>1.778</v>
      </c>
      <c r="I19" s="34">
        <v>48.22</v>
      </c>
    </row>
    <row r="20" spans="1:9" ht="15.75" customHeight="1">
      <c r="A20" s="34" t="s">
        <v>325</v>
      </c>
      <c r="B20" s="34">
        <v>419</v>
      </c>
      <c r="C20" s="34">
        <v>13768</v>
      </c>
      <c r="D20" s="6">
        <f t="shared" si="0"/>
        <v>185.09726758617512</v>
      </c>
      <c r="E20" s="7">
        <f t="shared" si="1"/>
        <v>171</v>
      </c>
      <c r="F20" s="8">
        <f t="shared" si="2"/>
        <v>-14.097267586175121</v>
      </c>
      <c r="G20" s="34">
        <v>33.06</v>
      </c>
      <c r="H20" s="34">
        <v>1.333</v>
      </c>
      <c r="I20" s="34">
        <v>47.93</v>
      </c>
    </row>
    <row r="21" spans="1:9" ht="15.75" customHeight="1">
      <c r="A21" s="34" t="s">
        <v>326</v>
      </c>
      <c r="B21" s="34">
        <v>284</v>
      </c>
      <c r="C21" s="34">
        <v>13597</v>
      </c>
      <c r="D21" s="6">
        <f t="shared" si="0"/>
        <v>125.45972313716878</v>
      </c>
      <c r="E21" s="7">
        <f t="shared" si="1"/>
        <v>138</v>
      </c>
      <c r="F21" s="8">
        <f t="shared" si="2"/>
        <v>12.54027686283122</v>
      </c>
      <c r="G21" s="34">
        <v>32.94</v>
      </c>
      <c r="H21" s="34">
        <v>2.6669999999999998</v>
      </c>
      <c r="I21" s="34">
        <v>47.93</v>
      </c>
    </row>
    <row r="22" spans="1:9" ht="15.75" customHeight="1">
      <c r="A22" s="34" t="s">
        <v>327</v>
      </c>
      <c r="B22" s="34">
        <v>339</v>
      </c>
      <c r="C22" s="34">
        <v>13459</v>
      </c>
      <c r="D22" s="6">
        <f t="shared" si="0"/>
        <v>149.59123421080645</v>
      </c>
      <c r="E22" s="7">
        <f t="shared" si="1"/>
        <v>167</v>
      </c>
      <c r="F22" s="8">
        <f t="shared" si="2"/>
        <v>17.408765789193552</v>
      </c>
      <c r="G22" s="34">
        <v>33.25</v>
      </c>
      <c r="H22" s="34">
        <v>1.889</v>
      </c>
      <c r="I22" s="34">
        <v>48.22</v>
      </c>
    </row>
    <row r="23" spans="1:9" ht="15.75" customHeight="1">
      <c r="A23" s="34" t="s">
        <v>328</v>
      </c>
      <c r="B23" s="34">
        <v>458</v>
      </c>
      <c r="C23" s="34">
        <v>13292</v>
      </c>
      <c r="D23" s="6">
        <f t="shared" si="0"/>
        <v>201.66375047343502</v>
      </c>
      <c r="E23" s="7">
        <f t="shared" si="1"/>
        <v>293</v>
      </c>
      <c r="F23" s="8">
        <f t="shared" si="2"/>
        <v>91.336249526564984</v>
      </c>
      <c r="G23" s="34">
        <v>34.94</v>
      </c>
      <c r="H23" s="34">
        <v>1</v>
      </c>
      <c r="I23" s="34">
        <v>48.79</v>
      </c>
    </row>
    <row r="24" spans="1:9" ht="15.75" customHeight="1">
      <c r="A24" s="34" t="s">
        <v>329</v>
      </c>
      <c r="B24" s="34">
        <v>686</v>
      </c>
      <c r="C24" s="34">
        <v>12999</v>
      </c>
      <c r="D24" s="6">
        <f t="shared" si="0"/>
        <v>301.72087916599281</v>
      </c>
      <c r="E24" s="7">
        <f t="shared" si="1"/>
        <v>324</v>
      </c>
      <c r="F24" s="8">
        <f t="shared" si="2"/>
        <v>22.279120834007188</v>
      </c>
      <c r="G24" s="34">
        <v>34.380000000000003</v>
      </c>
      <c r="H24" s="34">
        <v>1.222</v>
      </c>
      <c r="I24" s="34">
        <v>49.08</v>
      </c>
    </row>
    <row r="25" spans="1:9" ht="15.75" customHeight="1">
      <c r="A25" s="34" t="s">
        <v>330</v>
      </c>
      <c r="B25" s="34">
        <v>872</v>
      </c>
      <c r="C25" s="34">
        <v>12675</v>
      </c>
      <c r="D25" s="6">
        <f t="shared" si="0"/>
        <v>383.11813029413076</v>
      </c>
      <c r="E25" s="7">
        <f t="shared" si="1"/>
        <v>371.64999999999964</v>
      </c>
      <c r="F25" s="8">
        <f t="shared" si="2"/>
        <v>-11.468130294131129</v>
      </c>
      <c r="G25" s="34">
        <v>33.880000000000003</v>
      </c>
      <c r="H25" s="34">
        <v>0.88900000000000001</v>
      </c>
      <c r="I25" s="34">
        <v>49.36</v>
      </c>
    </row>
    <row r="26" spans="1:9" ht="15.75" customHeight="1">
      <c r="A26" s="34" t="s">
        <v>331</v>
      </c>
      <c r="B26" s="34">
        <v>867</v>
      </c>
      <c r="C26" s="34">
        <v>12303.35</v>
      </c>
      <c r="D26" s="6">
        <f t="shared" si="0"/>
        <v>380.9213520240956</v>
      </c>
      <c r="E26" s="7">
        <f>(C26-C28)</f>
        <v>678</v>
      </c>
      <c r="F26" s="8">
        <f t="shared" si="2"/>
        <v>297.0786479759044</v>
      </c>
      <c r="G26" s="34">
        <v>34</v>
      </c>
      <c r="H26" s="34">
        <v>0.55600000000000005</v>
      </c>
      <c r="I26" s="34">
        <v>49.36</v>
      </c>
    </row>
    <row r="27" spans="1:9" ht="15.75" customHeight="1">
      <c r="A27" s="34" t="s">
        <v>332</v>
      </c>
      <c r="B27" s="34">
        <v>896</v>
      </c>
      <c r="C27" s="34"/>
      <c r="D27" s="6">
        <f t="shared" si="0"/>
        <v>394.52122363361957</v>
      </c>
      <c r="E27" s="25">
        <v>0</v>
      </c>
      <c r="F27" s="8">
        <f t="shared" si="2"/>
        <v>-394.52122363361957</v>
      </c>
      <c r="G27" s="34">
        <v>33.31</v>
      </c>
      <c r="H27" s="34">
        <v>0.77800000000000002</v>
      </c>
      <c r="I27" s="34">
        <v>48.79</v>
      </c>
    </row>
    <row r="28" spans="1:9" ht="15.75" customHeight="1">
      <c r="A28" s="34" t="s">
        <v>333</v>
      </c>
      <c r="B28" s="34">
        <v>670</v>
      </c>
      <c r="C28" s="34">
        <v>11625.35</v>
      </c>
      <c r="D28" s="6">
        <f t="shared" si="0"/>
        <v>294.68365749448282</v>
      </c>
      <c r="E28" s="7">
        <f t="shared" ref="E28:E31" si="3">(C28-C29)</f>
        <v>367.35000000000036</v>
      </c>
      <c r="F28" s="8">
        <f t="shared" si="2"/>
        <v>72.666342505517548</v>
      </c>
      <c r="G28" s="34">
        <v>33.630000000000003</v>
      </c>
      <c r="H28" s="34">
        <v>1.222</v>
      </c>
      <c r="I28" s="34">
        <v>49.08</v>
      </c>
    </row>
    <row r="29" spans="1:9" ht="15.75" customHeight="1">
      <c r="A29" s="34" t="s">
        <v>334</v>
      </c>
      <c r="B29" s="34">
        <v>889</v>
      </c>
      <c r="C29" s="34">
        <v>11258</v>
      </c>
      <c r="D29" s="6">
        <f t="shared" si="0"/>
        <v>390.58717641225024</v>
      </c>
      <c r="E29" s="7">
        <f t="shared" si="3"/>
        <v>384</v>
      </c>
      <c r="F29" s="8">
        <f t="shared" si="2"/>
        <v>-6.5871764122502441</v>
      </c>
      <c r="G29" s="34">
        <v>33.31</v>
      </c>
      <c r="H29" s="34">
        <v>0.88900000000000001</v>
      </c>
      <c r="I29" s="34">
        <v>49.36</v>
      </c>
    </row>
    <row r="30" spans="1:9" ht="15.75" customHeight="1">
      <c r="A30" s="34" t="s">
        <v>335</v>
      </c>
      <c r="B30" s="34">
        <v>921</v>
      </c>
      <c r="C30" s="34">
        <v>10874</v>
      </c>
      <c r="D30" s="6">
        <f t="shared" si="0"/>
        <v>404.64655734047528</v>
      </c>
      <c r="E30" s="7">
        <f t="shared" si="3"/>
        <v>391.64999999999964</v>
      </c>
      <c r="F30" s="8">
        <f t="shared" si="2"/>
        <v>-12.996557340475647</v>
      </c>
      <c r="G30" s="34">
        <v>33.19</v>
      </c>
      <c r="H30" s="34">
        <v>2.556</v>
      </c>
      <c r="I30" s="34">
        <v>49.36</v>
      </c>
    </row>
    <row r="31" spans="1:9" ht="15.75" customHeight="1">
      <c r="A31" s="34" t="s">
        <v>336</v>
      </c>
      <c r="B31" s="34">
        <v>911</v>
      </c>
      <c r="C31" s="34">
        <v>10482.35</v>
      </c>
      <c r="D31" s="6">
        <f t="shared" si="0"/>
        <v>400.25300080040495</v>
      </c>
      <c r="E31" s="7">
        <f t="shared" si="3"/>
        <v>400.35000000000036</v>
      </c>
      <c r="F31" s="8">
        <f t="shared" si="2"/>
        <v>9.699919959541603E-2</v>
      </c>
      <c r="G31" s="34">
        <v>32.75</v>
      </c>
      <c r="H31" s="34">
        <v>2.8889999999999998</v>
      </c>
      <c r="I31" s="34">
        <v>49.36</v>
      </c>
    </row>
    <row r="32" spans="1:9" ht="15.75" customHeight="1">
      <c r="A32" s="34" t="s">
        <v>337</v>
      </c>
      <c r="B32" s="34">
        <v>838</v>
      </c>
      <c r="C32" s="34">
        <v>10082</v>
      </c>
      <c r="D32" s="6">
        <f t="shared" si="0"/>
        <v>368.18003805789169</v>
      </c>
      <c r="E32" s="7">
        <f>(C32-C34)</f>
        <v>815</v>
      </c>
      <c r="F32" s="8">
        <f t="shared" si="2"/>
        <v>446.81996194210831</v>
      </c>
      <c r="G32" s="34">
        <v>33.130000000000003</v>
      </c>
      <c r="H32" s="34">
        <v>3.3330000000000002</v>
      </c>
      <c r="I32" s="34">
        <v>49.36</v>
      </c>
    </row>
    <row r="33" spans="1:9" ht="15.75" customHeight="1">
      <c r="A33" s="34" t="s">
        <v>338</v>
      </c>
      <c r="B33" s="34">
        <v>957</v>
      </c>
      <c r="C33" s="34"/>
      <c r="D33" s="6">
        <f t="shared" si="0"/>
        <v>420.91382122719392</v>
      </c>
      <c r="E33" s="25">
        <v>0</v>
      </c>
      <c r="F33" s="8">
        <f t="shared" si="2"/>
        <v>-420.91382122719392</v>
      </c>
      <c r="G33" s="34">
        <v>32.69</v>
      </c>
      <c r="H33" s="34">
        <v>2.6669999999999998</v>
      </c>
      <c r="I33" s="34">
        <v>49.08</v>
      </c>
    </row>
    <row r="34" spans="1:9" ht="15.75" customHeight="1">
      <c r="A34" s="34" t="s">
        <v>339</v>
      </c>
      <c r="B34" s="34">
        <v>1006</v>
      </c>
      <c r="C34" s="34">
        <v>9267</v>
      </c>
      <c r="D34" s="6">
        <f t="shared" si="0"/>
        <v>442.46531259619348</v>
      </c>
      <c r="E34" s="7">
        <f t="shared" ref="E34:E37" si="4">(C34-C35)</f>
        <v>426.64700000000084</v>
      </c>
      <c r="F34" s="8">
        <f t="shared" si="2"/>
        <v>-15.818312596192641</v>
      </c>
      <c r="G34" s="34">
        <v>32.880000000000003</v>
      </c>
      <c r="H34" s="34">
        <v>1.556</v>
      </c>
      <c r="I34" s="34">
        <v>49.08</v>
      </c>
    </row>
    <row r="35" spans="1:9" ht="15.75" customHeight="1">
      <c r="A35" s="34" t="s">
        <v>340</v>
      </c>
      <c r="B35" s="34">
        <v>901</v>
      </c>
      <c r="C35" s="34">
        <v>8840.3529999999992</v>
      </c>
      <c r="D35" s="6">
        <f t="shared" si="0"/>
        <v>396.28354537690893</v>
      </c>
      <c r="E35" s="7">
        <f t="shared" si="4"/>
        <v>390.35299999999916</v>
      </c>
      <c r="F35" s="8">
        <f t="shared" si="2"/>
        <v>-5.9305453769097767</v>
      </c>
      <c r="G35" s="34">
        <v>32.31</v>
      </c>
      <c r="H35" s="34">
        <v>4</v>
      </c>
      <c r="I35" s="34">
        <v>49.08</v>
      </c>
    </row>
    <row r="36" spans="1:9" ht="15.75" customHeight="1">
      <c r="A36" s="34" t="s">
        <v>341</v>
      </c>
      <c r="B36" s="34">
        <v>958</v>
      </c>
      <c r="C36" s="34">
        <v>8450</v>
      </c>
      <c r="D36" s="6">
        <f t="shared" si="0"/>
        <v>421.82068330469599</v>
      </c>
      <c r="E36" s="7">
        <f t="shared" si="4"/>
        <v>443.64699999999993</v>
      </c>
      <c r="F36" s="8">
        <f t="shared" si="2"/>
        <v>21.826316695303944</v>
      </c>
      <c r="G36" s="34">
        <v>32.75</v>
      </c>
      <c r="H36" s="34">
        <v>2.6669999999999998</v>
      </c>
      <c r="I36" s="34">
        <v>48.79</v>
      </c>
    </row>
    <row r="37" spans="1:9" ht="15.75" customHeight="1">
      <c r="A37" s="34" t="s">
        <v>342</v>
      </c>
      <c r="B37" s="34">
        <v>1052</v>
      </c>
      <c r="C37" s="34">
        <v>8006.3530000000001</v>
      </c>
      <c r="D37" s="6">
        <f t="shared" si="0"/>
        <v>462.69732490178484</v>
      </c>
      <c r="E37" s="7">
        <f t="shared" si="4"/>
        <v>455.35300000000007</v>
      </c>
      <c r="F37" s="8">
        <f t="shared" si="2"/>
        <v>-7.3443249017847734</v>
      </c>
      <c r="G37" s="34">
        <v>32.19</v>
      </c>
      <c r="H37" s="34">
        <v>2.556</v>
      </c>
      <c r="I37" s="34">
        <v>49.08</v>
      </c>
    </row>
    <row r="38" spans="1:9" ht="15.75" customHeight="1">
      <c r="A38" s="34" t="s">
        <v>343</v>
      </c>
      <c r="B38" s="34">
        <v>1139</v>
      </c>
      <c r="C38" s="34">
        <v>7551</v>
      </c>
      <c r="D38" s="6">
        <f t="shared" si="0"/>
        <v>500.96221774062059</v>
      </c>
      <c r="E38" s="7">
        <f>(C38-C40)</f>
        <v>455.64699999999993</v>
      </c>
      <c r="F38" s="8">
        <f t="shared" si="2"/>
        <v>-45.315217740620653</v>
      </c>
      <c r="G38" s="34">
        <v>31.69</v>
      </c>
      <c r="H38" s="34">
        <v>1.778</v>
      </c>
      <c r="I38" s="34">
        <v>49.08</v>
      </c>
    </row>
    <row r="39" spans="1:9" ht="15.75" customHeight="1">
      <c r="A39" s="34" t="s">
        <v>344</v>
      </c>
      <c r="B39" s="34">
        <v>792</v>
      </c>
      <c r="C39" s="34"/>
      <c r="D39" s="6">
        <f t="shared" si="0"/>
        <v>348.34247273974677</v>
      </c>
      <c r="E39" s="25">
        <v>0</v>
      </c>
      <c r="F39" s="8">
        <f t="shared" si="2"/>
        <v>-348.34247273974677</v>
      </c>
      <c r="G39" s="34">
        <v>31.25</v>
      </c>
      <c r="H39" s="34">
        <v>2.6669999999999998</v>
      </c>
      <c r="I39" s="34">
        <v>49.08</v>
      </c>
    </row>
    <row r="40" spans="1:9" ht="15.75" customHeight="1">
      <c r="A40" s="34" t="s">
        <v>345</v>
      </c>
      <c r="B40" s="34">
        <v>692</v>
      </c>
      <c r="C40" s="34">
        <v>7095.3530000000001</v>
      </c>
      <c r="D40" s="6">
        <f t="shared" si="0"/>
        <v>304.03411257286524</v>
      </c>
      <c r="E40" s="7">
        <f t="shared" ref="E40:E42" si="5">(C40-C41)</f>
        <v>0</v>
      </c>
      <c r="F40" s="8">
        <f t="shared" si="2"/>
        <v>-304.03411257286524</v>
      </c>
      <c r="G40" s="34">
        <v>31.75</v>
      </c>
      <c r="H40" s="34">
        <v>4.3330000000000002</v>
      </c>
      <c r="I40" s="34">
        <v>49.36</v>
      </c>
    </row>
    <row r="41" spans="1:9" ht="15.75" customHeight="1">
      <c r="A41" s="34" t="s">
        <v>346</v>
      </c>
      <c r="B41" s="34">
        <v>880</v>
      </c>
      <c r="C41" s="34">
        <v>7095.3530000000001</v>
      </c>
      <c r="D41" s="6">
        <f t="shared" si="0"/>
        <v>386.63297552618707</v>
      </c>
      <c r="E41" s="7">
        <f t="shared" si="5"/>
        <v>0</v>
      </c>
      <c r="F41" s="8">
        <f t="shared" si="2"/>
        <v>-386.63297552618707</v>
      </c>
      <c r="G41" s="34">
        <v>31.19</v>
      </c>
      <c r="H41" s="34">
        <v>3</v>
      </c>
      <c r="I41" s="34">
        <v>49.36</v>
      </c>
    </row>
    <row r="42" spans="1:9" ht="15.75" customHeight="1">
      <c r="A42" s="34" t="s">
        <v>347</v>
      </c>
      <c r="B42" s="34">
        <v>1081</v>
      </c>
      <c r="C42" s="34">
        <v>7095.3530000000001</v>
      </c>
      <c r="D42" s="6">
        <f t="shared" si="0"/>
        <v>474.94346198160014</v>
      </c>
      <c r="E42" s="7">
        <f t="shared" si="5"/>
        <v>167.35300000000007</v>
      </c>
      <c r="F42" s="8">
        <f t="shared" si="2"/>
        <v>-307.59046198160007</v>
      </c>
      <c r="G42" s="34">
        <v>31.19</v>
      </c>
      <c r="H42" s="34">
        <v>4.556</v>
      </c>
      <c r="I42" s="34">
        <v>49.36</v>
      </c>
    </row>
    <row r="43" spans="1:9" ht="15.75" customHeight="1">
      <c r="A43" s="34" t="s">
        <v>348</v>
      </c>
      <c r="B43" s="34">
        <v>713</v>
      </c>
      <c r="C43" s="34">
        <v>6928</v>
      </c>
      <c r="D43" s="6">
        <f t="shared" si="0"/>
        <v>314.97458660845547</v>
      </c>
      <c r="E43" s="7">
        <f>(C43-C45)</f>
        <v>300.64699999999993</v>
      </c>
      <c r="F43" s="8">
        <f t="shared" si="2"/>
        <v>-14.327586608455533</v>
      </c>
      <c r="G43" s="34">
        <v>30.25</v>
      </c>
      <c r="H43" s="34">
        <v>3.778</v>
      </c>
      <c r="I43" s="34">
        <v>47.93</v>
      </c>
    </row>
    <row r="44" spans="1:9" ht="15.75" customHeight="1">
      <c r="A44" s="34" t="s">
        <v>349</v>
      </c>
      <c r="B44" s="34">
        <v>1061</v>
      </c>
      <c r="C44" s="34"/>
      <c r="D44" s="6">
        <f t="shared" si="0"/>
        <v>467.17301146793562</v>
      </c>
      <c r="E44" s="25">
        <v>0</v>
      </c>
      <c r="F44" s="8">
        <f t="shared" si="2"/>
        <v>-467.17301146793562</v>
      </c>
      <c r="G44" s="34">
        <v>30.63</v>
      </c>
      <c r="H44" s="34">
        <v>2.556</v>
      </c>
      <c r="I44" s="34">
        <v>48.79</v>
      </c>
    </row>
    <row r="45" spans="1:9" ht="15.75" customHeight="1">
      <c r="A45" s="34" t="s">
        <v>350</v>
      </c>
      <c r="B45" s="34">
        <v>988</v>
      </c>
      <c r="C45" s="34">
        <v>6627.3530000000001</v>
      </c>
      <c r="D45" s="6">
        <f t="shared" si="0"/>
        <v>435.51176033339846</v>
      </c>
      <c r="E45" s="7">
        <f t="shared" ref="E45:E49" si="6">(C45-C46)</f>
        <v>744</v>
      </c>
      <c r="F45" s="8">
        <f t="shared" si="2"/>
        <v>308.48823966660154</v>
      </c>
      <c r="G45" s="34">
        <v>30.31</v>
      </c>
      <c r="H45" s="34">
        <v>2.556</v>
      </c>
      <c r="I45" s="34">
        <v>48.5</v>
      </c>
    </row>
    <row r="46" spans="1:9" ht="15.75" customHeight="1">
      <c r="A46" s="34" t="s">
        <v>351</v>
      </c>
      <c r="B46" s="34">
        <v>462</v>
      </c>
      <c r="C46" s="34">
        <v>5883.3530000000001</v>
      </c>
      <c r="D46" s="6">
        <f t="shared" si="0"/>
        <v>203.65023610731791</v>
      </c>
      <c r="E46" s="7">
        <f t="shared" si="6"/>
        <v>328.35300000000007</v>
      </c>
      <c r="F46" s="8">
        <f t="shared" si="2"/>
        <v>124.70276389268216</v>
      </c>
      <c r="G46" s="34">
        <v>30.5</v>
      </c>
      <c r="H46" s="34">
        <v>2.556</v>
      </c>
      <c r="I46" s="34">
        <v>48.5</v>
      </c>
    </row>
    <row r="47" spans="1:9" ht="15.75" customHeight="1">
      <c r="A47" s="34" t="s">
        <v>352</v>
      </c>
      <c r="B47" s="34">
        <v>821</v>
      </c>
      <c r="C47" s="34">
        <v>5555</v>
      </c>
      <c r="D47" s="6">
        <f t="shared" si="0"/>
        <v>361.89793039850213</v>
      </c>
      <c r="E47" s="7">
        <f t="shared" si="6"/>
        <v>393</v>
      </c>
      <c r="F47" s="8">
        <f t="shared" si="2"/>
        <v>31.102069601497874</v>
      </c>
      <c r="G47" s="34">
        <v>30.56</v>
      </c>
      <c r="H47" s="34">
        <v>2.444</v>
      </c>
      <c r="I47" s="34">
        <v>48.5</v>
      </c>
    </row>
    <row r="48" spans="1:9" ht="15.75" customHeight="1">
      <c r="A48" s="34" t="s">
        <v>353</v>
      </c>
      <c r="B48" s="34">
        <v>980</v>
      </c>
      <c r="C48" s="34">
        <v>5162</v>
      </c>
      <c r="D48" s="6">
        <f t="shared" si="0"/>
        <v>431.98534931855323</v>
      </c>
      <c r="E48" s="7">
        <f t="shared" si="6"/>
        <v>283</v>
      </c>
      <c r="F48" s="8">
        <f t="shared" si="2"/>
        <v>-148.98534931855323</v>
      </c>
      <c r="G48" s="34">
        <v>30</v>
      </c>
      <c r="H48" s="34">
        <v>0.55600000000000005</v>
      </c>
      <c r="I48" s="34">
        <v>48.5</v>
      </c>
    </row>
    <row r="49" spans="1:9" ht="15.75" customHeight="1">
      <c r="A49" s="34" t="s">
        <v>354</v>
      </c>
      <c r="B49" s="34">
        <v>684</v>
      </c>
      <c r="C49" s="34">
        <v>4879</v>
      </c>
      <c r="D49" s="6">
        <f t="shared" si="0"/>
        <v>301.50814176927594</v>
      </c>
      <c r="E49" s="7">
        <f t="shared" si="6"/>
        <v>327</v>
      </c>
      <c r="F49" s="8">
        <f t="shared" si="2"/>
        <v>25.491858230724063</v>
      </c>
      <c r="G49" s="34">
        <v>29</v>
      </c>
      <c r="H49" s="34">
        <v>2.222</v>
      </c>
      <c r="I49" s="34">
        <v>48.5</v>
      </c>
    </row>
    <row r="50" spans="1:9" ht="15.75" customHeight="1">
      <c r="A50" s="34" t="s">
        <v>355</v>
      </c>
      <c r="B50" s="34">
        <v>1030</v>
      </c>
      <c r="C50" s="34">
        <v>4552</v>
      </c>
      <c r="D50" s="6">
        <f t="shared" si="0"/>
        <v>453.52328163239747</v>
      </c>
      <c r="E50" s="7">
        <f>(C50-C52)</f>
        <v>775</v>
      </c>
      <c r="F50" s="8">
        <f t="shared" si="2"/>
        <v>321.47671836760253</v>
      </c>
      <c r="G50" s="34">
        <v>28</v>
      </c>
      <c r="H50" s="34">
        <v>1.667</v>
      </c>
      <c r="I50" s="34">
        <v>48.79</v>
      </c>
    </row>
    <row r="51" spans="1:9" ht="15.75" customHeight="1">
      <c r="A51" s="34" t="s">
        <v>356</v>
      </c>
      <c r="B51" s="34">
        <v>892</v>
      </c>
      <c r="C51" s="34"/>
      <c r="D51" s="6">
        <f t="shared" si="0"/>
        <v>392.75996817096956</v>
      </c>
      <c r="E51" s="25">
        <v>0</v>
      </c>
      <c r="F51" s="8">
        <f t="shared" si="2"/>
        <v>-392.75996817096956</v>
      </c>
      <c r="G51" s="34">
        <v>27.5</v>
      </c>
      <c r="H51" s="34">
        <v>1.667</v>
      </c>
      <c r="I51" s="34">
        <v>48.79</v>
      </c>
    </row>
    <row r="52" spans="1:9" ht="15.75" customHeight="1">
      <c r="A52" s="34" t="s">
        <v>357</v>
      </c>
      <c r="B52" s="34">
        <v>941</v>
      </c>
      <c r="C52" s="34">
        <v>3777</v>
      </c>
      <c r="D52" s="6">
        <f t="shared" si="0"/>
        <v>414.79409562118212</v>
      </c>
      <c r="E52" s="7">
        <f t="shared" ref="E52:E55" si="7">(C52-C53)</f>
        <v>322</v>
      </c>
      <c r="F52" s="8">
        <f t="shared" si="2"/>
        <v>-92.794095621182123</v>
      </c>
      <c r="G52" s="34">
        <v>26.75</v>
      </c>
      <c r="H52" s="34">
        <v>0.55600000000000005</v>
      </c>
      <c r="I52" s="34">
        <v>48.5</v>
      </c>
    </row>
    <row r="53" spans="1:9" ht="15.75" customHeight="1">
      <c r="A53" s="34" t="s">
        <v>358</v>
      </c>
      <c r="B53" s="34">
        <v>846</v>
      </c>
      <c r="C53" s="34">
        <v>3455</v>
      </c>
      <c r="D53" s="6">
        <f t="shared" si="0"/>
        <v>372.91796481989388</v>
      </c>
      <c r="E53" s="7">
        <f t="shared" si="7"/>
        <v>362</v>
      </c>
      <c r="F53" s="8">
        <f t="shared" si="2"/>
        <v>-10.917964819893882</v>
      </c>
      <c r="G53" s="34">
        <v>27.44</v>
      </c>
      <c r="H53" s="34">
        <v>1.667</v>
      </c>
      <c r="I53" s="34">
        <v>48.5</v>
      </c>
    </row>
    <row r="54" spans="1:9" ht="15.75" customHeight="1">
      <c r="A54" s="34" t="s">
        <v>359</v>
      </c>
      <c r="B54" s="34">
        <v>751</v>
      </c>
      <c r="C54" s="34">
        <v>3093</v>
      </c>
      <c r="D54" s="6">
        <f t="shared" si="0"/>
        <v>331.04183401860553</v>
      </c>
      <c r="E54" s="7">
        <f t="shared" si="7"/>
        <v>285</v>
      </c>
      <c r="F54" s="8">
        <f t="shared" si="2"/>
        <v>-46.041834018605527</v>
      </c>
      <c r="G54" s="34">
        <v>26.44</v>
      </c>
      <c r="H54" s="34">
        <v>1.556</v>
      </c>
      <c r="I54" s="34">
        <v>48.5</v>
      </c>
    </row>
    <row r="55" spans="1:9" ht="15.75" customHeight="1">
      <c r="A55" s="34" t="s">
        <v>360</v>
      </c>
      <c r="B55" s="34">
        <v>441</v>
      </c>
      <c r="C55" s="34">
        <v>2808</v>
      </c>
      <c r="D55" s="6">
        <f t="shared" si="0"/>
        <v>194.39340719334893</v>
      </c>
      <c r="E55" s="7">
        <f t="shared" si="7"/>
        <v>247</v>
      </c>
      <c r="F55" s="8">
        <f t="shared" si="2"/>
        <v>52.606592806651065</v>
      </c>
      <c r="G55" s="34">
        <v>26.44</v>
      </c>
      <c r="H55" s="34">
        <v>2.444</v>
      </c>
      <c r="I55" s="34">
        <v>48.5</v>
      </c>
    </row>
    <row r="56" spans="1:9" ht="15.75" customHeight="1">
      <c r="A56" s="34" t="s">
        <v>361</v>
      </c>
      <c r="B56" s="34">
        <v>675</v>
      </c>
      <c r="C56" s="34">
        <v>2561</v>
      </c>
      <c r="D56" s="6">
        <f t="shared" si="0"/>
        <v>297.21185932220226</v>
      </c>
      <c r="E56" s="7">
        <f>(C56-C58)</f>
        <v>620.64699999999993</v>
      </c>
      <c r="F56" s="8">
        <f t="shared" si="2"/>
        <v>323.43514067779768</v>
      </c>
      <c r="G56" s="34">
        <v>25.68</v>
      </c>
      <c r="H56" s="34">
        <v>1.111</v>
      </c>
      <c r="I56" s="34">
        <v>48.79</v>
      </c>
    </row>
    <row r="57" spans="1:9" ht="15.75" customHeight="1">
      <c r="A57" s="34" t="s">
        <v>362</v>
      </c>
      <c r="B57" s="34">
        <v>764</v>
      </c>
      <c r="C57" s="34"/>
      <c r="D57" s="6">
        <f t="shared" si="0"/>
        <v>336.77225191772925</v>
      </c>
      <c r="E57" s="25">
        <v>0</v>
      </c>
      <c r="F57" s="8">
        <f t="shared" si="2"/>
        <v>-336.77225191772925</v>
      </c>
      <c r="G57" s="34">
        <v>24.69</v>
      </c>
      <c r="H57" s="34">
        <v>0.55600000000000005</v>
      </c>
      <c r="I57" s="34">
        <v>48.5</v>
      </c>
    </row>
    <row r="58" spans="1:9" ht="15.75" customHeight="1">
      <c r="A58" s="34" t="s">
        <v>363</v>
      </c>
      <c r="B58" s="34">
        <v>719</v>
      </c>
      <c r="C58" s="34">
        <v>1940.3530000000001</v>
      </c>
      <c r="D58" s="6">
        <f t="shared" si="0"/>
        <v>319.70409359586074</v>
      </c>
      <c r="E58" s="7">
        <f t="shared" ref="E58:E59" si="8">(C58-C59)</f>
        <v>186.35300000000007</v>
      </c>
      <c r="F58" s="8">
        <f t="shared" si="2"/>
        <v>-133.35109359586068</v>
      </c>
      <c r="G58" s="34">
        <v>23.75</v>
      </c>
      <c r="H58" s="34">
        <v>0.88900000000000001</v>
      </c>
      <c r="I58" s="34">
        <v>46.21</v>
      </c>
    </row>
    <row r="59" spans="1:9" ht="15.75" customHeight="1">
      <c r="A59" s="34" t="s">
        <v>364</v>
      </c>
      <c r="B59" s="34">
        <v>202</v>
      </c>
      <c r="C59" s="34">
        <v>1754</v>
      </c>
      <c r="D59" s="6">
        <f t="shared" si="0"/>
        <v>89.625950155693531</v>
      </c>
      <c r="E59" s="7">
        <f t="shared" si="8"/>
        <v>158</v>
      </c>
      <c r="F59" s="8">
        <f t="shared" si="2"/>
        <v>68.374049844306469</v>
      </c>
      <c r="G59" s="34">
        <v>23.5</v>
      </c>
      <c r="H59" s="34">
        <v>0.55600000000000005</v>
      </c>
      <c r="I59" s="34">
        <v>46.78</v>
      </c>
    </row>
    <row r="60" spans="1:9" ht="15.75" customHeight="1">
      <c r="A60" s="34" t="s">
        <v>365</v>
      </c>
      <c r="B60" s="34">
        <v>475</v>
      </c>
      <c r="C60" s="34">
        <v>1596</v>
      </c>
      <c r="D60" s="6">
        <f t="shared" si="0"/>
        <v>209.38065400644157</v>
      </c>
      <c r="E60" s="7">
        <f>(C60-C62)</f>
        <v>489.64699999999993</v>
      </c>
      <c r="F60" s="8">
        <f t="shared" si="2"/>
        <v>280.26634599355839</v>
      </c>
      <c r="G60" s="34">
        <v>23.44</v>
      </c>
      <c r="H60" s="34">
        <v>2.1110000000000002</v>
      </c>
      <c r="I60" s="34">
        <v>48.5</v>
      </c>
    </row>
    <row r="61" spans="1:9" ht="15.75" customHeight="1">
      <c r="A61" s="34" t="s">
        <v>366</v>
      </c>
      <c r="B61" s="34">
        <v>567</v>
      </c>
      <c r="C61" s="34"/>
      <c r="D61" s="6">
        <f t="shared" si="0"/>
        <v>249.93438067716289</v>
      </c>
      <c r="E61" s="25">
        <v>0</v>
      </c>
      <c r="F61" s="8">
        <f t="shared" si="2"/>
        <v>-249.93438067716289</v>
      </c>
      <c r="G61" s="34">
        <v>22.69</v>
      </c>
      <c r="H61" s="34">
        <v>0.55600000000000005</v>
      </c>
      <c r="I61" s="34">
        <v>48.5</v>
      </c>
    </row>
    <row r="62" spans="1:9" ht="15.75" customHeight="1">
      <c r="A62" s="34" t="s">
        <v>367</v>
      </c>
      <c r="B62" s="34">
        <v>473</v>
      </c>
      <c r="C62" s="34">
        <v>1106.3530000000001</v>
      </c>
      <c r="D62" s="6">
        <f t="shared" si="0"/>
        <v>213.06319828587365</v>
      </c>
      <c r="E62" s="7">
        <f t="shared" ref="E62:E74" si="9">(C62-C63)</f>
        <v>162.35300000000007</v>
      </c>
      <c r="F62" s="8">
        <f t="shared" si="2"/>
        <v>-50.710198285873588</v>
      </c>
      <c r="G62" s="34">
        <v>22.13</v>
      </c>
      <c r="H62" s="34">
        <v>2</v>
      </c>
      <c r="I62" s="34">
        <v>42.76</v>
      </c>
    </row>
    <row r="63" spans="1:9" ht="15.75" customHeight="1">
      <c r="A63" s="34" t="s">
        <v>368</v>
      </c>
      <c r="B63" s="34">
        <v>425</v>
      </c>
      <c r="C63" s="34">
        <v>944</v>
      </c>
      <c r="D63" s="6">
        <f t="shared" si="0"/>
        <v>191.23437068476619</v>
      </c>
      <c r="E63" s="7">
        <f t="shared" si="9"/>
        <v>216.64700000000005</v>
      </c>
      <c r="F63" s="8">
        <f t="shared" si="2"/>
        <v>25.412629315233858</v>
      </c>
      <c r="G63" s="34">
        <v>21.75</v>
      </c>
      <c r="H63" s="34">
        <v>1.111</v>
      </c>
      <c r="I63" s="34">
        <v>43.05</v>
      </c>
    </row>
    <row r="64" spans="1:9" ht="15.75" customHeight="1">
      <c r="A64" s="34" t="s">
        <v>369</v>
      </c>
      <c r="B64" s="34">
        <v>409</v>
      </c>
      <c r="C64" s="34">
        <v>727.35299999999995</v>
      </c>
      <c r="D64" s="6">
        <f t="shared" si="0"/>
        <v>189.16414839924497</v>
      </c>
      <c r="E64" s="7">
        <f t="shared" si="9"/>
        <v>111</v>
      </c>
      <c r="F64" s="8">
        <f t="shared" si="2"/>
        <v>-78.164148399244965</v>
      </c>
      <c r="G64" s="34">
        <v>21.44</v>
      </c>
      <c r="H64" s="34">
        <v>1.111</v>
      </c>
      <c r="I64" s="34">
        <v>35.590000000000003</v>
      </c>
    </row>
    <row r="65" spans="1:26" ht="15.75" customHeight="1">
      <c r="A65" s="34" t="s">
        <v>370</v>
      </c>
      <c r="B65" s="34">
        <v>140</v>
      </c>
      <c r="C65" s="34">
        <v>616.35299999999995</v>
      </c>
      <c r="D65" s="6">
        <f t="shared" si="0"/>
        <v>64.887067378320836</v>
      </c>
      <c r="E65" s="7">
        <f t="shared" si="9"/>
        <v>83.352999999999952</v>
      </c>
      <c r="F65" s="8">
        <f t="shared" si="2"/>
        <v>18.465932621679116</v>
      </c>
      <c r="G65" s="34">
        <v>21.38</v>
      </c>
      <c r="H65" s="34">
        <v>0.55600000000000005</v>
      </c>
      <c r="I65" s="34">
        <v>35.01</v>
      </c>
    </row>
    <row r="66" spans="1:26" ht="15.75" customHeight="1">
      <c r="A66" s="34" t="s">
        <v>371</v>
      </c>
      <c r="B66" s="34">
        <v>245</v>
      </c>
      <c r="C66" s="34">
        <v>533</v>
      </c>
      <c r="D66" s="6">
        <f t="shared" si="0"/>
        <v>113.66768952533639</v>
      </c>
      <c r="E66" s="7">
        <f t="shared" si="9"/>
        <v>131</v>
      </c>
      <c r="F66" s="8">
        <f t="shared" si="2"/>
        <v>17.332310474663615</v>
      </c>
      <c r="G66" s="34">
        <v>20.56</v>
      </c>
      <c r="H66" s="34">
        <v>0.55600000000000005</v>
      </c>
      <c r="I66" s="34">
        <v>34.729999999999997</v>
      </c>
    </row>
    <row r="67" spans="1:26" ht="15.75" customHeight="1">
      <c r="A67" s="34" t="s">
        <v>372</v>
      </c>
      <c r="B67" s="34">
        <v>291</v>
      </c>
      <c r="C67" s="34">
        <v>402</v>
      </c>
      <c r="D67" s="6">
        <f t="shared" si="0"/>
        <v>136.27638614043107</v>
      </c>
      <c r="E67" s="7">
        <f t="shared" si="9"/>
        <v>112</v>
      </c>
      <c r="F67" s="8">
        <f t="shared" si="2"/>
        <v>-24.276386140431072</v>
      </c>
      <c r="G67" s="34">
        <v>19.690000000000001</v>
      </c>
      <c r="H67" s="34">
        <v>0.55600000000000005</v>
      </c>
      <c r="I67" s="34">
        <v>32.14</v>
      </c>
    </row>
    <row r="68" spans="1:26" ht="15.75" customHeight="1">
      <c r="A68" s="34" t="s">
        <v>373</v>
      </c>
      <c r="B68" s="34">
        <v>162</v>
      </c>
      <c r="C68" s="34">
        <v>290</v>
      </c>
      <c r="D68" s="6">
        <f t="shared" si="0"/>
        <v>77.036240162892767</v>
      </c>
      <c r="E68" s="7">
        <f t="shared" si="9"/>
        <v>71.646999999999991</v>
      </c>
      <c r="F68" s="8">
        <f t="shared" si="2"/>
        <v>-5.3892401628927757</v>
      </c>
      <c r="G68" s="34">
        <v>18.87</v>
      </c>
      <c r="H68" s="34">
        <v>0.44400000000000001</v>
      </c>
      <c r="I68" s="34">
        <v>27.84</v>
      </c>
    </row>
    <row r="69" spans="1:26" ht="15.75" customHeight="1">
      <c r="A69" s="34" t="s">
        <v>374</v>
      </c>
      <c r="B69" s="34">
        <v>147</v>
      </c>
      <c r="C69" s="34">
        <v>218.35300000000001</v>
      </c>
      <c r="D69" s="6">
        <f t="shared" si="0"/>
        <v>70.328297480123851</v>
      </c>
      <c r="E69" s="7">
        <f t="shared" si="9"/>
        <v>67.353000000000009</v>
      </c>
      <c r="F69" s="8">
        <f t="shared" si="2"/>
        <v>-2.9752974801238423</v>
      </c>
      <c r="G69" s="34">
        <v>18</v>
      </c>
      <c r="H69" s="34">
        <v>0.88900000000000001</v>
      </c>
      <c r="I69" s="34">
        <v>26.12</v>
      </c>
    </row>
    <row r="70" spans="1:26" ht="15.75" customHeight="1">
      <c r="A70" s="34" t="s">
        <v>375</v>
      </c>
      <c r="B70" s="34">
        <v>163</v>
      </c>
      <c r="C70" s="34">
        <v>151</v>
      </c>
      <c r="D70" s="6">
        <f t="shared" si="0"/>
        <v>78.692776780335592</v>
      </c>
      <c r="E70" s="7">
        <f t="shared" si="9"/>
        <v>65</v>
      </c>
      <c r="F70" s="8">
        <f t="shared" si="2"/>
        <v>-13.692776780335592</v>
      </c>
      <c r="G70" s="34">
        <v>16.809999999999999</v>
      </c>
      <c r="H70" s="34">
        <v>0.55600000000000005</v>
      </c>
      <c r="I70" s="34">
        <v>23.53</v>
      </c>
    </row>
    <row r="71" spans="1:26" ht="15.75" customHeight="1">
      <c r="A71" s="34" t="s">
        <v>376</v>
      </c>
      <c r="B71" s="34">
        <v>125</v>
      </c>
      <c r="C71" s="34">
        <v>86</v>
      </c>
      <c r="D71" s="6">
        <f t="shared" si="0"/>
        <v>61.009143982487416</v>
      </c>
      <c r="E71" s="7">
        <f t="shared" si="9"/>
        <v>44.646999999999998</v>
      </c>
      <c r="F71" s="8">
        <f t="shared" si="2"/>
        <v>-16.362143982487417</v>
      </c>
      <c r="G71" s="34">
        <v>15.75</v>
      </c>
      <c r="H71" s="34">
        <v>0.55600000000000005</v>
      </c>
      <c r="I71" s="34">
        <v>20.38</v>
      </c>
    </row>
    <row r="72" spans="1:26" ht="15.75" customHeight="1">
      <c r="A72" s="34" t="s">
        <v>377</v>
      </c>
      <c r="B72" s="34">
        <v>68</v>
      </c>
      <c r="C72" s="34">
        <v>41.353000000000002</v>
      </c>
      <c r="D72" s="6">
        <f t="shared" si="0"/>
        <v>33.517052548728721</v>
      </c>
      <c r="E72" s="7">
        <f t="shared" si="9"/>
        <v>25.353000000000002</v>
      </c>
      <c r="F72" s="8">
        <f t="shared" si="2"/>
        <v>-8.1640525487287192</v>
      </c>
      <c r="G72" s="34">
        <v>14.75</v>
      </c>
      <c r="H72" s="34">
        <v>0.55600000000000005</v>
      </c>
      <c r="I72" s="34">
        <v>17.510000000000002</v>
      </c>
    </row>
    <row r="73" spans="1:26" ht="15.75" customHeight="1">
      <c r="A73" s="34" t="s">
        <v>378</v>
      </c>
      <c r="B73" s="34">
        <v>35</v>
      </c>
      <c r="C73" s="34">
        <v>16</v>
      </c>
      <c r="D73" s="6">
        <f t="shared" si="0"/>
        <v>17.336150189185688</v>
      </c>
      <c r="E73" s="7">
        <f t="shared" si="9"/>
        <v>12</v>
      </c>
      <c r="F73" s="8">
        <f t="shared" si="2"/>
        <v>-5.3361501891856875</v>
      </c>
      <c r="G73" s="34">
        <v>14.37</v>
      </c>
      <c r="H73" s="34">
        <v>0.55600000000000005</v>
      </c>
      <c r="I73" s="34">
        <v>16.07</v>
      </c>
    </row>
    <row r="74" spans="1:26" ht="15.75" customHeight="1">
      <c r="A74" s="34" t="s">
        <v>379</v>
      </c>
      <c r="B74" s="34">
        <v>14</v>
      </c>
      <c r="C74" s="34">
        <v>4</v>
      </c>
      <c r="D74" s="6">
        <f t="shared" si="0"/>
        <v>6.9344600756742745</v>
      </c>
      <c r="E74" s="7">
        <f t="shared" si="9"/>
        <v>4</v>
      </c>
      <c r="F74" s="8">
        <f t="shared" si="2"/>
        <v>-2.9344600756742745</v>
      </c>
      <c r="G74" s="34">
        <v>14.63</v>
      </c>
      <c r="H74" s="34">
        <v>0.55600000000000005</v>
      </c>
      <c r="I74" s="34">
        <v>16.07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6.5093333333333332</v>
      </c>
      <c r="C76" s="11"/>
      <c r="D76" s="16">
        <f>SUM(D2:D75)</f>
        <v>17267.127871752138</v>
      </c>
      <c r="E76" s="15">
        <f>SUM(E1:E74)</f>
        <v>15493</v>
      </c>
      <c r="F76" s="11"/>
      <c r="G76" s="17">
        <f t="shared" ref="G76:I76" si="10">AVERAGE(G1:G74)</f>
        <v>28.681369863013707</v>
      </c>
      <c r="H76" s="17">
        <f t="shared" si="10"/>
        <v>1.6257534246575338</v>
      </c>
      <c r="I76" s="17">
        <f t="shared" si="10"/>
        <v>44.216849315068494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380</v>
      </c>
      <c r="B2" s="4">
        <v>0</v>
      </c>
      <c r="C2" s="5">
        <v>14849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27.25</v>
      </c>
      <c r="H2" s="5">
        <v>2.556</v>
      </c>
      <c r="I2" s="5">
        <v>34.729999999999997</v>
      </c>
    </row>
    <row r="3" spans="1:26" ht="15.75" customHeight="1">
      <c r="A3" s="5" t="s">
        <v>381</v>
      </c>
      <c r="B3" s="4">
        <v>0</v>
      </c>
      <c r="C3" s="5">
        <v>14849</v>
      </c>
      <c r="D3" s="6">
        <f t="shared" si="0"/>
        <v>0</v>
      </c>
      <c r="E3" s="7">
        <f t="shared" si="1"/>
        <v>1</v>
      </c>
      <c r="F3" s="8">
        <f t="shared" si="2"/>
        <v>1</v>
      </c>
      <c r="G3" s="5">
        <v>27.56</v>
      </c>
      <c r="H3" s="5">
        <v>2.1110000000000002</v>
      </c>
      <c r="I3" s="5">
        <v>36.159999999999997</v>
      </c>
    </row>
    <row r="4" spans="1:26" ht="15.75" customHeight="1">
      <c r="A4" s="5" t="s">
        <v>382</v>
      </c>
      <c r="B4" s="5">
        <v>3</v>
      </c>
      <c r="C4" s="5">
        <v>14848</v>
      </c>
      <c r="D4" s="6">
        <f t="shared" si="0"/>
        <v>1.3788377538561922</v>
      </c>
      <c r="E4" s="7">
        <f t="shared" si="1"/>
        <v>5.6499999999996362</v>
      </c>
      <c r="F4" s="8">
        <f t="shared" si="2"/>
        <v>4.2711622461434438</v>
      </c>
      <c r="G4" s="5">
        <v>27.5</v>
      </c>
      <c r="H4" s="5">
        <v>1.111</v>
      </c>
      <c r="I4" s="5">
        <v>37.31</v>
      </c>
    </row>
    <row r="5" spans="1:26" ht="15.75" customHeight="1">
      <c r="A5" s="5" t="s">
        <v>383</v>
      </c>
      <c r="B5" s="5">
        <v>26</v>
      </c>
      <c r="C5" s="5">
        <v>14842.35</v>
      </c>
      <c r="D5" s="6">
        <f t="shared" si="0"/>
        <v>11.899663115000706</v>
      </c>
      <c r="E5" s="7">
        <f t="shared" si="1"/>
        <v>18.350000000000364</v>
      </c>
      <c r="F5" s="8">
        <f t="shared" si="2"/>
        <v>6.4503368849996576</v>
      </c>
      <c r="G5" s="5">
        <v>28.13</v>
      </c>
      <c r="H5" s="5">
        <v>4.2220000000000004</v>
      </c>
      <c r="I5" s="5">
        <v>38.46</v>
      </c>
    </row>
    <row r="6" spans="1:26" ht="15.75" customHeight="1">
      <c r="A6" s="5" t="s">
        <v>384</v>
      </c>
      <c r="B6" s="5">
        <v>49</v>
      </c>
      <c r="C6" s="5">
        <v>14824</v>
      </c>
      <c r="D6" s="6">
        <f t="shared" si="0"/>
        <v>22.402400129806473</v>
      </c>
      <c r="E6" s="7">
        <f t="shared" si="1"/>
        <v>23</v>
      </c>
      <c r="F6" s="8">
        <f t="shared" si="2"/>
        <v>0.59759987019352678</v>
      </c>
      <c r="G6" s="5">
        <v>28.25</v>
      </c>
      <c r="H6" s="5">
        <v>1.778</v>
      </c>
      <c r="I6" s="5">
        <v>38.75</v>
      </c>
    </row>
    <row r="7" spans="1:26" ht="15.75" customHeight="1">
      <c r="A7" s="5" t="s">
        <v>385</v>
      </c>
      <c r="B7" s="5">
        <v>49</v>
      </c>
      <c r="C7" s="5">
        <v>14801</v>
      </c>
      <c r="D7" s="6">
        <f t="shared" si="0"/>
        <v>22.379335807151495</v>
      </c>
      <c r="E7" s="7">
        <f t="shared" si="1"/>
        <v>21</v>
      </c>
      <c r="F7" s="8">
        <f t="shared" si="2"/>
        <v>-1.3793358071514952</v>
      </c>
      <c r="G7" s="5">
        <v>28.31</v>
      </c>
      <c r="H7" s="5">
        <v>3.778</v>
      </c>
      <c r="I7" s="5">
        <v>39.03</v>
      </c>
    </row>
    <row r="8" spans="1:26" ht="15.75" customHeight="1">
      <c r="A8" s="5" t="s">
        <v>386</v>
      </c>
      <c r="B8" s="5">
        <v>50</v>
      </c>
      <c r="C8" s="5">
        <v>14780</v>
      </c>
      <c r="D8" s="6">
        <f t="shared" si="0"/>
        <v>22.739395243983928</v>
      </c>
      <c r="E8" s="7">
        <f t="shared" si="1"/>
        <v>38</v>
      </c>
      <c r="F8" s="8">
        <f t="shared" si="2"/>
        <v>15.260604756016072</v>
      </c>
      <c r="G8" s="5">
        <v>28.13</v>
      </c>
      <c r="H8" s="5">
        <v>3.778</v>
      </c>
      <c r="I8" s="5">
        <v>40.18</v>
      </c>
    </row>
    <row r="9" spans="1:26" ht="15.75" customHeight="1">
      <c r="A9" s="5" t="s">
        <v>387</v>
      </c>
      <c r="B9" s="5">
        <v>117</v>
      </c>
      <c r="C9" s="5">
        <v>14742</v>
      </c>
      <c r="D9" s="6">
        <f t="shared" si="0"/>
        <v>52.814846914743676</v>
      </c>
      <c r="E9" s="7">
        <f t="shared" si="1"/>
        <v>60</v>
      </c>
      <c r="F9" s="8">
        <f t="shared" si="2"/>
        <v>7.1851530852563243</v>
      </c>
      <c r="G9" s="5">
        <v>28.63</v>
      </c>
      <c r="H9" s="5">
        <v>3.444</v>
      </c>
      <c r="I9" s="5">
        <v>42.19</v>
      </c>
    </row>
    <row r="10" spans="1:26" ht="15.75" customHeight="1">
      <c r="A10" s="5" t="s">
        <v>388</v>
      </c>
      <c r="B10" s="5">
        <v>151</v>
      </c>
      <c r="C10" s="5">
        <v>14682</v>
      </c>
      <c r="D10" s="6">
        <f t="shared" si="0"/>
        <v>67.7997570362554</v>
      </c>
      <c r="E10" s="7">
        <f t="shared" si="1"/>
        <v>75.649999999999636</v>
      </c>
      <c r="F10" s="8">
        <f t="shared" si="2"/>
        <v>7.8502429637442361</v>
      </c>
      <c r="G10" s="5">
        <v>29</v>
      </c>
      <c r="H10" s="5">
        <v>6.7779999999999996</v>
      </c>
      <c r="I10" s="5">
        <v>43.62</v>
      </c>
    </row>
    <row r="11" spans="1:26" ht="15.75" customHeight="1">
      <c r="A11" s="5" t="s">
        <v>389</v>
      </c>
      <c r="B11" s="5">
        <v>183</v>
      </c>
      <c r="C11" s="5">
        <v>14606.35</v>
      </c>
      <c r="D11" s="6">
        <f t="shared" si="0"/>
        <v>81.724921089788424</v>
      </c>
      <c r="E11" s="7">
        <f t="shared" si="1"/>
        <v>89.350000000000364</v>
      </c>
      <c r="F11" s="8">
        <f t="shared" si="2"/>
        <v>7.6250789102119398</v>
      </c>
      <c r="G11" s="5">
        <v>30.13</v>
      </c>
      <c r="H11" s="5">
        <v>3.778</v>
      </c>
      <c r="I11" s="5">
        <v>45.06</v>
      </c>
    </row>
    <row r="12" spans="1:26" ht="15.75" customHeight="1">
      <c r="A12" s="5" t="s">
        <v>390</v>
      </c>
      <c r="B12" s="5">
        <v>235</v>
      </c>
      <c r="C12" s="5">
        <v>14517</v>
      </c>
      <c r="D12" s="6">
        <f t="shared" si="0"/>
        <v>104.38237843032947</v>
      </c>
      <c r="E12" s="7">
        <f t="shared" si="1"/>
        <v>91.649999999999636</v>
      </c>
      <c r="F12" s="8">
        <f t="shared" si="2"/>
        <v>-12.732378430329831</v>
      </c>
      <c r="G12" s="5">
        <v>29.94</v>
      </c>
      <c r="H12" s="5">
        <v>4.2220000000000004</v>
      </c>
      <c r="I12" s="5">
        <v>46.49</v>
      </c>
    </row>
    <row r="13" spans="1:26" ht="15.75" customHeight="1">
      <c r="A13" s="5" t="s">
        <v>391</v>
      </c>
      <c r="B13" s="5">
        <v>101</v>
      </c>
      <c r="C13" s="5">
        <v>14425.35</v>
      </c>
      <c r="D13" s="6">
        <f t="shared" si="0"/>
        <v>44.716195700642153</v>
      </c>
      <c r="E13" s="7">
        <f t="shared" si="1"/>
        <v>87.350000000000364</v>
      </c>
      <c r="F13" s="8">
        <f t="shared" si="2"/>
        <v>42.633804299358211</v>
      </c>
      <c r="G13" s="5">
        <v>30.81</v>
      </c>
      <c r="H13" s="5">
        <v>3.444</v>
      </c>
      <c r="I13" s="5">
        <v>47.35</v>
      </c>
    </row>
    <row r="14" spans="1:26" ht="15.75" customHeight="1">
      <c r="A14" s="5" t="s">
        <v>392</v>
      </c>
      <c r="B14" s="5">
        <v>384</v>
      </c>
      <c r="C14" s="5">
        <v>14338</v>
      </c>
      <c r="D14" s="6">
        <f t="shared" si="0"/>
        <v>170.01009058461966</v>
      </c>
      <c r="E14" s="7">
        <f t="shared" si="1"/>
        <v>119</v>
      </c>
      <c r="F14" s="8">
        <f t="shared" si="2"/>
        <v>-51.010090584619661</v>
      </c>
      <c r="G14" s="5">
        <v>32.130000000000003</v>
      </c>
      <c r="H14" s="5">
        <v>4</v>
      </c>
      <c r="I14" s="5">
        <v>47.35</v>
      </c>
    </row>
    <row r="15" spans="1:26" ht="15.75" customHeight="1">
      <c r="A15" s="5" t="s">
        <v>393</v>
      </c>
      <c r="B15" s="5">
        <v>248</v>
      </c>
      <c r="C15" s="5">
        <v>14219</v>
      </c>
      <c r="D15" s="6">
        <f t="shared" si="0"/>
        <v>109.79818350256687</v>
      </c>
      <c r="E15" s="7">
        <f t="shared" si="1"/>
        <v>134</v>
      </c>
      <c r="F15" s="8">
        <f t="shared" si="2"/>
        <v>24.201816497433128</v>
      </c>
      <c r="G15" s="5">
        <v>32.130000000000003</v>
      </c>
      <c r="H15" s="5">
        <v>3.778</v>
      </c>
      <c r="I15" s="5">
        <v>47.35</v>
      </c>
    </row>
    <row r="16" spans="1:26" ht="15.75" customHeight="1">
      <c r="A16" s="5" t="s">
        <v>394</v>
      </c>
      <c r="B16" s="5">
        <v>224</v>
      </c>
      <c r="C16" s="5">
        <v>14085</v>
      </c>
      <c r="D16" s="6">
        <f t="shared" si="0"/>
        <v>99.172552841028136</v>
      </c>
      <c r="E16" s="7">
        <f t="shared" si="1"/>
        <v>93.649999999999636</v>
      </c>
      <c r="F16" s="8">
        <f t="shared" si="2"/>
        <v>-5.5225528410284994</v>
      </c>
      <c r="G16" s="5">
        <v>31.81</v>
      </c>
      <c r="H16" s="5">
        <v>3.222</v>
      </c>
      <c r="I16" s="5">
        <v>47.35</v>
      </c>
    </row>
    <row r="17" spans="1:9" ht="15.75" customHeight="1">
      <c r="A17" s="5" t="s">
        <v>395</v>
      </c>
      <c r="B17" s="5">
        <v>206</v>
      </c>
      <c r="C17" s="5">
        <v>13991.35</v>
      </c>
      <c r="D17" s="6">
        <f t="shared" si="0"/>
        <v>91.203329844874077</v>
      </c>
      <c r="E17" s="7">
        <f t="shared" si="1"/>
        <v>100</v>
      </c>
      <c r="F17" s="8">
        <f t="shared" si="2"/>
        <v>8.7966701551259234</v>
      </c>
      <c r="G17" s="5">
        <v>32</v>
      </c>
      <c r="H17" s="5">
        <v>3.3330000000000002</v>
      </c>
      <c r="I17" s="5">
        <v>47.35</v>
      </c>
    </row>
    <row r="18" spans="1:9" ht="15.75" customHeight="1">
      <c r="A18" s="5" t="s">
        <v>396</v>
      </c>
      <c r="B18" s="5">
        <v>228</v>
      </c>
      <c r="C18" s="5">
        <v>13891.35</v>
      </c>
      <c r="D18" s="6">
        <f t="shared" si="0"/>
        <v>100.94349128461793</v>
      </c>
      <c r="E18" s="7">
        <f t="shared" si="1"/>
        <v>149</v>
      </c>
      <c r="F18" s="8">
        <f t="shared" si="2"/>
        <v>48.056508715382066</v>
      </c>
      <c r="G18" s="5">
        <v>32.19</v>
      </c>
      <c r="H18" s="5">
        <v>2.556</v>
      </c>
      <c r="I18" s="5">
        <v>47.35</v>
      </c>
    </row>
    <row r="19" spans="1:9" ht="15.75" customHeight="1">
      <c r="A19" s="5" t="s">
        <v>397</v>
      </c>
      <c r="B19" s="5">
        <v>347</v>
      </c>
      <c r="C19" s="5">
        <v>13742.35</v>
      </c>
      <c r="D19" s="6">
        <f t="shared" si="0"/>
        <v>153.29057721337173</v>
      </c>
      <c r="E19" s="7">
        <f t="shared" si="1"/>
        <v>200.35000000000036</v>
      </c>
      <c r="F19" s="8">
        <f t="shared" si="2"/>
        <v>47.05942278662863</v>
      </c>
      <c r="G19" s="5">
        <v>32.5</v>
      </c>
      <c r="H19" s="5">
        <v>2</v>
      </c>
      <c r="I19" s="5">
        <v>47.93</v>
      </c>
    </row>
    <row r="20" spans="1:9" ht="15.75" customHeight="1">
      <c r="A20" s="5" t="s">
        <v>398</v>
      </c>
      <c r="B20" s="5">
        <v>462</v>
      </c>
      <c r="C20" s="5">
        <v>13542</v>
      </c>
      <c r="D20" s="6">
        <f t="shared" si="0"/>
        <v>204.31816006338769</v>
      </c>
      <c r="E20" s="7">
        <f t="shared" si="1"/>
        <v>169</v>
      </c>
      <c r="F20" s="8">
        <f t="shared" si="2"/>
        <v>-35.318160063387694</v>
      </c>
      <c r="G20" s="5">
        <v>32</v>
      </c>
      <c r="H20" s="5">
        <v>1.556</v>
      </c>
      <c r="I20" s="5">
        <v>47.64</v>
      </c>
    </row>
    <row r="21" spans="1:9" ht="15.75" customHeight="1">
      <c r="A21" s="5" t="s">
        <v>399</v>
      </c>
      <c r="B21" s="5">
        <v>304</v>
      </c>
      <c r="C21" s="5">
        <v>13373</v>
      </c>
      <c r="D21" s="6">
        <f t="shared" si="0"/>
        <v>134.44311831010791</v>
      </c>
      <c r="E21" s="7">
        <f t="shared" si="1"/>
        <v>151.64999999999964</v>
      </c>
      <c r="F21" s="8">
        <f t="shared" si="2"/>
        <v>17.206881689891731</v>
      </c>
      <c r="G21" s="5">
        <v>31.75</v>
      </c>
      <c r="H21" s="5">
        <v>2.222</v>
      </c>
      <c r="I21" s="5">
        <v>47.64</v>
      </c>
    </row>
    <row r="22" spans="1:9" ht="15.75" customHeight="1">
      <c r="A22" s="5" t="s">
        <v>400</v>
      </c>
      <c r="B22" s="5">
        <v>372</v>
      </c>
      <c r="C22" s="5">
        <v>13221.35</v>
      </c>
      <c r="D22" s="6">
        <f t="shared" si="0"/>
        <v>164.69727525385031</v>
      </c>
      <c r="E22" s="7">
        <f t="shared" si="1"/>
        <v>183</v>
      </c>
      <c r="F22" s="8">
        <f t="shared" si="2"/>
        <v>18.302724746149693</v>
      </c>
      <c r="G22" s="5">
        <v>31.87</v>
      </c>
      <c r="H22" s="5">
        <v>3.778</v>
      </c>
      <c r="I22" s="5">
        <v>47.35</v>
      </c>
    </row>
    <row r="23" spans="1:9" ht="15.75" customHeight="1">
      <c r="A23" s="5" t="s">
        <v>401</v>
      </c>
      <c r="B23" s="5">
        <v>364</v>
      </c>
      <c r="C23" s="5">
        <v>13038.35</v>
      </c>
      <c r="D23" s="6">
        <f t="shared" si="0"/>
        <v>160.97794429236609</v>
      </c>
      <c r="E23" s="7">
        <f t="shared" si="1"/>
        <v>184</v>
      </c>
      <c r="F23" s="8">
        <f t="shared" si="2"/>
        <v>23.022055707633911</v>
      </c>
      <c r="G23" s="5">
        <v>31.94</v>
      </c>
      <c r="H23" s="5">
        <v>3</v>
      </c>
      <c r="I23" s="5">
        <v>47.64</v>
      </c>
    </row>
    <row r="24" spans="1:9" ht="15.75" customHeight="1">
      <c r="A24" s="5" t="s">
        <v>402</v>
      </c>
      <c r="B24" s="5">
        <v>501</v>
      </c>
      <c r="C24" s="5">
        <v>12854.35</v>
      </c>
      <c r="D24" s="6">
        <f t="shared" si="0"/>
        <v>221.81004005962095</v>
      </c>
      <c r="E24" s="7">
        <f t="shared" si="1"/>
        <v>176.35000000000036</v>
      </c>
      <c r="F24" s="8">
        <f t="shared" si="2"/>
        <v>-45.460040059620582</v>
      </c>
      <c r="G24" s="5">
        <v>32</v>
      </c>
      <c r="H24" s="5">
        <v>3.1110000000000002</v>
      </c>
      <c r="I24" s="5">
        <v>47.35</v>
      </c>
    </row>
    <row r="25" spans="1:9" ht="15.75" customHeight="1">
      <c r="A25" s="5" t="s">
        <v>403</v>
      </c>
      <c r="B25" s="5">
        <v>286</v>
      </c>
      <c r="C25" s="5">
        <v>12678</v>
      </c>
      <c r="D25" s="6">
        <f t="shared" si="0"/>
        <v>126.62209871666987</v>
      </c>
      <c r="E25" s="7">
        <f t="shared" si="1"/>
        <v>135.64999999999964</v>
      </c>
      <c r="F25" s="8">
        <f t="shared" si="2"/>
        <v>9.0279012833297685</v>
      </c>
      <c r="G25" s="5">
        <v>31.56</v>
      </c>
      <c r="H25" s="5">
        <v>1.889</v>
      </c>
      <c r="I25" s="5">
        <v>47.35</v>
      </c>
    </row>
    <row r="26" spans="1:9" ht="15.75" customHeight="1">
      <c r="A26" s="5" t="s">
        <v>404</v>
      </c>
      <c r="B26" s="5">
        <v>291</v>
      </c>
      <c r="C26" s="5">
        <v>12542.35</v>
      </c>
      <c r="D26" s="6">
        <f t="shared" si="0"/>
        <v>128.83577177115711</v>
      </c>
      <c r="E26" s="7">
        <f t="shared" si="1"/>
        <v>154</v>
      </c>
      <c r="F26" s="8">
        <f t="shared" si="2"/>
        <v>25.164228228842887</v>
      </c>
      <c r="G26" s="5">
        <v>32.06</v>
      </c>
      <c r="H26" s="5">
        <v>3</v>
      </c>
      <c r="I26" s="5">
        <v>47.35</v>
      </c>
    </row>
    <row r="27" spans="1:9" ht="15.75" customHeight="1">
      <c r="A27" s="5" t="s">
        <v>405</v>
      </c>
      <c r="B27" s="5">
        <v>380</v>
      </c>
      <c r="C27" s="5">
        <v>12388.35</v>
      </c>
      <c r="D27" s="6">
        <f t="shared" si="0"/>
        <v>168.05389788763489</v>
      </c>
      <c r="E27" s="7">
        <f t="shared" si="1"/>
        <v>182</v>
      </c>
      <c r="F27" s="8">
        <f t="shared" si="2"/>
        <v>13.946102112365111</v>
      </c>
      <c r="G27" s="5">
        <v>32.06</v>
      </c>
      <c r="H27" s="5">
        <v>3</v>
      </c>
      <c r="I27" s="5">
        <v>47.64</v>
      </c>
    </row>
    <row r="28" spans="1:9" ht="15.75" customHeight="1">
      <c r="A28" s="5" t="s">
        <v>406</v>
      </c>
      <c r="B28" s="5">
        <v>393</v>
      </c>
      <c r="C28" s="5">
        <v>12206.35</v>
      </c>
      <c r="D28" s="6">
        <f t="shared" si="0"/>
        <v>173.80311018379086</v>
      </c>
      <c r="E28" s="7">
        <f t="shared" si="1"/>
        <v>213.35000000000036</v>
      </c>
      <c r="F28" s="8">
        <f t="shared" si="2"/>
        <v>39.5468898162095</v>
      </c>
      <c r="G28" s="5">
        <v>32.19</v>
      </c>
      <c r="H28" s="5">
        <v>2.556</v>
      </c>
      <c r="I28" s="5">
        <v>47.64</v>
      </c>
    </row>
    <row r="29" spans="1:9" ht="15.75" customHeight="1">
      <c r="A29" s="5" t="s">
        <v>407</v>
      </c>
      <c r="B29" s="5">
        <v>359</v>
      </c>
      <c r="C29" s="5">
        <v>11993</v>
      </c>
      <c r="D29" s="6">
        <f t="shared" si="0"/>
        <v>158.76670879384454</v>
      </c>
      <c r="E29" s="7">
        <f t="shared" si="1"/>
        <v>164.64999999999964</v>
      </c>
      <c r="F29" s="8">
        <f t="shared" si="2"/>
        <v>5.8832912061550928</v>
      </c>
      <c r="G29" s="5">
        <v>31.81</v>
      </c>
      <c r="H29" s="5">
        <v>1.444</v>
      </c>
      <c r="I29" s="5">
        <v>47.64</v>
      </c>
    </row>
    <row r="30" spans="1:9" ht="15.75" customHeight="1">
      <c r="A30" s="5" t="s">
        <v>408</v>
      </c>
      <c r="B30" s="5">
        <v>370</v>
      </c>
      <c r="C30" s="5">
        <v>11828.35</v>
      </c>
      <c r="D30" s="6">
        <f t="shared" si="0"/>
        <v>163.45104774912838</v>
      </c>
      <c r="E30" s="7">
        <f t="shared" si="1"/>
        <v>209.35000000000036</v>
      </c>
      <c r="F30" s="8">
        <f t="shared" si="2"/>
        <v>45.898952250871986</v>
      </c>
      <c r="G30" s="5">
        <v>32.56</v>
      </c>
      <c r="H30" s="5">
        <v>4.3330000000000002</v>
      </c>
      <c r="I30" s="5">
        <v>47.93</v>
      </c>
    </row>
    <row r="31" spans="1:9" ht="15.75" customHeight="1">
      <c r="A31" s="5" t="s">
        <v>409</v>
      </c>
      <c r="B31" s="5">
        <v>570</v>
      </c>
      <c r="C31" s="5">
        <v>11619</v>
      </c>
      <c r="D31" s="6">
        <f t="shared" si="0"/>
        <v>251.52508407126743</v>
      </c>
      <c r="E31" s="7">
        <f t="shared" si="1"/>
        <v>264.64999999999964</v>
      </c>
      <c r="F31" s="8">
        <f t="shared" si="2"/>
        <v>13.124915928732207</v>
      </c>
      <c r="G31" s="5">
        <v>33</v>
      </c>
      <c r="H31" s="5">
        <v>3.222</v>
      </c>
      <c r="I31" s="5">
        <v>48.22</v>
      </c>
    </row>
    <row r="32" spans="1:9" ht="15.75" customHeight="1">
      <c r="A32" s="5" t="s">
        <v>410</v>
      </c>
      <c r="B32" s="5">
        <v>478</v>
      </c>
      <c r="C32" s="5">
        <v>11354.35</v>
      </c>
      <c r="D32" s="6">
        <f t="shared" si="0"/>
        <v>210.92805295801026</v>
      </c>
      <c r="E32" s="7">
        <f t="shared" si="1"/>
        <v>298.35000000000036</v>
      </c>
      <c r="F32" s="8">
        <f t="shared" si="2"/>
        <v>87.421947041990109</v>
      </c>
      <c r="G32" s="5">
        <v>32.81</v>
      </c>
      <c r="H32" s="5">
        <v>5.2220000000000004</v>
      </c>
      <c r="I32" s="5">
        <v>48.22</v>
      </c>
    </row>
    <row r="33" spans="1:9" ht="15.75" customHeight="1">
      <c r="A33" s="5" t="s">
        <v>411</v>
      </c>
      <c r="B33" s="5">
        <v>557</v>
      </c>
      <c r="C33" s="5">
        <v>11056</v>
      </c>
      <c r="D33" s="6">
        <f t="shared" si="0"/>
        <v>245.7885470661333</v>
      </c>
      <c r="E33" s="7">
        <f t="shared" si="1"/>
        <v>257</v>
      </c>
      <c r="F33" s="8">
        <f t="shared" si="2"/>
        <v>11.211452933866696</v>
      </c>
      <c r="G33" s="5">
        <v>32.69</v>
      </c>
      <c r="H33" s="5">
        <v>1.778</v>
      </c>
      <c r="I33" s="5">
        <v>48.22</v>
      </c>
    </row>
    <row r="34" spans="1:9" ht="15.75" customHeight="1">
      <c r="A34" s="5" t="s">
        <v>412</v>
      </c>
      <c r="B34" s="5">
        <v>646</v>
      </c>
      <c r="C34" s="5">
        <v>10799</v>
      </c>
      <c r="D34" s="6">
        <f t="shared" si="0"/>
        <v>284.75768944876052</v>
      </c>
      <c r="E34" s="7">
        <f t="shared" si="1"/>
        <v>363</v>
      </c>
      <c r="F34" s="8">
        <f t="shared" si="2"/>
        <v>78.242310551239484</v>
      </c>
      <c r="G34" s="5">
        <v>32.880000000000003</v>
      </c>
      <c r="H34" s="5">
        <v>2</v>
      </c>
      <c r="I34" s="5">
        <v>48.5</v>
      </c>
    </row>
    <row r="35" spans="1:9" ht="15.75" customHeight="1">
      <c r="A35" s="5" t="s">
        <v>413</v>
      </c>
      <c r="B35" s="5">
        <v>934</v>
      </c>
      <c r="C35" s="5">
        <v>10436</v>
      </c>
      <c r="D35" s="6">
        <f t="shared" si="0"/>
        <v>411.70848598319259</v>
      </c>
      <c r="E35" s="7">
        <f t="shared" si="1"/>
        <v>405</v>
      </c>
      <c r="F35" s="8">
        <f t="shared" si="2"/>
        <v>-6.7084859831925883</v>
      </c>
      <c r="G35" s="5">
        <v>33.31</v>
      </c>
      <c r="H35" s="5">
        <v>2.556</v>
      </c>
      <c r="I35" s="5">
        <v>48.5</v>
      </c>
    </row>
    <row r="36" spans="1:9" ht="15.75" customHeight="1">
      <c r="A36" s="5" t="s">
        <v>414</v>
      </c>
      <c r="B36" s="5">
        <v>518</v>
      </c>
      <c r="C36" s="5">
        <v>10031</v>
      </c>
      <c r="D36" s="6">
        <f t="shared" si="0"/>
        <v>228.57893605073079</v>
      </c>
      <c r="E36" s="7">
        <f t="shared" si="1"/>
        <v>290.64700000000084</v>
      </c>
      <c r="F36" s="8">
        <f t="shared" si="2"/>
        <v>62.068063949270055</v>
      </c>
      <c r="G36" s="5">
        <v>32.380000000000003</v>
      </c>
      <c r="H36" s="5">
        <v>1.222</v>
      </c>
      <c r="I36" s="5">
        <v>48.22</v>
      </c>
    </row>
    <row r="37" spans="1:9" ht="15.75" customHeight="1">
      <c r="A37" s="5" t="s">
        <v>415</v>
      </c>
      <c r="B37" s="5">
        <v>1183</v>
      </c>
      <c r="C37" s="5">
        <v>9740.3529999999992</v>
      </c>
      <c r="D37" s="6">
        <f t="shared" si="0"/>
        <v>522.02486746720945</v>
      </c>
      <c r="E37" s="7">
        <f t="shared" si="1"/>
        <v>449</v>
      </c>
      <c r="F37" s="8">
        <f t="shared" si="2"/>
        <v>-73.024867467209447</v>
      </c>
      <c r="G37" s="5">
        <v>32.880000000000003</v>
      </c>
      <c r="H37" s="5">
        <v>3.1110000000000002</v>
      </c>
      <c r="I37" s="5">
        <v>48.22</v>
      </c>
    </row>
    <row r="38" spans="1:9" ht="15.75" customHeight="1">
      <c r="A38" s="5" t="s">
        <v>416</v>
      </c>
      <c r="B38" s="5">
        <v>1054</v>
      </c>
      <c r="C38" s="5">
        <v>9291.3529999999992</v>
      </c>
      <c r="D38" s="6">
        <f t="shared" si="0"/>
        <v>464.60465120587253</v>
      </c>
      <c r="E38" s="7">
        <f t="shared" si="1"/>
        <v>433</v>
      </c>
      <c r="F38" s="8">
        <f t="shared" si="2"/>
        <v>-31.604651205872528</v>
      </c>
      <c r="G38" s="5">
        <v>32.31</v>
      </c>
      <c r="H38" s="5">
        <v>1.222</v>
      </c>
      <c r="I38" s="5">
        <v>48.5</v>
      </c>
    </row>
    <row r="39" spans="1:9" ht="15.75" customHeight="1">
      <c r="A39" s="5" t="s">
        <v>417</v>
      </c>
      <c r="B39" s="5">
        <v>849</v>
      </c>
      <c r="C39" s="5">
        <v>8858.3529999999992</v>
      </c>
      <c r="D39" s="6">
        <f t="shared" si="0"/>
        <v>375.05389064597296</v>
      </c>
      <c r="E39" s="7">
        <f t="shared" si="1"/>
        <v>328</v>
      </c>
      <c r="F39" s="8">
        <f t="shared" si="2"/>
        <v>-47.053890645972956</v>
      </c>
      <c r="G39" s="5">
        <v>31.87</v>
      </c>
      <c r="H39" s="5">
        <v>2.6669999999999998</v>
      </c>
      <c r="I39" s="5">
        <v>47.93</v>
      </c>
    </row>
    <row r="40" spans="1:9" ht="15.75" customHeight="1">
      <c r="A40" s="5" t="s">
        <v>418</v>
      </c>
      <c r="B40" s="5">
        <v>1019</v>
      </c>
      <c r="C40" s="5">
        <v>8530.3529999999992</v>
      </c>
      <c r="D40" s="6">
        <f t="shared" si="0"/>
        <v>449.17660301592412</v>
      </c>
      <c r="E40" s="7">
        <f t="shared" si="1"/>
        <v>427.35299999999916</v>
      </c>
      <c r="F40" s="8">
        <f t="shared" si="2"/>
        <v>-21.823603015924959</v>
      </c>
      <c r="G40" s="5">
        <v>31.87</v>
      </c>
      <c r="H40" s="5">
        <v>2.3330000000000002</v>
      </c>
      <c r="I40" s="5">
        <v>48.5</v>
      </c>
    </row>
    <row r="41" spans="1:9" ht="15.75" customHeight="1">
      <c r="A41" s="5" t="s">
        <v>419</v>
      </c>
      <c r="B41" s="5">
        <v>1012</v>
      </c>
      <c r="C41" s="5">
        <v>8103</v>
      </c>
      <c r="D41" s="6">
        <f t="shared" si="0"/>
        <v>446.09099337793447</v>
      </c>
      <c r="E41" s="7">
        <f t="shared" si="1"/>
        <v>425</v>
      </c>
      <c r="F41" s="8">
        <f t="shared" si="2"/>
        <v>-21.090993377934467</v>
      </c>
      <c r="G41" s="5">
        <v>31.69</v>
      </c>
      <c r="H41" s="5">
        <v>2.222</v>
      </c>
      <c r="I41" s="5">
        <v>48.5</v>
      </c>
    </row>
    <row r="42" spans="1:9" ht="15.75" customHeight="1">
      <c r="A42" s="5" t="s">
        <v>420</v>
      </c>
      <c r="B42" s="5">
        <v>1011</v>
      </c>
      <c r="C42" s="5">
        <v>7678</v>
      </c>
      <c r="D42" s="6">
        <f t="shared" si="0"/>
        <v>445.65019200107878</v>
      </c>
      <c r="E42" s="7">
        <f t="shared" si="1"/>
        <v>425</v>
      </c>
      <c r="F42" s="8">
        <f t="shared" si="2"/>
        <v>-20.650192001078779</v>
      </c>
      <c r="G42" s="5">
        <v>31.56</v>
      </c>
      <c r="H42" s="5">
        <v>3</v>
      </c>
      <c r="I42" s="5">
        <v>48.5</v>
      </c>
    </row>
    <row r="43" spans="1:9" ht="15.75" customHeight="1">
      <c r="A43" s="5" t="s">
        <v>421</v>
      </c>
      <c r="B43" s="5">
        <v>1007</v>
      </c>
      <c r="C43" s="5">
        <v>7253</v>
      </c>
      <c r="D43" s="6">
        <f t="shared" si="0"/>
        <v>443.3960627221594</v>
      </c>
      <c r="E43" s="7">
        <f t="shared" si="1"/>
        <v>421</v>
      </c>
      <c r="F43" s="8">
        <f t="shared" si="2"/>
        <v>-22.3960627221594</v>
      </c>
      <c r="G43" s="5">
        <v>31.44</v>
      </c>
      <c r="H43" s="5">
        <v>2.222</v>
      </c>
      <c r="I43" s="5">
        <v>48.79</v>
      </c>
    </row>
    <row r="44" spans="1:9" ht="15.75" customHeight="1">
      <c r="A44" s="5" t="s">
        <v>422</v>
      </c>
      <c r="B44" s="5">
        <v>983</v>
      </c>
      <c r="C44" s="5">
        <v>6832</v>
      </c>
      <c r="D44" s="6">
        <f t="shared" si="0"/>
        <v>432.82852994625898</v>
      </c>
      <c r="E44" s="7">
        <f t="shared" si="1"/>
        <v>417.64699999999993</v>
      </c>
      <c r="F44" s="8">
        <f t="shared" si="2"/>
        <v>-15.181529946259047</v>
      </c>
      <c r="G44" s="5">
        <v>31</v>
      </c>
      <c r="H44" s="5">
        <v>1.778</v>
      </c>
      <c r="I44" s="5">
        <v>48.79</v>
      </c>
    </row>
    <row r="45" spans="1:9" ht="15.75" customHeight="1">
      <c r="A45" s="5" t="s">
        <v>423</v>
      </c>
      <c r="B45" s="5">
        <v>991</v>
      </c>
      <c r="C45" s="5">
        <v>6414.3530000000001</v>
      </c>
      <c r="D45" s="6">
        <f t="shared" si="0"/>
        <v>436.35104087155918</v>
      </c>
      <c r="E45" s="7">
        <f t="shared" si="1"/>
        <v>419.35300000000007</v>
      </c>
      <c r="F45" s="8">
        <f t="shared" si="2"/>
        <v>-16.998040871559112</v>
      </c>
      <c r="G45" s="5">
        <v>30.75</v>
      </c>
      <c r="H45" s="5">
        <v>2</v>
      </c>
      <c r="I45" s="5">
        <v>48.79</v>
      </c>
    </row>
    <row r="46" spans="1:9" ht="15.75" customHeight="1">
      <c r="A46" s="5" t="s">
        <v>424</v>
      </c>
      <c r="B46" s="5">
        <v>977</v>
      </c>
      <c r="C46" s="5">
        <v>5995</v>
      </c>
      <c r="D46" s="6">
        <f t="shared" si="0"/>
        <v>430.18664675228393</v>
      </c>
      <c r="E46" s="7">
        <f t="shared" si="1"/>
        <v>411.64699999999993</v>
      </c>
      <c r="F46" s="8">
        <f t="shared" si="2"/>
        <v>-18.539646752284</v>
      </c>
      <c r="G46" s="5">
        <v>30.63</v>
      </c>
      <c r="H46" s="5">
        <v>4.444</v>
      </c>
      <c r="I46" s="5">
        <v>48.79</v>
      </c>
    </row>
    <row r="47" spans="1:9" ht="15.75" customHeight="1">
      <c r="A47" s="5" t="s">
        <v>425</v>
      </c>
      <c r="B47" s="5">
        <v>969</v>
      </c>
      <c r="C47" s="5">
        <v>5583.3530000000001</v>
      </c>
      <c r="D47" s="6">
        <f t="shared" si="0"/>
        <v>426.66413582698368</v>
      </c>
      <c r="E47" s="7">
        <f t="shared" si="1"/>
        <v>414</v>
      </c>
      <c r="F47" s="8">
        <f t="shared" si="2"/>
        <v>-12.664135826983681</v>
      </c>
      <c r="G47" s="5">
        <v>30.37</v>
      </c>
      <c r="H47" s="5">
        <v>2.556</v>
      </c>
      <c r="I47" s="5">
        <v>48.79</v>
      </c>
    </row>
    <row r="48" spans="1:9" ht="15.75" customHeight="1">
      <c r="A48" s="5" t="s">
        <v>426</v>
      </c>
      <c r="B48" s="5">
        <v>956</v>
      </c>
      <c r="C48" s="5">
        <v>5169.3530000000001</v>
      </c>
      <c r="D48" s="6">
        <f t="shared" si="0"/>
        <v>420.02400523072134</v>
      </c>
      <c r="E48" s="7">
        <f t="shared" si="1"/>
        <v>407.35300000000007</v>
      </c>
      <c r="F48" s="8">
        <f t="shared" si="2"/>
        <v>-12.671005230721278</v>
      </c>
      <c r="G48" s="5">
        <v>30.31</v>
      </c>
      <c r="H48" s="5">
        <v>1.889</v>
      </c>
      <c r="I48" s="5">
        <v>49.36</v>
      </c>
    </row>
    <row r="49" spans="1:9" ht="15.75" customHeight="1">
      <c r="A49" s="5" t="s">
        <v>427</v>
      </c>
      <c r="B49" s="5">
        <v>960</v>
      </c>
      <c r="C49" s="5">
        <v>4762</v>
      </c>
      <c r="D49" s="6">
        <f t="shared" si="0"/>
        <v>422.23330029060207</v>
      </c>
      <c r="E49" s="7">
        <f t="shared" si="1"/>
        <v>405.64699999999993</v>
      </c>
      <c r="F49" s="8">
        <f t="shared" si="2"/>
        <v>-16.586300290602139</v>
      </c>
      <c r="G49" s="5">
        <v>29.63</v>
      </c>
      <c r="H49" s="5">
        <v>1.778</v>
      </c>
      <c r="I49" s="5">
        <v>49.08</v>
      </c>
    </row>
    <row r="50" spans="1:9" ht="15.75" customHeight="1">
      <c r="A50" s="5" t="s">
        <v>428</v>
      </c>
      <c r="B50" s="5">
        <v>310</v>
      </c>
      <c r="C50" s="5">
        <v>4356.3530000000001</v>
      </c>
      <c r="D50" s="6">
        <f t="shared" si="0"/>
        <v>136.64842682525662</v>
      </c>
      <c r="E50" s="7">
        <f t="shared" si="1"/>
        <v>277.35300000000007</v>
      </c>
      <c r="F50" s="8">
        <f t="shared" si="2"/>
        <v>140.70457317474344</v>
      </c>
      <c r="G50" s="5">
        <v>29.63</v>
      </c>
      <c r="H50" s="5">
        <v>2.222</v>
      </c>
      <c r="I50" s="5">
        <v>48.5</v>
      </c>
    </row>
    <row r="51" spans="1:9" ht="15.75" customHeight="1">
      <c r="A51" s="5" t="s">
        <v>429</v>
      </c>
      <c r="B51" s="5">
        <v>877</v>
      </c>
      <c r="C51" s="5">
        <v>4079</v>
      </c>
      <c r="D51" s="6">
        <f t="shared" si="0"/>
        <v>386.58280750241954</v>
      </c>
      <c r="E51" s="7">
        <f t="shared" si="1"/>
        <v>299</v>
      </c>
      <c r="F51" s="8">
        <f t="shared" si="2"/>
        <v>-87.582807502419541</v>
      </c>
      <c r="G51" s="5">
        <v>29.06</v>
      </c>
      <c r="H51" s="5">
        <v>2.556</v>
      </c>
      <c r="I51" s="5">
        <v>48.5</v>
      </c>
    </row>
    <row r="52" spans="1:9" ht="15.75" customHeight="1">
      <c r="A52" s="5" t="s">
        <v>430</v>
      </c>
      <c r="B52" s="5">
        <v>842</v>
      </c>
      <c r="C52" s="5">
        <v>3780</v>
      </c>
      <c r="D52" s="6">
        <f t="shared" si="0"/>
        <v>371.55108910176699</v>
      </c>
      <c r="E52" s="7">
        <f t="shared" si="1"/>
        <v>178.64699999999993</v>
      </c>
      <c r="F52" s="8">
        <f t="shared" si="2"/>
        <v>-192.90408910176706</v>
      </c>
      <c r="G52" s="5">
        <v>29.44</v>
      </c>
      <c r="H52" s="5">
        <v>1.778</v>
      </c>
      <c r="I52" s="5">
        <v>48.22</v>
      </c>
    </row>
    <row r="53" spans="1:9" ht="15.75" customHeight="1">
      <c r="A53" s="5" t="s">
        <v>431</v>
      </c>
      <c r="B53" s="5">
        <v>490</v>
      </c>
      <c r="C53" s="5">
        <v>3601.3530000000001</v>
      </c>
      <c r="D53" s="6">
        <f t="shared" si="0"/>
        <v>215.51491368999484</v>
      </c>
      <c r="E53" s="7">
        <f t="shared" si="1"/>
        <v>352</v>
      </c>
      <c r="F53" s="8">
        <f t="shared" si="2"/>
        <v>136.48508631000516</v>
      </c>
      <c r="G53" s="5">
        <v>29.63</v>
      </c>
      <c r="H53" s="5">
        <v>1</v>
      </c>
      <c r="I53" s="5">
        <v>49.08</v>
      </c>
    </row>
    <row r="54" spans="1:9" ht="15.75" customHeight="1">
      <c r="A54" s="5" t="s">
        <v>432</v>
      </c>
      <c r="B54" s="5">
        <v>558</v>
      </c>
      <c r="C54" s="5">
        <v>3249.3530000000001</v>
      </c>
      <c r="D54" s="6">
        <f t="shared" si="0"/>
        <v>245.69513703968718</v>
      </c>
      <c r="E54" s="7">
        <f t="shared" si="1"/>
        <v>300.35300000000007</v>
      </c>
      <c r="F54" s="8">
        <f t="shared" si="2"/>
        <v>54.657862960312883</v>
      </c>
      <c r="G54" s="5">
        <v>28.94</v>
      </c>
      <c r="H54" s="5">
        <v>1.667</v>
      </c>
      <c r="I54" s="5">
        <v>48.79</v>
      </c>
    </row>
    <row r="55" spans="1:9" ht="15.75" customHeight="1">
      <c r="A55" s="5" t="s">
        <v>433</v>
      </c>
      <c r="B55" s="5">
        <v>585</v>
      </c>
      <c r="C55" s="5">
        <v>2949</v>
      </c>
      <c r="D55" s="6">
        <f t="shared" si="0"/>
        <v>257.58361141257524</v>
      </c>
      <c r="E55" s="7">
        <f t="shared" si="1"/>
        <v>288</v>
      </c>
      <c r="F55" s="8">
        <f t="shared" si="2"/>
        <v>30.416388587424763</v>
      </c>
      <c r="G55" s="5">
        <v>28.69</v>
      </c>
      <c r="H55" s="5">
        <v>3.3330000000000002</v>
      </c>
      <c r="I55" s="5">
        <v>48.79</v>
      </c>
    </row>
    <row r="56" spans="1:9" ht="15.75" customHeight="1">
      <c r="A56" s="5" t="s">
        <v>434</v>
      </c>
      <c r="B56" s="5">
        <v>557</v>
      </c>
      <c r="C56" s="5">
        <v>2661</v>
      </c>
      <c r="D56" s="6">
        <f t="shared" si="0"/>
        <v>245.52636690860632</v>
      </c>
      <c r="E56" s="7">
        <f t="shared" si="1"/>
        <v>281</v>
      </c>
      <c r="F56" s="8">
        <f t="shared" si="2"/>
        <v>35.47363309139368</v>
      </c>
      <c r="G56" s="5">
        <v>28.44</v>
      </c>
      <c r="H56" s="5">
        <v>2.556</v>
      </c>
      <c r="I56" s="5">
        <v>48.5</v>
      </c>
    </row>
    <row r="57" spans="1:9" ht="15.75" customHeight="1">
      <c r="A57" s="5" t="s">
        <v>435</v>
      </c>
      <c r="B57" s="5">
        <v>764</v>
      </c>
      <c r="C57" s="5">
        <v>2380</v>
      </c>
      <c r="D57" s="6">
        <f t="shared" si="0"/>
        <v>336.39979336616665</v>
      </c>
      <c r="E57" s="7">
        <f t="shared" si="1"/>
        <v>317</v>
      </c>
      <c r="F57" s="8">
        <f t="shared" si="2"/>
        <v>-19.399793366166648</v>
      </c>
      <c r="G57" s="5">
        <v>28.69</v>
      </c>
      <c r="H57" s="5">
        <v>3.3330000000000002</v>
      </c>
      <c r="I57" s="5">
        <v>48.79</v>
      </c>
    </row>
    <row r="58" spans="1:9" ht="15.75" customHeight="1">
      <c r="A58" s="5" t="s">
        <v>436</v>
      </c>
      <c r="B58" s="5">
        <v>645</v>
      </c>
      <c r="C58" s="5">
        <v>2063</v>
      </c>
      <c r="D58" s="6">
        <f t="shared" si="0"/>
        <v>284.31688807190494</v>
      </c>
      <c r="E58" s="7">
        <f t="shared" si="1"/>
        <v>281.64699999999993</v>
      </c>
      <c r="F58" s="8">
        <f t="shared" si="2"/>
        <v>-2.6698880719050067</v>
      </c>
      <c r="G58" s="5">
        <v>27.88</v>
      </c>
      <c r="H58" s="5">
        <v>2</v>
      </c>
      <c r="I58" s="5">
        <v>48.5</v>
      </c>
    </row>
    <row r="59" spans="1:9" ht="15.75" customHeight="1">
      <c r="A59" s="5" t="s">
        <v>437</v>
      </c>
      <c r="B59" s="5">
        <v>595</v>
      </c>
      <c r="C59" s="5">
        <v>1781.3530000000001</v>
      </c>
      <c r="D59" s="6">
        <f t="shared" si="0"/>
        <v>261.98675006920047</v>
      </c>
      <c r="E59" s="7">
        <f t="shared" si="1"/>
        <v>256</v>
      </c>
      <c r="F59" s="8">
        <f t="shared" si="2"/>
        <v>-5.9867500692004683</v>
      </c>
      <c r="G59" s="5">
        <v>27.69</v>
      </c>
      <c r="H59" s="5">
        <v>2.556</v>
      </c>
      <c r="I59" s="5">
        <v>48.79</v>
      </c>
    </row>
    <row r="60" spans="1:9" ht="15.75" customHeight="1">
      <c r="A60" s="5" t="s">
        <v>438</v>
      </c>
      <c r="B60" s="5">
        <v>471</v>
      </c>
      <c r="C60" s="5">
        <v>1525.3530000000001</v>
      </c>
      <c r="D60" s="6">
        <f t="shared" si="0"/>
        <v>208.06876618875529</v>
      </c>
      <c r="E60" s="7">
        <f t="shared" si="1"/>
        <v>211.35300000000007</v>
      </c>
      <c r="F60" s="8">
        <f t="shared" si="2"/>
        <v>3.2842338112447749</v>
      </c>
      <c r="G60" s="5">
        <v>27.81</v>
      </c>
      <c r="H60" s="5">
        <v>2.3330000000000002</v>
      </c>
      <c r="I60" s="5">
        <v>47.93</v>
      </c>
    </row>
    <row r="61" spans="1:9" ht="15.75" customHeight="1">
      <c r="A61" s="5" t="s">
        <v>439</v>
      </c>
      <c r="B61" s="5">
        <v>340</v>
      </c>
      <c r="C61" s="5">
        <v>1314</v>
      </c>
      <c r="D61" s="6">
        <f t="shared" si="0"/>
        <v>150.529767705132</v>
      </c>
      <c r="E61" s="7">
        <f t="shared" si="1"/>
        <v>195.64699999999993</v>
      </c>
      <c r="F61" s="8">
        <f t="shared" si="2"/>
        <v>45.117232294867932</v>
      </c>
      <c r="G61" s="5">
        <v>27.5</v>
      </c>
      <c r="H61" s="5">
        <v>3.1110000000000002</v>
      </c>
      <c r="I61" s="5">
        <v>47.35</v>
      </c>
    </row>
    <row r="62" spans="1:9" ht="15.75" customHeight="1">
      <c r="A62" s="5" t="s">
        <v>440</v>
      </c>
      <c r="B62" s="5">
        <v>457</v>
      </c>
      <c r="C62" s="5">
        <v>1118.3530000000001</v>
      </c>
      <c r="D62" s="6">
        <f t="shared" si="0"/>
        <v>203.42831524851934</v>
      </c>
      <c r="E62" s="7">
        <f t="shared" si="1"/>
        <v>198.35300000000007</v>
      </c>
      <c r="F62" s="8">
        <f t="shared" si="2"/>
        <v>-5.0753152485192743</v>
      </c>
      <c r="G62" s="5">
        <v>27.06</v>
      </c>
      <c r="H62" s="5">
        <v>3.222</v>
      </c>
      <c r="I62" s="5">
        <v>45.92</v>
      </c>
    </row>
    <row r="63" spans="1:9" ht="15.75" customHeight="1">
      <c r="A63" s="5" t="s">
        <v>441</v>
      </c>
      <c r="B63" s="5">
        <v>382</v>
      </c>
      <c r="C63" s="5">
        <v>920</v>
      </c>
      <c r="D63" s="6">
        <f t="shared" si="0"/>
        <v>171.51991515132161</v>
      </c>
      <c r="E63" s="7">
        <f t="shared" si="1"/>
        <v>167.64700000000005</v>
      </c>
      <c r="F63" s="8">
        <f t="shared" si="2"/>
        <v>-3.8729151513215641</v>
      </c>
      <c r="G63" s="5">
        <v>26.75</v>
      </c>
      <c r="H63" s="5">
        <v>2.6669999999999998</v>
      </c>
      <c r="I63" s="5">
        <v>43.62</v>
      </c>
    </row>
    <row r="64" spans="1:9" ht="15.75" customHeight="1">
      <c r="A64" s="5" t="s">
        <v>442</v>
      </c>
      <c r="B64" s="5">
        <v>364</v>
      </c>
      <c r="C64" s="5">
        <v>752.35299999999995</v>
      </c>
      <c r="D64" s="6">
        <f t="shared" si="0"/>
        <v>163.78661395118795</v>
      </c>
      <c r="E64" s="7">
        <f t="shared" si="1"/>
        <v>158</v>
      </c>
      <c r="F64" s="8">
        <f t="shared" si="2"/>
        <v>-5.7866139511879453</v>
      </c>
      <c r="G64" s="5">
        <v>26.56</v>
      </c>
      <c r="H64" s="5">
        <v>3.444</v>
      </c>
      <c r="I64" s="5">
        <v>43.05</v>
      </c>
    </row>
    <row r="65" spans="1:26" ht="15.75" customHeight="1">
      <c r="A65" s="5" t="s">
        <v>443</v>
      </c>
      <c r="B65" s="5">
        <v>325</v>
      </c>
      <c r="C65" s="5">
        <v>594.35299999999995</v>
      </c>
      <c r="D65" s="6">
        <f t="shared" si="0"/>
        <v>147.02479037205421</v>
      </c>
      <c r="E65" s="7">
        <f t="shared" si="1"/>
        <v>136.99999999999994</v>
      </c>
      <c r="F65" s="8">
        <f t="shared" si="2"/>
        <v>-10.024790372054269</v>
      </c>
      <c r="G65" s="5">
        <v>26.44</v>
      </c>
      <c r="H65" s="5">
        <v>2.6669999999999998</v>
      </c>
      <c r="I65" s="5">
        <v>41.61</v>
      </c>
    </row>
    <row r="66" spans="1:26" ht="15.75" customHeight="1">
      <c r="A66" s="5" t="s">
        <v>444</v>
      </c>
      <c r="B66" s="5">
        <v>282</v>
      </c>
      <c r="C66" s="5">
        <v>457.35300000000001</v>
      </c>
      <c r="D66" s="6">
        <f t="shared" si="0"/>
        <v>128.38766733253613</v>
      </c>
      <c r="E66" s="7">
        <f t="shared" si="1"/>
        <v>116.35300000000001</v>
      </c>
      <c r="F66" s="8">
        <f t="shared" si="2"/>
        <v>-12.034667332536117</v>
      </c>
      <c r="G66" s="5">
        <v>26.13</v>
      </c>
      <c r="H66" s="5">
        <v>0.88900000000000001</v>
      </c>
      <c r="I66" s="5">
        <v>39.89</v>
      </c>
    </row>
    <row r="67" spans="1:26" ht="15.75" customHeight="1">
      <c r="A67" s="5" t="s">
        <v>445</v>
      </c>
      <c r="B67" s="5">
        <v>239</v>
      </c>
      <c r="C67" s="5">
        <v>341</v>
      </c>
      <c r="D67" s="6">
        <f t="shared" si="0"/>
        <v>111.57906429265725</v>
      </c>
      <c r="E67" s="7">
        <f t="shared" si="1"/>
        <v>97.646999999999991</v>
      </c>
      <c r="F67" s="8">
        <f t="shared" si="2"/>
        <v>-13.932064292657259</v>
      </c>
      <c r="G67" s="5">
        <v>26.06</v>
      </c>
      <c r="H67" s="5">
        <v>1.222</v>
      </c>
      <c r="I67" s="5">
        <v>33</v>
      </c>
    </row>
    <row r="68" spans="1:26" ht="15.75" customHeight="1">
      <c r="A68" s="5" t="s">
        <v>446</v>
      </c>
      <c r="B68" s="5">
        <v>199</v>
      </c>
      <c r="C68" s="5">
        <v>243.35300000000001</v>
      </c>
      <c r="D68" s="6">
        <f t="shared" si="0"/>
        <v>93.767840449584511</v>
      </c>
      <c r="E68" s="7">
        <f t="shared" si="1"/>
        <v>78.353000000000009</v>
      </c>
      <c r="F68" s="8">
        <f t="shared" si="2"/>
        <v>-15.414840449584503</v>
      </c>
      <c r="G68" s="5">
        <v>25.75</v>
      </c>
      <c r="H68" s="5">
        <v>3.222</v>
      </c>
      <c r="I68" s="5">
        <v>30.42</v>
      </c>
    </row>
    <row r="69" spans="1:26" ht="15.75" customHeight="1">
      <c r="A69" s="5" t="s">
        <v>447</v>
      </c>
      <c r="B69" s="5">
        <v>161</v>
      </c>
      <c r="C69" s="5">
        <v>165</v>
      </c>
      <c r="D69" s="6">
        <f t="shared" si="0"/>
        <v>76.173674361043794</v>
      </c>
      <c r="E69" s="7">
        <f t="shared" si="1"/>
        <v>60.647000000000006</v>
      </c>
      <c r="F69" s="8">
        <f t="shared" si="2"/>
        <v>-15.526674361043789</v>
      </c>
      <c r="G69" s="5">
        <v>25.18</v>
      </c>
      <c r="H69" s="5">
        <v>1.889</v>
      </c>
      <c r="I69" s="5">
        <v>29.27</v>
      </c>
    </row>
    <row r="70" spans="1:26" ht="15.75" customHeight="1">
      <c r="A70" s="5" t="s">
        <v>448</v>
      </c>
      <c r="B70" s="5">
        <v>123</v>
      </c>
      <c r="C70" s="5">
        <v>104.35299999999999</v>
      </c>
      <c r="D70" s="6">
        <f t="shared" si="0"/>
        <v>58.430514765439547</v>
      </c>
      <c r="E70" s="7">
        <f t="shared" si="1"/>
        <v>43.999999999999993</v>
      </c>
      <c r="F70" s="8">
        <f t="shared" si="2"/>
        <v>-14.430514765439554</v>
      </c>
      <c r="G70" s="5">
        <v>25.12</v>
      </c>
      <c r="H70" s="5">
        <v>3.1110000000000002</v>
      </c>
      <c r="I70" s="5">
        <v>28.13</v>
      </c>
    </row>
    <row r="71" spans="1:26" ht="15.75" customHeight="1">
      <c r="A71" s="5" t="s">
        <v>449</v>
      </c>
      <c r="B71" s="5">
        <v>88</v>
      </c>
      <c r="C71" s="5">
        <v>60.353000000000002</v>
      </c>
      <c r="D71" s="6">
        <f t="shared" si="0"/>
        <v>42.01697110391472</v>
      </c>
      <c r="E71" s="7">
        <f t="shared" si="1"/>
        <v>29.353000000000002</v>
      </c>
      <c r="F71" s="8">
        <f t="shared" si="2"/>
        <v>-12.663971103914719</v>
      </c>
      <c r="G71" s="5">
        <v>24.44</v>
      </c>
      <c r="H71" s="5">
        <v>1.778</v>
      </c>
      <c r="I71" s="5">
        <v>26.69</v>
      </c>
    </row>
    <row r="72" spans="1:26" ht="15.75" customHeight="1">
      <c r="A72" s="5" t="s">
        <v>450</v>
      </c>
      <c r="B72" s="5">
        <v>50</v>
      </c>
      <c r="C72" s="5">
        <v>31</v>
      </c>
      <c r="D72" s="6">
        <f t="shared" si="0"/>
        <v>24.042226880836008</v>
      </c>
      <c r="E72" s="7">
        <f t="shared" si="1"/>
        <v>18</v>
      </c>
      <c r="F72" s="8">
        <f t="shared" si="2"/>
        <v>-6.042226880836008</v>
      </c>
      <c r="G72" s="5">
        <v>24.06</v>
      </c>
      <c r="H72" s="5">
        <v>1.778</v>
      </c>
      <c r="I72" s="5">
        <v>24.68</v>
      </c>
    </row>
    <row r="73" spans="1:26" ht="15.75" customHeight="1">
      <c r="A73" s="5" t="s">
        <v>451</v>
      </c>
      <c r="B73" s="5">
        <v>29</v>
      </c>
      <c r="C73" s="5">
        <v>13</v>
      </c>
      <c r="D73" s="6">
        <f t="shared" si="0"/>
        <v>13.972279728894129</v>
      </c>
      <c r="E73" s="7">
        <f t="shared" si="1"/>
        <v>9.6470000000000002</v>
      </c>
      <c r="F73" s="8">
        <f t="shared" si="2"/>
        <v>-4.3252797288941291</v>
      </c>
      <c r="G73" s="5">
        <v>23.69</v>
      </c>
      <c r="H73" s="5">
        <v>1.889</v>
      </c>
      <c r="I73" s="5">
        <v>24.11</v>
      </c>
    </row>
    <row r="74" spans="1:26" ht="15.75" customHeight="1">
      <c r="A74" s="3"/>
      <c r="B74" s="4"/>
      <c r="C74" s="5">
        <v>3.3530000000000002</v>
      </c>
      <c r="D74" s="6">
        <f t="shared" si="0"/>
        <v>0</v>
      </c>
      <c r="E74" s="7">
        <f t="shared" si="1"/>
        <v>3.3530000000000002</v>
      </c>
      <c r="F74" s="8">
        <f t="shared" si="2"/>
        <v>3.3530000000000002</v>
      </c>
      <c r="G74" s="5"/>
      <c r="H74" s="5"/>
      <c r="I74" s="5"/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5.5149999999999997</v>
      </c>
      <c r="C76" s="11"/>
      <c r="D76" s="16">
        <f>SUM(D2:D75)</f>
        <v>14644.541036026305</v>
      </c>
      <c r="E76" s="15">
        <f>SUM(E1:E74)</f>
        <v>14849</v>
      </c>
      <c r="F76" s="11"/>
      <c r="G76" s="17">
        <f t="shared" ref="G76:I76" si="3">AVERAGE(G1:G74)</f>
        <v>29.753055555555566</v>
      </c>
      <c r="H76" s="17">
        <f t="shared" si="3"/>
        <v>2.6836527777777781</v>
      </c>
      <c r="I76" s="17">
        <f t="shared" si="3"/>
        <v>44.607361111111111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3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4" t="s">
        <v>452</v>
      </c>
      <c r="B2" s="34">
        <v>0</v>
      </c>
      <c r="C2" s="34">
        <v>14127.35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34">
        <v>19.690000000000001</v>
      </c>
      <c r="H2" s="34">
        <v>3.778</v>
      </c>
      <c r="I2" s="34">
        <v>22.1</v>
      </c>
    </row>
    <row r="3" spans="1:26" ht="15.75" customHeight="1">
      <c r="A3" s="34" t="s">
        <v>453</v>
      </c>
      <c r="B3" s="34">
        <v>0</v>
      </c>
      <c r="C3" s="34">
        <v>14127.35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34">
        <v>20.13</v>
      </c>
      <c r="H3" s="34">
        <v>0.88900000000000001</v>
      </c>
      <c r="I3" s="34">
        <v>25.54</v>
      </c>
    </row>
    <row r="4" spans="1:26" ht="15.75" customHeight="1">
      <c r="A4" s="34" t="s">
        <v>454</v>
      </c>
      <c r="B4" s="34">
        <v>0</v>
      </c>
      <c r="C4" s="34">
        <v>14127.35</v>
      </c>
      <c r="D4" s="6">
        <f t="shared" si="0"/>
        <v>0</v>
      </c>
      <c r="E4" s="7">
        <f t="shared" si="1"/>
        <v>0</v>
      </c>
      <c r="F4" s="8">
        <f t="shared" si="2"/>
        <v>0</v>
      </c>
      <c r="G4" s="34">
        <v>20.190000000000001</v>
      </c>
      <c r="H4" s="34">
        <v>1</v>
      </c>
      <c r="I4" s="34">
        <v>26.4</v>
      </c>
    </row>
    <row r="5" spans="1:26" ht="15.75" customHeight="1">
      <c r="A5" s="34" t="s">
        <v>455</v>
      </c>
      <c r="B5" s="34">
        <v>1</v>
      </c>
      <c r="C5" s="34">
        <v>14127.35</v>
      </c>
      <c r="D5" s="6">
        <f t="shared" si="0"/>
        <v>0.47697806953315913</v>
      </c>
      <c r="E5" s="7">
        <f t="shared" si="1"/>
        <v>1</v>
      </c>
      <c r="F5" s="8">
        <f t="shared" si="2"/>
        <v>0.52302193046684087</v>
      </c>
      <c r="G5" s="34">
        <v>20.25</v>
      </c>
      <c r="H5" s="34">
        <v>5</v>
      </c>
      <c r="I5" s="34">
        <v>26.98</v>
      </c>
    </row>
    <row r="6" spans="1:26" ht="15.75" customHeight="1">
      <c r="A6" s="34" t="s">
        <v>456</v>
      </c>
      <c r="B6" s="34">
        <v>4</v>
      </c>
      <c r="C6" s="34">
        <v>14126.35</v>
      </c>
      <c r="D6" s="6">
        <f t="shared" si="0"/>
        <v>1.9060294762832501</v>
      </c>
      <c r="E6" s="7">
        <f t="shared" si="1"/>
        <v>2</v>
      </c>
      <c r="F6" s="8">
        <f t="shared" si="2"/>
        <v>9.3970523716749854E-2</v>
      </c>
      <c r="G6" s="34">
        <v>20.5</v>
      </c>
      <c r="H6" s="34">
        <v>4</v>
      </c>
      <c r="I6" s="34">
        <v>27.26</v>
      </c>
    </row>
    <row r="7" spans="1:26" ht="15.75" customHeight="1">
      <c r="A7" s="34" t="s">
        <v>457</v>
      </c>
      <c r="B7" s="34">
        <v>6</v>
      </c>
      <c r="C7" s="34">
        <v>14124.35</v>
      </c>
      <c r="D7" s="6">
        <f t="shared" si="0"/>
        <v>2.847444810174192</v>
      </c>
      <c r="E7" s="7">
        <f t="shared" si="1"/>
        <v>3.3500000000003638</v>
      </c>
      <c r="F7" s="8">
        <f t="shared" si="2"/>
        <v>0.50255518982617176</v>
      </c>
      <c r="G7" s="34">
        <v>20.94</v>
      </c>
      <c r="H7" s="34">
        <v>4.8890000000000002</v>
      </c>
      <c r="I7" s="34">
        <v>28.41</v>
      </c>
    </row>
    <row r="8" spans="1:26" ht="15.75" customHeight="1">
      <c r="A8" s="34" t="s">
        <v>458</v>
      </c>
      <c r="B8" s="34">
        <v>10</v>
      </c>
      <c r="C8" s="34">
        <v>14121</v>
      </c>
      <c r="D8" s="6">
        <f t="shared" si="0"/>
        <v>4.7119517813861567</v>
      </c>
      <c r="E8" s="7">
        <f t="shared" si="1"/>
        <v>6</v>
      </c>
      <c r="F8" s="8">
        <f t="shared" si="2"/>
        <v>1.2880482186138433</v>
      </c>
      <c r="G8" s="34">
        <v>21.31</v>
      </c>
      <c r="H8" s="34">
        <v>4.1109999999999998</v>
      </c>
      <c r="I8" s="34">
        <v>30.42</v>
      </c>
    </row>
    <row r="9" spans="1:26" ht="15.75" customHeight="1">
      <c r="A9" s="34" t="s">
        <v>459</v>
      </c>
      <c r="B9" s="34">
        <v>20</v>
      </c>
      <c r="C9" s="34">
        <v>14115</v>
      </c>
      <c r="D9" s="6">
        <f t="shared" si="0"/>
        <v>9.4044031150465273</v>
      </c>
      <c r="E9" s="7">
        <f t="shared" si="1"/>
        <v>18</v>
      </c>
      <c r="F9" s="8">
        <f t="shared" si="2"/>
        <v>8.5955968849534727</v>
      </c>
      <c r="G9" s="34">
        <v>21.75</v>
      </c>
      <c r="H9" s="34">
        <v>7.2220000000000004</v>
      </c>
      <c r="I9" s="34">
        <v>31</v>
      </c>
    </row>
    <row r="10" spans="1:26" ht="15.75" customHeight="1">
      <c r="A10" s="34" t="s">
        <v>460</v>
      </c>
      <c r="B10" s="34">
        <v>55</v>
      </c>
      <c r="C10" s="34">
        <v>14097</v>
      </c>
      <c r="D10" s="6">
        <f t="shared" si="0"/>
        <v>25.729892168650959</v>
      </c>
      <c r="E10" s="7">
        <f t="shared" si="1"/>
        <v>30</v>
      </c>
      <c r="F10" s="8">
        <f t="shared" si="2"/>
        <v>4.2701078313490406</v>
      </c>
      <c r="G10" s="34">
        <v>21.88</v>
      </c>
      <c r="H10" s="34">
        <v>3.556</v>
      </c>
      <c r="I10" s="34">
        <v>32.43</v>
      </c>
    </row>
    <row r="11" spans="1:26" ht="15.75" customHeight="1">
      <c r="A11" s="34" t="s">
        <v>461</v>
      </c>
      <c r="B11" s="34">
        <v>67</v>
      </c>
      <c r="C11" s="34">
        <v>14067</v>
      </c>
      <c r="D11" s="6">
        <f t="shared" si="0"/>
        <v>31.279486642711451</v>
      </c>
      <c r="E11" s="7">
        <f t="shared" si="1"/>
        <v>34</v>
      </c>
      <c r="F11" s="8">
        <f t="shared" si="2"/>
        <v>2.7205133572885494</v>
      </c>
      <c r="G11" s="34">
        <v>21.69</v>
      </c>
      <c r="H11" s="34">
        <v>5.8890000000000002</v>
      </c>
      <c r="I11" s="34">
        <v>33</v>
      </c>
    </row>
    <row r="12" spans="1:26" ht="15.75" customHeight="1">
      <c r="A12" s="34" t="s">
        <v>462</v>
      </c>
      <c r="B12" s="34">
        <v>75</v>
      </c>
      <c r="C12" s="34">
        <v>14033</v>
      </c>
      <c r="D12" s="6">
        <f t="shared" si="0"/>
        <v>35.049653254129097</v>
      </c>
      <c r="E12" s="7">
        <f t="shared" si="1"/>
        <v>38.649999999999636</v>
      </c>
      <c r="F12" s="8">
        <f t="shared" si="2"/>
        <v>3.6003467458705387</v>
      </c>
      <c r="G12" s="34">
        <v>21.69</v>
      </c>
      <c r="H12" s="34">
        <v>4.2220000000000004</v>
      </c>
      <c r="I12" s="34">
        <v>32.72</v>
      </c>
    </row>
    <row r="13" spans="1:26" ht="15.75" customHeight="1">
      <c r="A13" s="34" t="s">
        <v>463</v>
      </c>
      <c r="B13" s="34">
        <v>71</v>
      </c>
      <c r="C13" s="34">
        <v>13994.35</v>
      </c>
      <c r="D13" s="6">
        <f t="shared" si="0"/>
        <v>33.282984736162021</v>
      </c>
      <c r="E13" s="7">
        <f t="shared" si="1"/>
        <v>25</v>
      </c>
      <c r="F13" s="8">
        <f t="shared" si="2"/>
        <v>-8.282984736162021</v>
      </c>
      <c r="G13" s="34">
        <v>21.5</v>
      </c>
      <c r="H13" s="34">
        <v>4.1109999999999998</v>
      </c>
      <c r="I13" s="34">
        <v>31.86</v>
      </c>
    </row>
    <row r="14" spans="1:26" ht="15.75" customHeight="1">
      <c r="A14" s="34" t="s">
        <v>464</v>
      </c>
      <c r="B14" s="34">
        <v>35</v>
      </c>
      <c r="C14" s="34">
        <v>13969.35</v>
      </c>
      <c r="D14" s="6">
        <f t="shared" si="0"/>
        <v>16.37356774368698</v>
      </c>
      <c r="E14" s="7">
        <f t="shared" si="1"/>
        <v>19.350000000000364</v>
      </c>
      <c r="F14" s="8">
        <f t="shared" si="2"/>
        <v>2.9764322563133838</v>
      </c>
      <c r="G14" s="34">
        <v>21.63</v>
      </c>
      <c r="H14" s="34">
        <v>7.6669999999999998</v>
      </c>
      <c r="I14" s="34">
        <v>32.43</v>
      </c>
    </row>
    <row r="15" spans="1:26" ht="15.75" customHeight="1">
      <c r="A15" s="34" t="s">
        <v>465</v>
      </c>
      <c r="B15" s="34">
        <v>47</v>
      </c>
      <c r="C15" s="34">
        <v>13950</v>
      </c>
      <c r="D15" s="6">
        <f t="shared" si="0"/>
        <v>21.94232645085728</v>
      </c>
      <c r="E15" s="7">
        <f t="shared" si="1"/>
        <v>23</v>
      </c>
      <c r="F15" s="8">
        <f t="shared" si="2"/>
        <v>1.05767354914272</v>
      </c>
      <c r="G15" s="34">
        <v>22.19</v>
      </c>
      <c r="H15" s="34">
        <v>4.7779999999999996</v>
      </c>
      <c r="I15" s="34">
        <v>33</v>
      </c>
    </row>
    <row r="16" spans="1:26" ht="15.75" customHeight="1">
      <c r="A16" s="34" t="s">
        <v>466</v>
      </c>
      <c r="B16" s="34">
        <v>37</v>
      </c>
      <c r="C16" s="34">
        <v>13927</v>
      </c>
      <c r="D16" s="6">
        <f t="shared" si="0"/>
        <v>17.309200186183375</v>
      </c>
      <c r="E16" s="7">
        <f t="shared" si="1"/>
        <v>31</v>
      </c>
      <c r="F16" s="8">
        <f t="shared" si="2"/>
        <v>13.690799813816625</v>
      </c>
      <c r="G16" s="34">
        <v>23.25</v>
      </c>
      <c r="H16" s="34">
        <v>7.3330000000000002</v>
      </c>
      <c r="I16" s="34">
        <v>32.43</v>
      </c>
    </row>
    <row r="17" spans="1:9" ht="15.75" customHeight="1">
      <c r="A17" s="34" t="s">
        <v>467</v>
      </c>
      <c r="B17" s="34">
        <v>65</v>
      </c>
      <c r="C17" s="34">
        <v>13896</v>
      </c>
      <c r="D17" s="6">
        <f t="shared" si="0"/>
        <v>30.470338138739884</v>
      </c>
      <c r="E17" s="7">
        <f t="shared" si="1"/>
        <v>27</v>
      </c>
      <c r="F17" s="8">
        <f t="shared" si="2"/>
        <v>-3.4703381387398835</v>
      </c>
      <c r="G17" s="34">
        <v>23.06</v>
      </c>
      <c r="H17" s="34">
        <v>3.778</v>
      </c>
      <c r="I17" s="34">
        <v>31.86</v>
      </c>
    </row>
    <row r="18" spans="1:9" ht="15.75" customHeight="1">
      <c r="A18" s="34" t="s">
        <v>468</v>
      </c>
      <c r="B18" s="34">
        <v>44</v>
      </c>
      <c r="C18" s="34">
        <v>13869</v>
      </c>
      <c r="D18" s="6">
        <f t="shared" si="0"/>
        <v>20.222953723224148</v>
      </c>
      <c r="E18" s="7">
        <f t="shared" si="1"/>
        <v>27</v>
      </c>
      <c r="F18" s="8">
        <f t="shared" si="2"/>
        <v>6.7770462767758524</v>
      </c>
      <c r="G18" s="34">
        <v>24</v>
      </c>
      <c r="H18" s="34">
        <v>7.2220000000000004</v>
      </c>
      <c r="I18" s="34">
        <v>37.31</v>
      </c>
    </row>
    <row r="19" spans="1:9" ht="15.75" customHeight="1">
      <c r="A19" s="34" t="s">
        <v>469</v>
      </c>
      <c r="B19" s="34">
        <v>74</v>
      </c>
      <c r="C19" s="34">
        <v>13842</v>
      </c>
      <c r="D19" s="6">
        <f t="shared" si="0"/>
        <v>33.904347770987023</v>
      </c>
      <c r="E19" s="7">
        <f t="shared" si="1"/>
        <v>43.649999999999636</v>
      </c>
      <c r="F19" s="8">
        <f t="shared" si="2"/>
        <v>9.7456522290126131</v>
      </c>
      <c r="G19" s="34">
        <v>24.06</v>
      </c>
      <c r="H19" s="34">
        <v>4.3330000000000002</v>
      </c>
      <c r="I19" s="34">
        <v>38.17</v>
      </c>
    </row>
    <row r="20" spans="1:9" ht="15.75" customHeight="1">
      <c r="A20" s="34" t="s">
        <v>470</v>
      </c>
      <c r="B20" s="34">
        <v>101</v>
      </c>
      <c r="C20" s="34">
        <v>13798.35</v>
      </c>
      <c r="D20" s="6">
        <f t="shared" si="0"/>
        <v>46.225614408271973</v>
      </c>
      <c r="E20" s="7">
        <f t="shared" si="1"/>
        <v>46</v>
      </c>
      <c r="F20" s="8">
        <f t="shared" si="2"/>
        <v>-0.22561440827197288</v>
      </c>
      <c r="G20" s="34">
        <v>24.06</v>
      </c>
      <c r="H20" s="34">
        <v>5.6669999999999998</v>
      </c>
      <c r="I20" s="34">
        <v>38.46</v>
      </c>
    </row>
    <row r="21" spans="1:9" ht="15.75" customHeight="1">
      <c r="A21" s="34" t="s">
        <v>471</v>
      </c>
      <c r="B21" s="34">
        <v>94</v>
      </c>
      <c r="C21" s="34">
        <v>13752.35</v>
      </c>
      <c r="D21" s="6">
        <f t="shared" si="0"/>
        <v>42.704237006534186</v>
      </c>
      <c r="E21" s="7">
        <f t="shared" si="1"/>
        <v>48.350000000000364</v>
      </c>
      <c r="F21" s="8">
        <f t="shared" si="2"/>
        <v>5.6457629934661782</v>
      </c>
      <c r="G21" s="34">
        <v>24.31</v>
      </c>
      <c r="H21" s="34">
        <v>4.1109999999999998</v>
      </c>
      <c r="I21" s="34">
        <v>40.47</v>
      </c>
    </row>
    <row r="22" spans="1:9" ht="15.75" customHeight="1">
      <c r="A22" s="34" t="s">
        <v>472</v>
      </c>
      <c r="B22" s="34">
        <v>86</v>
      </c>
      <c r="C22" s="34">
        <v>13704</v>
      </c>
      <c r="D22" s="6">
        <f t="shared" si="0"/>
        <v>38.821169527076549</v>
      </c>
      <c r="E22" s="7">
        <f t="shared" si="1"/>
        <v>58</v>
      </c>
      <c r="F22" s="8">
        <f t="shared" si="2"/>
        <v>19.178830472923451</v>
      </c>
      <c r="G22" s="34">
        <v>24.5</v>
      </c>
      <c r="H22" s="34">
        <v>5</v>
      </c>
      <c r="I22" s="34">
        <v>42.19</v>
      </c>
    </row>
    <row r="23" spans="1:9" ht="15.75" customHeight="1">
      <c r="A23" s="34" t="s">
        <v>473</v>
      </c>
      <c r="B23" s="34">
        <v>159</v>
      </c>
      <c r="C23" s="34">
        <v>13646</v>
      </c>
      <c r="D23" s="6">
        <f t="shared" si="0"/>
        <v>71.161927211203391</v>
      </c>
      <c r="E23" s="7">
        <f t="shared" si="1"/>
        <v>84</v>
      </c>
      <c r="F23" s="8">
        <f t="shared" si="2"/>
        <v>12.838072788796609</v>
      </c>
      <c r="G23" s="34">
        <v>24.63</v>
      </c>
      <c r="H23" s="34">
        <v>3.222</v>
      </c>
      <c r="I23" s="34">
        <v>44.48</v>
      </c>
    </row>
    <row r="24" spans="1:9" ht="15.75" customHeight="1">
      <c r="A24" s="34" t="s">
        <v>474</v>
      </c>
      <c r="B24" s="34">
        <v>179</v>
      </c>
      <c r="C24" s="34">
        <v>13562</v>
      </c>
      <c r="D24" s="6">
        <f t="shared" si="0"/>
        <v>79.421015236975919</v>
      </c>
      <c r="E24" s="7">
        <f t="shared" si="1"/>
        <v>105.64999999999964</v>
      </c>
      <c r="F24" s="8">
        <f t="shared" si="2"/>
        <v>26.228984763023718</v>
      </c>
      <c r="G24" s="34">
        <v>24.75</v>
      </c>
      <c r="H24" s="34">
        <v>3.6669999999999998</v>
      </c>
      <c r="I24" s="34">
        <v>46.78</v>
      </c>
    </row>
    <row r="25" spans="1:9" ht="15.75" customHeight="1">
      <c r="A25" s="34" t="s">
        <v>475</v>
      </c>
      <c r="B25" s="34">
        <v>284</v>
      </c>
      <c r="C25" s="34">
        <v>13456.35</v>
      </c>
      <c r="D25" s="6">
        <f t="shared" si="0"/>
        <v>125.73662949487495</v>
      </c>
      <c r="E25" s="7">
        <f t="shared" si="1"/>
        <v>186.35000000000036</v>
      </c>
      <c r="F25" s="8">
        <f t="shared" si="2"/>
        <v>60.613370505125417</v>
      </c>
      <c r="G25" s="34">
        <v>25</v>
      </c>
      <c r="H25" s="34">
        <v>4</v>
      </c>
      <c r="I25" s="34">
        <v>47.35</v>
      </c>
    </row>
    <row r="26" spans="1:9" ht="15.75" customHeight="1">
      <c r="A26" s="34" t="s">
        <v>476</v>
      </c>
      <c r="B26" s="34">
        <v>361</v>
      </c>
      <c r="C26" s="34">
        <v>13270</v>
      </c>
      <c r="D26" s="6">
        <f t="shared" si="0"/>
        <v>159.65120299325318</v>
      </c>
      <c r="E26" s="7">
        <f t="shared" si="1"/>
        <v>178</v>
      </c>
      <c r="F26" s="8">
        <f t="shared" si="2"/>
        <v>18.348797006746821</v>
      </c>
      <c r="G26" s="34">
        <v>24.88</v>
      </c>
      <c r="H26" s="34">
        <v>4.6669999999999998</v>
      </c>
      <c r="I26" s="34">
        <v>47.64</v>
      </c>
    </row>
    <row r="27" spans="1:9" ht="15.75" customHeight="1">
      <c r="A27" s="34" t="s">
        <v>477</v>
      </c>
      <c r="B27" s="34">
        <v>329</v>
      </c>
      <c r="C27" s="34">
        <v>13092</v>
      </c>
      <c r="D27" s="6">
        <f t="shared" si="0"/>
        <v>145.65968698526004</v>
      </c>
      <c r="E27" s="7">
        <f t="shared" si="1"/>
        <v>152</v>
      </c>
      <c r="F27" s="8">
        <f t="shared" si="2"/>
        <v>6.3403130147399622</v>
      </c>
      <c r="G27" s="34">
        <v>25.06</v>
      </c>
      <c r="H27" s="34">
        <v>3.556</v>
      </c>
      <c r="I27" s="34">
        <v>47.35</v>
      </c>
    </row>
    <row r="28" spans="1:9" ht="15.75" customHeight="1">
      <c r="A28" s="34" t="s">
        <v>478</v>
      </c>
      <c r="B28" s="34">
        <v>370</v>
      </c>
      <c r="C28" s="34">
        <v>12940</v>
      </c>
      <c r="D28" s="6">
        <f t="shared" si="0"/>
        <v>163.63142689059188</v>
      </c>
      <c r="E28" s="7">
        <f t="shared" si="1"/>
        <v>205.64999999999964</v>
      </c>
      <c r="F28" s="8">
        <f t="shared" si="2"/>
        <v>42.018573109407754</v>
      </c>
      <c r="G28" s="34">
        <v>24.63</v>
      </c>
      <c r="H28" s="34">
        <v>3</v>
      </c>
      <c r="I28" s="34">
        <v>47.64</v>
      </c>
    </row>
    <row r="29" spans="1:9" ht="15.75" customHeight="1">
      <c r="A29" s="34" t="s">
        <v>479</v>
      </c>
      <c r="B29" s="34">
        <v>523</v>
      </c>
      <c r="C29" s="34">
        <v>12734.35</v>
      </c>
      <c r="D29" s="6">
        <f t="shared" si="0"/>
        <v>230.78529643732085</v>
      </c>
      <c r="E29" s="7">
        <f t="shared" si="1"/>
        <v>312.35000000000036</v>
      </c>
      <c r="F29" s="8">
        <f t="shared" si="2"/>
        <v>81.564703562679512</v>
      </c>
      <c r="G29" s="34">
        <v>24.81</v>
      </c>
      <c r="H29" s="34">
        <v>4.6669999999999998</v>
      </c>
      <c r="I29" s="34">
        <v>48.22</v>
      </c>
    </row>
    <row r="30" spans="1:9" ht="15.75" customHeight="1">
      <c r="A30" s="34" t="s">
        <v>480</v>
      </c>
      <c r="B30" s="34">
        <v>902</v>
      </c>
      <c r="C30" s="34">
        <v>12422</v>
      </c>
      <c r="D30" s="6">
        <f t="shared" si="0"/>
        <v>397.60284192381118</v>
      </c>
      <c r="E30" s="7">
        <f t="shared" si="1"/>
        <v>324.64999999999964</v>
      </c>
      <c r="F30" s="8">
        <f t="shared" si="2"/>
        <v>-72.952841923811548</v>
      </c>
      <c r="G30" s="34">
        <v>24.81</v>
      </c>
      <c r="H30" s="34">
        <v>1.889</v>
      </c>
      <c r="I30" s="34">
        <v>48.5</v>
      </c>
    </row>
    <row r="31" spans="1:9" ht="15.75" customHeight="1">
      <c r="A31" s="34" t="s">
        <v>481</v>
      </c>
      <c r="B31" s="34">
        <v>969</v>
      </c>
      <c r="C31" s="34">
        <v>12097.35</v>
      </c>
      <c r="D31" s="6">
        <f t="shared" si="0"/>
        <v>427.13653417314077</v>
      </c>
      <c r="E31" s="7">
        <f t="shared" si="1"/>
        <v>409.35000000000036</v>
      </c>
      <c r="F31" s="8">
        <f t="shared" si="2"/>
        <v>-17.78653417314041</v>
      </c>
      <c r="G31" s="34">
        <v>25.56</v>
      </c>
      <c r="H31" s="34">
        <v>3.556</v>
      </c>
      <c r="I31" s="34">
        <v>48.5</v>
      </c>
    </row>
    <row r="32" spans="1:9" ht="15.75" customHeight="1">
      <c r="A32" s="34" t="s">
        <v>482</v>
      </c>
      <c r="B32" s="34">
        <v>615</v>
      </c>
      <c r="C32" s="34">
        <v>11688</v>
      </c>
      <c r="D32" s="6">
        <f t="shared" si="0"/>
        <v>271.38232755057811</v>
      </c>
      <c r="E32" s="7">
        <f t="shared" si="1"/>
        <v>272.64999999999964</v>
      </c>
      <c r="F32" s="8">
        <f t="shared" si="2"/>
        <v>1.267672449421525</v>
      </c>
      <c r="G32" s="34">
        <v>25.31</v>
      </c>
      <c r="H32" s="34">
        <v>3.222</v>
      </c>
      <c r="I32" s="34">
        <v>48.22</v>
      </c>
    </row>
    <row r="33" spans="1:9" ht="15.75" customHeight="1">
      <c r="A33" s="34" t="s">
        <v>483</v>
      </c>
      <c r="B33" s="34">
        <v>532</v>
      </c>
      <c r="C33" s="34">
        <v>11415.35</v>
      </c>
      <c r="D33" s="6">
        <f t="shared" si="0"/>
        <v>234.50633248721459</v>
      </c>
      <c r="E33" s="7">
        <f t="shared" si="1"/>
        <v>330.35000000000036</v>
      </c>
      <c r="F33" s="8">
        <f t="shared" si="2"/>
        <v>95.843667512785771</v>
      </c>
      <c r="G33" s="34">
        <v>25.31</v>
      </c>
      <c r="H33" s="34">
        <v>1.444</v>
      </c>
      <c r="I33" s="34">
        <v>48.5</v>
      </c>
    </row>
    <row r="34" spans="1:9" ht="15.75" customHeight="1">
      <c r="A34" s="34" t="s">
        <v>484</v>
      </c>
      <c r="B34" s="34">
        <v>1001</v>
      </c>
      <c r="C34" s="34">
        <v>11085</v>
      </c>
      <c r="D34" s="6">
        <f t="shared" si="0"/>
        <v>441.24217823252212</v>
      </c>
      <c r="E34" s="7">
        <f t="shared" si="1"/>
        <v>444.64999999999964</v>
      </c>
      <c r="F34" s="8">
        <f t="shared" si="2"/>
        <v>3.4078217674775146</v>
      </c>
      <c r="G34" s="34">
        <v>25.06</v>
      </c>
      <c r="H34" s="34">
        <v>1.778</v>
      </c>
      <c r="I34" s="34">
        <v>48.5</v>
      </c>
    </row>
    <row r="35" spans="1:9" ht="15.75" customHeight="1">
      <c r="A35" s="34" t="s">
        <v>485</v>
      </c>
      <c r="B35" s="34">
        <v>1062</v>
      </c>
      <c r="C35" s="34">
        <v>10640.35</v>
      </c>
      <c r="D35" s="6">
        <f t="shared" si="0"/>
        <v>468.13106222071781</v>
      </c>
      <c r="E35" s="7">
        <f t="shared" si="1"/>
        <v>432.35000000000036</v>
      </c>
      <c r="F35" s="8">
        <f t="shared" si="2"/>
        <v>-35.781062220717445</v>
      </c>
      <c r="G35" s="34">
        <v>25.06</v>
      </c>
      <c r="H35" s="34">
        <v>2.1110000000000002</v>
      </c>
      <c r="I35" s="34">
        <v>48.5</v>
      </c>
    </row>
    <row r="36" spans="1:9" ht="15.75" customHeight="1">
      <c r="A36" s="34" t="s">
        <v>486</v>
      </c>
      <c r="B36" s="34">
        <v>1013</v>
      </c>
      <c r="C36" s="34">
        <v>10208</v>
      </c>
      <c r="D36" s="6">
        <f t="shared" si="0"/>
        <v>446.03794591613462</v>
      </c>
      <c r="E36" s="7">
        <f t="shared" si="1"/>
        <v>430</v>
      </c>
      <c r="F36" s="8">
        <f t="shared" si="2"/>
        <v>-16.037945916134618</v>
      </c>
      <c r="G36" s="34">
        <v>24.56</v>
      </c>
      <c r="H36" s="34">
        <v>1.333</v>
      </c>
      <c r="I36" s="34">
        <v>48.79</v>
      </c>
    </row>
    <row r="37" spans="1:9" ht="15.75" customHeight="1">
      <c r="A37" s="34" t="s">
        <v>487</v>
      </c>
      <c r="B37" s="34">
        <v>1024</v>
      </c>
      <c r="C37" s="34">
        <v>9778</v>
      </c>
      <c r="D37" s="6">
        <f t="shared" si="0"/>
        <v>450.88139843842237</v>
      </c>
      <c r="E37" s="7">
        <f t="shared" si="1"/>
        <v>435</v>
      </c>
      <c r="F37" s="8">
        <f t="shared" si="2"/>
        <v>-15.881398438422366</v>
      </c>
      <c r="G37" s="34">
        <v>24.31</v>
      </c>
      <c r="H37" s="34">
        <v>0.55600000000000005</v>
      </c>
      <c r="I37" s="34">
        <v>48.79</v>
      </c>
    </row>
    <row r="38" spans="1:9" ht="15.75" customHeight="1">
      <c r="A38" s="34" t="s">
        <v>488</v>
      </c>
      <c r="B38" s="34">
        <v>1072</v>
      </c>
      <c r="C38" s="34">
        <v>9343</v>
      </c>
      <c r="D38" s="6">
        <f t="shared" si="0"/>
        <v>472.01646399022354</v>
      </c>
      <c r="E38" s="7">
        <f t="shared" si="1"/>
        <v>452</v>
      </c>
      <c r="F38" s="8">
        <f t="shared" si="2"/>
        <v>-20.016463990223542</v>
      </c>
      <c r="G38" s="34">
        <v>24.06</v>
      </c>
      <c r="H38" s="34">
        <v>0.55600000000000005</v>
      </c>
      <c r="I38" s="34">
        <v>48.79</v>
      </c>
    </row>
    <row r="39" spans="1:9" ht="15.75" customHeight="1">
      <c r="A39" s="34" t="s">
        <v>489</v>
      </c>
      <c r="B39" s="34">
        <v>1062</v>
      </c>
      <c r="C39" s="34">
        <v>8891</v>
      </c>
      <c r="D39" s="6">
        <f t="shared" si="0"/>
        <v>467.6133253335982</v>
      </c>
      <c r="E39" s="7">
        <f t="shared" si="1"/>
        <v>415</v>
      </c>
      <c r="F39" s="8">
        <f t="shared" si="2"/>
        <v>-52.613325333598198</v>
      </c>
      <c r="G39" s="34">
        <v>23.75</v>
      </c>
      <c r="H39" s="34">
        <v>1.111</v>
      </c>
      <c r="I39" s="34">
        <v>48.79</v>
      </c>
    </row>
    <row r="40" spans="1:9" ht="15.75" customHeight="1">
      <c r="A40" s="34" t="s">
        <v>490</v>
      </c>
      <c r="B40" s="34">
        <v>930</v>
      </c>
      <c r="C40" s="34">
        <v>8476</v>
      </c>
      <c r="D40" s="6">
        <f t="shared" si="0"/>
        <v>409.03850965652077</v>
      </c>
      <c r="E40" s="7">
        <f t="shared" si="1"/>
        <v>381</v>
      </c>
      <c r="F40" s="8">
        <f t="shared" si="2"/>
        <v>-28.038509656520773</v>
      </c>
      <c r="G40" s="34">
        <v>23.5</v>
      </c>
      <c r="H40" s="34">
        <v>0.55600000000000005</v>
      </c>
      <c r="I40" s="34">
        <v>49.08</v>
      </c>
    </row>
    <row r="41" spans="1:9" ht="15.75" customHeight="1">
      <c r="A41" s="34" t="s">
        <v>491</v>
      </c>
      <c r="B41" s="34">
        <v>921</v>
      </c>
      <c r="C41" s="34">
        <v>8095</v>
      </c>
      <c r="D41" s="6">
        <f t="shared" si="0"/>
        <v>405.52907027518268</v>
      </c>
      <c r="E41" s="7">
        <f t="shared" si="1"/>
        <v>407</v>
      </c>
      <c r="F41" s="8">
        <f t="shared" si="2"/>
        <v>1.4709297248173243</v>
      </c>
      <c r="G41" s="34">
        <v>23.19</v>
      </c>
      <c r="H41" s="34">
        <v>1.778</v>
      </c>
      <c r="I41" s="34">
        <v>48.79</v>
      </c>
    </row>
    <row r="42" spans="1:9" ht="15.75" customHeight="1">
      <c r="A42" s="34" t="s">
        <v>492</v>
      </c>
      <c r="B42" s="34">
        <v>978</v>
      </c>
      <c r="C42" s="34">
        <v>7688</v>
      </c>
      <c r="D42" s="6">
        <f t="shared" si="0"/>
        <v>429.68982961887599</v>
      </c>
      <c r="E42" s="7">
        <f t="shared" si="1"/>
        <v>437</v>
      </c>
      <c r="F42" s="8">
        <f t="shared" si="2"/>
        <v>7.31017038112401</v>
      </c>
      <c r="G42" s="34">
        <v>22.94</v>
      </c>
      <c r="H42" s="34">
        <v>0.55600000000000005</v>
      </c>
      <c r="I42" s="34">
        <v>49.36</v>
      </c>
    </row>
    <row r="43" spans="1:9" ht="15.75" customHeight="1">
      <c r="A43" s="34" t="s">
        <v>493</v>
      </c>
      <c r="B43" s="34">
        <v>1030</v>
      </c>
      <c r="C43" s="34">
        <v>7251</v>
      </c>
      <c r="D43" s="6">
        <f t="shared" si="0"/>
        <v>453.52328163239747</v>
      </c>
      <c r="E43" s="7">
        <f t="shared" si="1"/>
        <v>436</v>
      </c>
      <c r="F43" s="8">
        <f t="shared" si="2"/>
        <v>-17.52328163239747</v>
      </c>
      <c r="G43" s="34">
        <v>22.69</v>
      </c>
      <c r="H43" s="34">
        <v>0.77800000000000002</v>
      </c>
      <c r="I43" s="34">
        <v>48.79</v>
      </c>
    </row>
    <row r="44" spans="1:9" ht="15.75" customHeight="1">
      <c r="A44" s="34" t="s">
        <v>494</v>
      </c>
      <c r="B44" s="34">
        <v>1008</v>
      </c>
      <c r="C44" s="34">
        <v>6815</v>
      </c>
      <c r="D44" s="6">
        <f t="shared" si="0"/>
        <v>443.34496530513223</v>
      </c>
      <c r="E44" s="7">
        <f t="shared" si="1"/>
        <v>432</v>
      </c>
      <c r="F44" s="8">
        <f t="shared" si="2"/>
        <v>-11.344965305132234</v>
      </c>
      <c r="G44" s="34">
        <v>22.31</v>
      </c>
      <c r="H44" s="34">
        <v>1.778</v>
      </c>
      <c r="I44" s="34">
        <v>49.08</v>
      </c>
    </row>
    <row r="45" spans="1:9" ht="15.75" customHeight="1">
      <c r="A45" s="34" t="s">
        <v>495</v>
      </c>
      <c r="B45" s="34">
        <v>977</v>
      </c>
      <c r="C45" s="34">
        <v>6383</v>
      </c>
      <c r="D45" s="6">
        <f t="shared" si="0"/>
        <v>429.71034831658153</v>
      </c>
      <c r="E45" s="7">
        <f t="shared" si="1"/>
        <v>420</v>
      </c>
      <c r="F45" s="8">
        <f t="shared" si="2"/>
        <v>-9.7103483165815305</v>
      </c>
      <c r="G45" s="34">
        <v>21.94</v>
      </c>
      <c r="H45" s="34">
        <v>1.222</v>
      </c>
      <c r="I45" s="34">
        <v>49.08</v>
      </c>
    </row>
    <row r="46" spans="1:9" ht="15.75" customHeight="1">
      <c r="A46" s="34" t="s">
        <v>496</v>
      </c>
      <c r="B46" s="34">
        <v>974</v>
      </c>
      <c r="C46" s="34">
        <v>5963</v>
      </c>
      <c r="D46" s="6">
        <f t="shared" si="0"/>
        <v>428.86570515529633</v>
      </c>
      <c r="E46" s="7">
        <f t="shared" si="1"/>
        <v>413</v>
      </c>
      <c r="F46" s="8">
        <f t="shared" si="2"/>
        <v>-15.865705155296325</v>
      </c>
      <c r="G46" s="34">
        <v>21.63</v>
      </c>
      <c r="H46" s="34">
        <v>3</v>
      </c>
      <c r="I46" s="34">
        <v>48.79</v>
      </c>
    </row>
    <row r="47" spans="1:9" ht="15.75" customHeight="1">
      <c r="A47" s="34" t="s">
        <v>497</v>
      </c>
      <c r="B47" s="34">
        <v>893</v>
      </c>
      <c r="C47" s="34">
        <v>5550</v>
      </c>
      <c r="D47" s="6">
        <f t="shared" si="0"/>
        <v>393.20028203663196</v>
      </c>
      <c r="E47" s="7">
        <f t="shared" si="1"/>
        <v>417</v>
      </c>
      <c r="F47" s="8">
        <f t="shared" si="2"/>
        <v>23.799717963368039</v>
      </c>
      <c r="G47" s="34">
        <v>21.56</v>
      </c>
      <c r="H47" s="34">
        <v>1.222</v>
      </c>
      <c r="I47" s="34">
        <v>48.79</v>
      </c>
    </row>
    <row r="48" spans="1:9" ht="15.75" customHeight="1">
      <c r="A48" s="34" t="s">
        <v>498</v>
      </c>
      <c r="B48" s="34">
        <v>945</v>
      </c>
      <c r="C48" s="34">
        <v>5133</v>
      </c>
      <c r="D48" s="6">
        <f t="shared" si="0"/>
        <v>415.63590497356137</v>
      </c>
      <c r="E48" s="7">
        <f t="shared" si="1"/>
        <v>389.64699999999993</v>
      </c>
      <c r="F48" s="8">
        <f t="shared" si="2"/>
        <v>-25.988904973561432</v>
      </c>
      <c r="G48" s="34">
        <v>21.31</v>
      </c>
      <c r="H48" s="34">
        <v>2.222</v>
      </c>
      <c r="I48" s="34">
        <v>49.08</v>
      </c>
    </row>
    <row r="49" spans="1:9" ht="15.75" customHeight="1">
      <c r="A49" s="34" t="s">
        <v>499</v>
      </c>
      <c r="B49" s="34">
        <v>788</v>
      </c>
      <c r="C49" s="34">
        <v>4743.3530000000001</v>
      </c>
      <c r="D49" s="6">
        <f t="shared" si="0"/>
        <v>346.21225535754019</v>
      </c>
      <c r="E49" s="7">
        <f t="shared" si="1"/>
        <v>369.35300000000007</v>
      </c>
      <c r="F49" s="8">
        <f t="shared" si="2"/>
        <v>23.140744642459879</v>
      </c>
      <c r="G49" s="34">
        <v>20.69</v>
      </c>
      <c r="H49" s="34">
        <v>1.556</v>
      </c>
      <c r="I49" s="34">
        <v>49.36</v>
      </c>
    </row>
    <row r="50" spans="1:9" ht="15.75" customHeight="1">
      <c r="A50" s="34" t="s">
        <v>500</v>
      </c>
      <c r="B50" s="34">
        <v>871</v>
      </c>
      <c r="C50" s="34">
        <v>4374</v>
      </c>
      <c r="D50" s="6">
        <f t="shared" si="0"/>
        <v>383.51337699205658</v>
      </c>
      <c r="E50" s="7">
        <f t="shared" si="1"/>
        <v>372</v>
      </c>
      <c r="F50" s="8">
        <f t="shared" si="2"/>
        <v>-11.513376992056578</v>
      </c>
      <c r="G50" s="34">
        <v>20.440000000000001</v>
      </c>
      <c r="H50" s="34">
        <v>2.1110000000000002</v>
      </c>
      <c r="I50" s="34">
        <v>48.79</v>
      </c>
    </row>
    <row r="51" spans="1:9" ht="15.75" customHeight="1">
      <c r="A51" s="34" t="s">
        <v>501</v>
      </c>
      <c r="B51" s="34">
        <v>805</v>
      </c>
      <c r="C51" s="34">
        <v>4002</v>
      </c>
      <c r="D51" s="6">
        <f t="shared" si="0"/>
        <v>354.45266185833009</v>
      </c>
      <c r="E51" s="7">
        <f t="shared" si="1"/>
        <v>367</v>
      </c>
      <c r="F51" s="8">
        <f t="shared" si="2"/>
        <v>12.547338141669911</v>
      </c>
      <c r="G51" s="34">
        <v>20.38</v>
      </c>
      <c r="H51" s="34">
        <v>1.667</v>
      </c>
      <c r="I51" s="34">
        <v>48.79</v>
      </c>
    </row>
    <row r="52" spans="1:9" ht="15.75" customHeight="1">
      <c r="A52" s="34" t="s">
        <v>502</v>
      </c>
      <c r="B52" s="34">
        <v>843</v>
      </c>
      <c r="C52" s="34">
        <v>3635</v>
      </c>
      <c r="D52" s="6">
        <f t="shared" si="0"/>
        <v>370.3768163279268</v>
      </c>
      <c r="E52" s="7">
        <f t="shared" si="1"/>
        <v>355.64699999999993</v>
      </c>
      <c r="F52" s="8">
        <f t="shared" si="2"/>
        <v>-14.729816327926869</v>
      </c>
      <c r="G52" s="34">
        <v>19.940000000000001</v>
      </c>
      <c r="H52" s="34">
        <v>1.667</v>
      </c>
      <c r="I52" s="34">
        <v>49.36</v>
      </c>
    </row>
    <row r="53" spans="1:9" ht="15.75" customHeight="1">
      <c r="A53" s="34" t="s">
        <v>503</v>
      </c>
      <c r="B53" s="34">
        <v>757</v>
      </c>
      <c r="C53" s="34">
        <v>3279.3530000000001</v>
      </c>
      <c r="D53" s="6">
        <f t="shared" si="0"/>
        <v>333.31759630652897</v>
      </c>
      <c r="E53" s="7">
        <f t="shared" si="1"/>
        <v>339.35300000000007</v>
      </c>
      <c r="F53" s="8">
        <f t="shared" si="2"/>
        <v>6.0354036934710962</v>
      </c>
      <c r="G53" s="34">
        <v>19.690000000000001</v>
      </c>
      <c r="H53" s="34">
        <v>2.1110000000000002</v>
      </c>
      <c r="I53" s="34">
        <v>48.79</v>
      </c>
    </row>
    <row r="54" spans="1:9" ht="15.75" customHeight="1">
      <c r="A54" s="34" t="s">
        <v>504</v>
      </c>
      <c r="B54" s="34">
        <v>716</v>
      </c>
      <c r="C54" s="34">
        <v>2940</v>
      </c>
      <c r="D54" s="6">
        <f t="shared" si="0"/>
        <v>314.91566980007406</v>
      </c>
      <c r="E54" s="7">
        <f t="shared" si="1"/>
        <v>324</v>
      </c>
      <c r="F54" s="8">
        <f t="shared" si="2"/>
        <v>9.0843301999259438</v>
      </c>
      <c r="G54" s="34">
        <v>19.25</v>
      </c>
      <c r="H54" s="34">
        <v>2.8889999999999998</v>
      </c>
      <c r="I54" s="34">
        <v>49.08</v>
      </c>
    </row>
    <row r="55" spans="1:9" ht="15.75" customHeight="1">
      <c r="A55" s="34" t="s">
        <v>505</v>
      </c>
      <c r="B55" s="34">
        <v>730</v>
      </c>
      <c r="C55" s="34">
        <v>2616</v>
      </c>
      <c r="D55" s="6">
        <f t="shared" si="0"/>
        <v>321.07323876264536</v>
      </c>
      <c r="E55" s="7">
        <f t="shared" si="1"/>
        <v>326.64699999999993</v>
      </c>
      <c r="F55" s="8">
        <f t="shared" si="2"/>
        <v>5.5737612373545744</v>
      </c>
      <c r="G55" s="34">
        <v>19.37</v>
      </c>
      <c r="H55" s="34">
        <v>1.778</v>
      </c>
      <c r="I55" s="34">
        <v>49.08</v>
      </c>
    </row>
    <row r="56" spans="1:9" ht="15.75" customHeight="1">
      <c r="A56" s="34" t="s">
        <v>506</v>
      </c>
      <c r="B56" s="34">
        <v>683</v>
      </c>
      <c r="C56" s="34">
        <v>2289.3530000000001</v>
      </c>
      <c r="D56" s="6">
        <f t="shared" si="0"/>
        <v>303.37516794857459</v>
      </c>
      <c r="E56" s="7">
        <f t="shared" si="1"/>
        <v>268</v>
      </c>
      <c r="F56" s="8">
        <f t="shared" si="2"/>
        <v>-35.375167948574585</v>
      </c>
      <c r="G56" s="34">
        <v>19.440000000000001</v>
      </c>
      <c r="H56" s="34">
        <v>0.77800000000000002</v>
      </c>
      <c r="I56" s="34">
        <v>46.49</v>
      </c>
    </row>
    <row r="57" spans="1:9" ht="15.75" customHeight="1">
      <c r="A57" s="34" t="s">
        <v>507</v>
      </c>
      <c r="B57" s="34">
        <v>730</v>
      </c>
      <c r="C57" s="34">
        <v>2021.3530000000001</v>
      </c>
      <c r="D57" s="6">
        <f t="shared" si="0"/>
        <v>325.30702131414466</v>
      </c>
      <c r="E57" s="7">
        <f t="shared" si="1"/>
        <v>230</v>
      </c>
      <c r="F57" s="8">
        <f t="shared" si="2"/>
        <v>-95.307021314144663</v>
      </c>
      <c r="G57" s="34">
        <v>19.37</v>
      </c>
      <c r="H57" s="34">
        <v>1.889</v>
      </c>
      <c r="I57" s="34">
        <v>45.63</v>
      </c>
    </row>
    <row r="58" spans="1:9" ht="15.75" customHeight="1">
      <c r="A58" s="34" t="s">
        <v>508</v>
      </c>
      <c r="B58" s="34">
        <v>279</v>
      </c>
      <c r="C58" s="34">
        <v>1791.3530000000001</v>
      </c>
      <c r="D58" s="6">
        <f t="shared" si="0"/>
        <v>124.73302646469595</v>
      </c>
      <c r="E58" s="7">
        <f t="shared" si="1"/>
        <v>218.35300000000007</v>
      </c>
      <c r="F58" s="8">
        <f t="shared" si="2"/>
        <v>93.619973535304112</v>
      </c>
      <c r="G58" s="34">
        <v>19.059999999999999</v>
      </c>
      <c r="H58" s="34">
        <v>2.6669999999999998</v>
      </c>
      <c r="I58" s="34">
        <v>44.77</v>
      </c>
    </row>
    <row r="59" spans="1:9" ht="15.75" customHeight="1">
      <c r="A59" s="34" t="s">
        <v>509</v>
      </c>
      <c r="B59" s="34">
        <v>667</v>
      </c>
      <c r="C59" s="34">
        <v>1573</v>
      </c>
      <c r="D59" s="6">
        <f t="shared" si="0"/>
        <v>294.97881550276969</v>
      </c>
      <c r="E59" s="7">
        <f t="shared" si="1"/>
        <v>323</v>
      </c>
      <c r="F59" s="8">
        <f t="shared" si="2"/>
        <v>28.021184497230308</v>
      </c>
      <c r="G59" s="34">
        <v>18.809999999999999</v>
      </c>
      <c r="H59" s="34">
        <v>3.222</v>
      </c>
      <c r="I59" s="34">
        <v>47.64</v>
      </c>
    </row>
    <row r="60" spans="1:9" ht="15.75" customHeight="1">
      <c r="A60" s="34" t="s">
        <v>510</v>
      </c>
      <c r="B60" s="34">
        <v>544</v>
      </c>
      <c r="C60" s="34">
        <v>1250</v>
      </c>
      <c r="D60" s="6">
        <f t="shared" si="0"/>
        <v>243.99352124684285</v>
      </c>
      <c r="E60" s="7">
        <f t="shared" si="1"/>
        <v>173</v>
      </c>
      <c r="F60" s="8">
        <f t="shared" si="2"/>
        <v>-70.993521246842846</v>
      </c>
      <c r="G60" s="34">
        <v>18.38</v>
      </c>
      <c r="H60" s="34">
        <v>2.444</v>
      </c>
      <c r="I60" s="34">
        <v>43.91</v>
      </c>
    </row>
    <row r="61" spans="1:9" ht="15.75" customHeight="1">
      <c r="A61" s="34" t="s">
        <v>511</v>
      </c>
      <c r="B61" s="34">
        <v>337</v>
      </c>
      <c r="C61" s="34">
        <v>1077</v>
      </c>
      <c r="D61" s="6">
        <f t="shared" si="0"/>
        <v>149.03727260034992</v>
      </c>
      <c r="E61" s="7">
        <f t="shared" si="1"/>
        <v>265</v>
      </c>
      <c r="F61" s="8">
        <f t="shared" si="2"/>
        <v>115.96272739965008</v>
      </c>
      <c r="G61" s="34">
        <v>18.5</v>
      </c>
      <c r="H61" s="34">
        <v>0.55600000000000005</v>
      </c>
      <c r="I61" s="34">
        <v>47.64</v>
      </c>
    </row>
    <row r="62" spans="1:9" ht="15.75" customHeight="1">
      <c r="A62" s="34" t="s">
        <v>512</v>
      </c>
      <c r="B62" s="34">
        <v>500</v>
      </c>
      <c r="C62" s="34">
        <v>812</v>
      </c>
      <c r="D62" s="6">
        <f t="shared" si="0"/>
        <v>228.36056946072952</v>
      </c>
      <c r="E62" s="7">
        <f t="shared" si="1"/>
        <v>182</v>
      </c>
      <c r="F62" s="8">
        <f t="shared" si="2"/>
        <v>-46.360569460729522</v>
      </c>
      <c r="G62" s="34">
        <v>17.940000000000001</v>
      </c>
      <c r="H62" s="34">
        <v>0.55600000000000005</v>
      </c>
      <c r="I62" s="34">
        <v>39.03</v>
      </c>
    </row>
    <row r="63" spans="1:9" ht="15.75" customHeight="1">
      <c r="A63" s="34" t="s">
        <v>513</v>
      </c>
      <c r="B63" s="34">
        <v>179</v>
      </c>
      <c r="C63" s="34">
        <v>630</v>
      </c>
      <c r="D63" s="6">
        <f t="shared" si="0"/>
        <v>83.39305470994897</v>
      </c>
      <c r="E63" s="7">
        <f t="shared" si="1"/>
        <v>80.647000000000048</v>
      </c>
      <c r="F63" s="8">
        <f t="shared" si="2"/>
        <v>-2.7460547099489219</v>
      </c>
      <c r="G63" s="34">
        <v>17.63</v>
      </c>
      <c r="H63" s="34">
        <v>0.66700000000000004</v>
      </c>
      <c r="I63" s="34">
        <v>33.58</v>
      </c>
    </row>
    <row r="64" spans="1:9" ht="15.75" customHeight="1">
      <c r="A64" s="34" t="s">
        <v>514</v>
      </c>
      <c r="B64" s="34">
        <v>201</v>
      </c>
      <c r="C64" s="34">
        <v>549.35299999999995</v>
      </c>
      <c r="D64" s="6">
        <f t="shared" si="0"/>
        <v>93.253900386092312</v>
      </c>
      <c r="E64" s="7">
        <f t="shared" si="1"/>
        <v>142.35299999999995</v>
      </c>
      <c r="F64" s="8">
        <f t="shared" si="2"/>
        <v>49.09909961390764</v>
      </c>
      <c r="G64" s="34">
        <v>17.559999999999999</v>
      </c>
      <c r="H64" s="34">
        <v>2.3330000000000002</v>
      </c>
      <c r="I64" s="34">
        <v>34.729999999999997</v>
      </c>
    </row>
    <row r="65" spans="1:26" ht="15.75" customHeight="1">
      <c r="A65" s="34" t="s">
        <v>515</v>
      </c>
      <c r="B65" s="34">
        <v>383</v>
      </c>
      <c r="C65" s="34">
        <v>407</v>
      </c>
      <c r="D65" s="6">
        <f t="shared" si="0"/>
        <v>178.80661767400719</v>
      </c>
      <c r="E65" s="7">
        <f t="shared" si="1"/>
        <v>138.64699999999999</v>
      </c>
      <c r="F65" s="8">
        <f t="shared" si="2"/>
        <v>-40.159617674007194</v>
      </c>
      <c r="G65" s="34">
        <v>17.25</v>
      </c>
      <c r="H65" s="34">
        <v>2.6669999999999998</v>
      </c>
      <c r="I65" s="34">
        <v>33</v>
      </c>
    </row>
    <row r="66" spans="1:26" ht="15.75" customHeight="1">
      <c r="A66" s="34" t="s">
        <v>516</v>
      </c>
      <c r="B66" s="34">
        <v>306</v>
      </c>
      <c r="C66" s="34">
        <v>268.35300000000001</v>
      </c>
      <c r="D66" s="6">
        <f t="shared" si="0"/>
        <v>144.18572451041641</v>
      </c>
      <c r="E66" s="7">
        <f t="shared" si="1"/>
        <v>96.353000000000009</v>
      </c>
      <c r="F66" s="8">
        <f t="shared" si="2"/>
        <v>-47.832724510416398</v>
      </c>
      <c r="G66" s="34">
        <v>17</v>
      </c>
      <c r="H66" s="34">
        <v>3.556</v>
      </c>
      <c r="I66" s="34">
        <v>30.42</v>
      </c>
    </row>
    <row r="67" spans="1:26" ht="15.75" customHeight="1">
      <c r="A67" s="34" t="s">
        <v>517</v>
      </c>
      <c r="B67" s="34">
        <v>134</v>
      </c>
      <c r="C67" s="34">
        <v>172</v>
      </c>
      <c r="D67" s="6">
        <f t="shared" si="0"/>
        <v>63.52760759400892</v>
      </c>
      <c r="E67" s="7">
        <f t="shared" si="1"/>
        <v>74.647000000000006</v>
      </c>
      <c r="F67" s="8">
        <f t="shared" si="2"/>
        <v>11.119392405991086</v>
      </c>
      <c r="G67" s="34">
        <v>16.88</v>
      </c>
      <c r="H67" s="34">
        <v>4.3330000000000002</v>
      </c>
      <c r="I67" s="34">
        <v>28.7</v>
      </c>
    </row>
    <row r="68" spans="1:26" ht="15.75" customHeight="1">
      <c r="A68" s="34" t="s">
        <v>518</v>
      </c>
      <c r="B68" s="34">
        <v>113</v>
      </c>
      <c r="C68" s="34">
        <v>97.352999999999994</v>
      </c>
      <c r="D68" s="6">
        <f t="shared" si="0"/>
        <v>54.061888539142835</v>
      </c>
      <c r="E68" s="7">
        <f t="shared" si="1"/>
        <v>39.999999999999993</v>
      </c>
      <c r="F68" s="8">
        <f t="shared" si="2"/>
        <v>-14.061888539142842</v>
      </c>
      <c r="G68" s="34">
        <v>16.559999999999999</v>
      </c>
      <c r="H68" s="34">
        <v>4</v>
      </c>
      <c r="I68" s="34">
        <v>26.12</v>
      </c>
    </row>
    <row r="69" spans="1:26" ht="15.75" customHeight="1">
      <c r="A69" s="34" t="s">
        <v>519</v>
      </c>
      <c r="B69" s="34">
        <v>70</v>
      </c>
      <c r="C69" s="34">
        <v>57.353000000000002</v>
      </c>
      <c r="D69" s="6">
        <f t="shared" si="0"/>
        <v>33.693243416690542</v>
      </c>
      <c r="E69" s="7">
        <f t="shared" si="1"/>
        <v>24.353000000000002</v>
      </c>
      <c r="F69" s="8">
        <f t="shared" si="2"/>
        <v>-9.3402434166905408</v>
      </c>
      <c r="G69" s="34">
        <v>16.5</v>
      </c>
      <c r="H69" s="34">
        <v>3.222</v>
      </c>
      <c r="I69" s="34">
        <v>24.39</v>
      </c>
    </row>
    <row r="70" spans="1:26" ht="15.75" customHeight="1">
      <c r="A70" s="34" t="s">
        <v>520</v>
      </c>
      <c r="B70" s="34">
        <v>46</v>
      </c>
      <c r="C70" s="34">
        <v>33</v>
      </c>
      <c r="D70" s="6">
        <f t="shared" si="0"/>
        <v>22.185351981406374</v>
      </c>
      <c r="E70" s="7">
        <f t="shared" si="1"/>
        <v>16</v>
      </c>
      <c r="F70" s="8">
        <f t="shared" si="2"/>
        <v>-6.1853519814063738</v>
      </c>
      <c r="G70" s="34">
        <v>16.63</v>
      </c>
      <c r="H70" s="34">
        <v>2.778</v>
      </c>
      <c r="I70" s="34">
        <v>23.82</v>
      </c>
    </row>
    <row r="71" spans="1:26" ht="15.75" customHeight="1">
      <c r="A71" s="34" t="s">
        <v>521</v>
      </c>
      <c r="B71" s="34">
        <v>33</v>
      </c>
      <c r="C71" s="34">
        <v>17</v>
      </c>
      <c r="D71" s="6">
        <f t="shared" si="0"/>
        <v>15.931666464730519</v>
      </c>
      <c r="E71" s="7">
        <f t="shared" si="1"/>
        <v>11</v>
      </c>
      <c r="F71" s="8">
        <f t="shared" si="2"/>
        <v>-4.9316664647305188</v>
      </c>
      <c r="G71" s="34">
        <v>16.690000000000001</v>
      </c>
      <c r="H71" s="34">
        <v>1.333</v>
      </c>
      <c r="I71" s="34">
        <v>23.53</v>
      </c>
    </row>
    <row r="72" spans="1:26" ht="15.75" customHeight="1">
      <c r="A72" s="34" t="s">
        <v>522</v>
      </c>
      <c r="B72" s="34">
        <v>21</v>
      </c>
      <c r="C72" s="34">
        <v>6</v>
      </c>
      <c r="D72" s="6">
        <f t="shared" si="0"/>
        <v>10.138333204828513</v>
      </c>
      <c r="E72" s="7">
        <f t="shared" si="1"/>
        <v>6</v>
      </c>
      <c r="F72" s="8">
        <f t="shared" si="2"/>
        <v>-4.1383332048285126</v>
      </c>
      <c r="G72" s="34">
        <v>16.75</v>
      </c>
      <c r="H72" s="34">
        <v>2</v>
      </c>
      <c r="I72" s="34">
        <v>23.53</v>
      </c>
    </row>
    <row r="73" spans="1:26" ht="15.75" customHeight="1">
      <c r="A73" s="34" t="s">
        <v>523</v>
      </c>
      <c r="B73" s="34">
        <v>9</v>
      </c>
      <c r="C73" s="34">
        <v>0</v>
      </c>
      <c r="D73" s="6">
        <f t="shared" si="0"/>
        <v>4.3492362490876237</v>
      </c>
      <c r="E73" s="7">
        <f t="shared" si="1"/>
        <v>0</v>
      </c>
      <c r="F73" s="8">
        <f t="shared" si="2"/>
        <v>-4.3492362490876237</v>
      </c>
      <c r="G73" s="34">
        <v>16.63</v>
      </c>
      <c r="H73" s="34">
        <v>0.66700000000000004</v>
      </c>
      <c r="I73" s="34">
        <v>23.25</v>
      </c>
    </row>
    <row r="74" spans="1:26" ht="15.75" customHeight="1">
      <c r="A74" s="34" t="s">
        <v>524</v>
      </c>
      <c r="B74" s="34">
        <v>3</v>
      </c>
      <c r="C74" s="34">
        <v>0</v>
      </c>
      <c r="D74" s="6">
        <f t="shared" si="0"/>
        <v>1.4497454163625414</v>
      </c>
      <c r="E74" s="7">
        <f t="shared" si="1"/>
        <v>0</v>
      </c>
      <c r="F74" s="8">
        <f t="shared" si="2"/>
        <v>-1.4497454163625414</v>
      </c>
      <c r="G74" s="34">
        <v>16.63</v>
      </c>
      <c r="H74" s="34">
        <v>0.88900000000000001</v>
      </c>
      <c r="I74" s="34">
        <v>23.25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5.2921666666666667</v>
      </c>
      <c r="C76" s="11"/>
      <c r="D76" s="16">
        <f>SUM(D2:D75)</f>
        <v>14072.421451585593</v>
      </c>
      <c r="E76" s="15">
        <f>SUM(E1:E74)</f>
        <v>14127.349999999999</v>
      </c>
      <c r="F76" s="11"/>
      <c r="G76" s="17">
        <f t="shared" ref="G76:I76" si="3">AVERAGE(G1:G74)</f>
        <v>21.358493150684936</v>
      </c>
      <c r="H76" s="17">
        <f t="shared" si="3"/>
        <v>2.8813561643835626</v>
      </c>
      <c r="I76" s="17">
        <f t="shared" si="3"/>
        <v>39.963013698630128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4" t="s">
        <v>525</v>
      </c>
      <c r="B2" s="40"/>
      <c r="C2" s="5">
        <v>19144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44" t="s">
        <v>525</v>
      </c>
      <c r="H2" s="40"/>
      <c r="I2" s="40"/>
    </row>
    <row r="3" spans="1:26" ht="15.75" customHeight="1">
      <c r="A3" s="40"/>
      <c r="B3" s="40"/>
      <c r="C3" s="5">
        <v>19144</v>
      </c>
      <c r="D3" s="6">
        <f t="shared" si="0"/>
        <v>0</v>
      </c>
      <c r="E3" s="7">
        <f t="shared" si="1"/>
        <v>2</v>
      </c>
      <c r="F3" s="8">
        <f t="shared" si="2"/>
        <v>2</v>
      </c>
      <c r="G3" s="40"/>
      <c r="H3" s="40"/>
      <c r="I3" s="40"/>
    </row>
    <row r="4" spans="1:26" ht="15.75" customHeight="1">
      <c r="A4" s="40"/>
      <c r="B4" s="40"/>
      <c r="C4" s="5">
        <v>19142</v>
      </c>
      <c r="D4" s="6">
        <f t="shared" si="0"/>
        <v>0</v>
      </c>
      <c r="E4" s="7">
        <f t="shared" si="1"/>
        <v>8</v>
      </c>
      <c r="F4" s="8">
        <f t="shared" si="2"/>
        <v>8</v>
      </c>
      <c r="G4" s="40"/>
      <c r="H4" s="40"/>
      <c r="I4" s="40"/>
    </row>
    <row r="5" spans="1:26" ht="15.75" customHeight="1">
      <c r="A5" s="40"/>
      <c r="B5" s="40"/>
      <c r="C5" s="5">
        <v>19134</v>
      </c>
      <c r="D5" s="6">
        <f t="shared" si="0"/>
        <v>0</v>
      </c>
      <c r="E5" s="7">
        <f t="shared" si="1"/>
        <v>15.349999999998545</v>
      </c>
      <c r="F5" s="8">
        <f t="shared" si="2"/>
        <v>15.349999999998545</v>
      </c>
      <c r="G5" s="40"/>
      <c r="H5" s="40"/>
      <c r="I5" s="40"/>
    </row>
    <row r="6" spans="1:26" ht="15.75" customHeight="1">
      <c r="A6" s="40"/>
      <c r="B6" s="40"/>
      <c r="C6" s="5">
        <v>19118.650000000001</v>
      </c>
      <c r="D6" s="6">
        <f t="shared" si="0"/>
        <v>0</v>
      </c>
      <c r="E6" s="7">
        <f t="shared" si="1"/>
        <v>26.650000000001455</v>
      </c>
      <c r="F6" s="8">
        <f t="shared" si="2"/>
        <v>26.650000000001455</v>
      </c>
      <c r="G6" s="40"/>
      <c r="H6" s="40"/>
      <c r="I6" s="40"/>
    </row>
    <row r="7" spans="1:26" ht="15.75" customHeight="1">
      <c r="A7" s="40"/>
      <c r="B7" s="40"/>
      <c r="C7" s="5">
        <v>19092</v>
      </c>
      <c r="D7" s="6">
        <f t="shared" si="0"/>
        <v>0</v>
      </c>
      <c r="E7" s="7">
        <f t="shared" si="1"/>
        <v>38.349999999998545</v>
      </c>
      <c r="F7" s="8">
        <f t="shared" si="2"/>
        <v>38.349999999998545</v>
      </c>
      <c r="G7" s="40"/>
      <c r="H7" s="40"/>
      <c r="I7" s="40"/>
    </row>
    <row r="8" spans="1:26" ht="15.75" customHeight="1">
      <c r="A8" s="40"/>
      <c r="B8" s="40"/>
      <c r="C8" s="5">
        <v>19053.650000000001</v>
      </c>
      <c r="D8" s="6">
        <f t="shared" si="0"/>
        <v>0</v>
      </c>
      <c r="E8" s="7">
        <f t="shared" si="1"/>
        <v>54</v>
      </c>
      <c r="F8" s="8">
        <f t="shared" si="2"/>
        <v>54</v>
      </c>
      <c r="G8" s="40"/>
      <c r="H8" s="40"/>
      <c r="I8" s="40"/>
    </row>
    <row r="9" spans="1:26" ht="15.75" customHeight="1">
      <c r="A9" s="40"/>
      <c r="B9" s="40"/>
      <c r="C9" s="5">
        <v>18999.650000000001</v>
      </c>
      <c r="D9" s="6">
        <f t="shared" si="0"/>
        <v>0</v>
      </c>
      <c r="E9" s="7">
        <f t="shared" si="1"/>
        <v>70</v>
      </c>
      <c r="F9" s="8">
        <f t="shared" si="2"/>
        <v>70</v>
      </c>
      <c r="G9" s="40"/>
      <c r="H9" s="40"/>
      <c r="I9" s="40"/>
    </row>
    <row r="10" spans="1:26" ht="15.75" customHeight="1">
      <c r="A10" s="40"/>
      <c r="B10" s="40"/>
      <c r="C10" s="5">
        <v>18929.650000000001</v>
      </c>
      <c r="D10" s="6">
        <f t="shared" si="0"/>
        <v>0</v>
      </c>
      <c r="E10" s="7">
        <f t="shared" si="1"/>
        <v>77.650000000001455</v>
      </c>
      <c r="F10" s="8">
        <f t="shared" si="2"/>
        <v>77.650000000001455</v>
      </c>
      <c r="G10" s="40"/>
      <c r="H10" s="40"/>
      <c r="I10" s="40"/>
    </row>
    <row r="11" spans="1:26" ht="15.75" customHeight="1">
      <c r="A11" s="40"/>
      <c r="B11" s="40"/>
      <c r="C11" s="5">
        <v>18852</v>
      </c>
      <c r="D11" s="6">
        <f t="shared" si="0"/>
        <v>0</v>
      </c>
      <c r="E11" s="7">
        <f t="shared" si="1"/>
        <v>117</v>
      </c>
      <c r="F11" s="8">
        <f t="shared" si="2"/>
        <v>117</v>
      </c>
      <c r="G11" s="40"/>
      <c r="H11" s="40"/>
      <c r="I11" s="40"/>
    </row>
    <row r="12" spans="1:26" ht="15.75" customHeight="1">
      <c r="A12" s="40"/>
      <c r="B12" s="40"/>
      <c r="C12" s="5">
        <v>18735</v>
      </c>
      <c r="D12" s="6">
        <f t="shared" si="0"/>
        <v>0</v>
      </c>
      <c r="E12" s="7">
        <f t="shared" si="1"/>
        <v>124</v>
      </c>
      <c r="F12" s="8">
        <f t="shared" si="2"/>
        <v>124</v>
      </c>
      <c r="G12" s="40"/>
      <c r="H12" s="40"/>
      <c r="I12" s="40"/>
    </row>
    <row r="13" spans="1:26" ht="15.75" customHeight="1">
      <c r="A13" s="40"/>
      <c r="B13" s="40"/>
      <c r="C13" s="5">
        <v>18611</v>
      </c>
      <c r="D13" s="6">
        <f t="shared" si="0"/>
        <v>0</v>
      </c>
      <c r="E13" s="7">
        <f t="shared" si="1"/>
        <v>117.34999999999854</v>
      </c>
      <c r="F13" s="8">
        <f t="shared" si="2"/>
        <v>117.34999999999854</v>
      </c>
      <c r="G13" s="40"/>
      <c r="H13" s="40"/>
      <c r="I13" s="40"/>
    </row>
    <row r="14" spans="1:26" ht="15.75" customHeight="1">
      <c r="A14" s="40"/>
      <c r="B14" s="40"/>
      <c r="C14" s="5">
        <v>18493.650000000001</v>
      </c>
      <c r="D14" s="6">
        <f t="shared" si="0"/>
        <v>0</v>
      </c>
      <c r="E14" s="7">
        <f t="shared" si="1"/>
        <v>156.65000000000146</v>
      </c>
      <c r="F14" s="8">
        <f t="shared" si="2"/>
        <v>156.65000000000146</v>
      </c>
      <c r="G14" s="40"/>
      <c r="H14" s="40"/>
      <c r="I14" s="40"/>
    </row>
    <row r="15" spans="1:26" ht="15.75" customHeight="1">
      <c r="A15" s="40"/>
      <c r="B15" s="40"/>
      <c r="C15" s="5">
        <v>18337</v>
      </c>
      <c r="D15" s="6">
        <f t="shared" si="0"/>
        <v>0</v>
      </c>
      <c r="E15" s="7">
        <f t="shared" si="1"/>
        <v>207.34999999999854</v>
      </c>
      <c r="F15" s="8">
        <f t="shared" si="2"/>
        <v>207.34999999999854</v>
      </c>
      <c r="G15" s="40"/>
      <c r="H15" s="40"/>
      <c r="I15" s="40"/>
    </row>
    <row r="16" spans="1:26" ht="15.75" customHeight="1">
      <c r="A16" s="40"/>
      <c r="B16" s="40"/>
      <c r="C16" s="5">
        <v>18129.650000000001</v>
      </c>
      <c r="D16" s="6">
        <f t="shared" si="0"/>
        <v>0</v>
      </c>
      <c r="E16" s="7">
        <f t="shared" si="1"/>
        <v>234</v>
      </c>
      <c r="F16" s="8">
        <f t="shared" si="2"/>
        <v>234</v>
      </c>
      <c r="G16" s="40"/>
      <c r="H16" s="40"/>
      <c r="I16" s="40"/>
    </row>
    <row r="17" spans="1:9" ht="15.75" customHeight="1">
      <c r="A17" s="40"/>
      <c r="B17" s="40"/>
      <c r="C17" s="5">
        <v>17895.650000000001</v>
      </c>
      <c r="D17" s="6">
        <f t="shared" si="0"/>
        <v>0</v>
      </c>
      <c r="E17" s="7">
        <f t="shared" si="1"/>
        <v>237</v>
      </c>
      <c r="F17" s="8">
        <f t="shared" si="2"/>
        <v>237</v>
      </c>
      <c r="G17" s="40"/>
      <c r="H17" s="40"/>
      <c r="I17" s="40"/>
    </row>
    <row r="18" spans="1:9" ht="15.75" customHeight="1">
      <c r="A18" s="40"/>
      <c r="B18" s="40"/>
      <c r="C18" s="5">
        <v>17658.650000000001</v>
      </c>
      <c r="D18" s="6">
        <f t="shared" si="0"/>
        <v>0</v>
      </c>
      <c r="E18" s="7">
        <f t="shared" si="1"/>
        <v>253.65000000000146</v>
      </c>
      <c r="F18" s="8">
        <f t="shared" si="2"/>
        <v>253.65000000000146</v>
      </c>
      <c r="G18" s="40"/>
      <c r="H18" s="40"/>
      <c r="I18" s="40"/>
    </row>
    <row r="19" spans="1:9" ht="15.75" customHeight="1">
      <c r="A19" s="40"/>
      <c r="B19" s="40"/>
      <c r="C19" s="5">
        <v>17405</v>
      </c>
      <c r="D19" s="6">
        <f t="shared" si="0"/>
        <v>0</v>
      </c>
      <c r="E19" s="7">
        <f t="shared" si="1"/>
        <v>267.34999999999854</v>
      </c>
      <c r="F19" s="8">
        <f t="shared" si="2"/>
        <v>267.34999999999854</v>
      </c>
      <c r="G19" s="40"/>
      <c r="H19" s="40"/>
      <c r="I19" s="40"/>
    </row>
    <row r="20" spans="1:9" ht="15.75" customHeight="1">
      <c r="A20" s="40"/>
      <c r="B20" s="40"/>
      <c r="C20" s="5">
        <v>17137.650000000001</v>
      </c>
      <c r="D20" s="6">
        <f t="shared" si="0"/>
        <v>0</v>
      </c>
      <c r="E20" s="7">
        <f t="shared" si="1"/>
        <v>288</v>
      </c>
      <c r="F20" s="8">
        <f t="shared" si="2"/>
        <v>288</v>
      </c>
      <c r="G20" s="40"/>
      <c r="H20" s="40"/>
      <c r="I20" s="40"/>
    </row>
    <row r="21" spans="1:9" ht="15.75" customHeight="1">
      <c r="A21" s="40"/>
      <c r="B21" s="40"/>
      <c r="C21" s="5">
        <v>16849.650000000001</v>
      </c>
      <c r="D21" s="6">
        <f t="shared" si="0"/>
        <v>0</v>
      </c>
      <c r="E21" s="7">
        <f t="shared" si="1"/>
        <v>321.65000000000146</v>
      </c>
      <c r="F21" s="8">
        <f t="shared" si="2"/>
        <v>321.65000000000146</v>
      </c>
      <c r="G21" s="40"/>
      <c r="H21" s="40"/>
      <c r="I21" s="40"/>
    </row>
    <row r="22" spans="1:9" ht="15.75" customHeight="1">
      <c r="A22" s="40"/>
      <c r="B22" s="40"/>
      <c r="C22" s="5">
        <v>16528</v>
      </c>
      <c r="D22" s="6">
        <f t="shared" si="0"/>
        <v>0</v>
      </c>
      <c r="E22" s="7">
        <f t="shared" si="1"/>
        <v>320.35000000000036</v>
      </c>
      <c r="F22" s="8">
        <f t="shared" si="2"/>
        <v>320.35000000000036</v>
      </c>
      <c r="G22" s="40"/>
      <c r="H22" s="40"/>
      <c r="I22" s="40"/>
    </row>
    <row r="23" spans="1:9" ht="15.75" customHeight="1">
      <c r="A23" s="40"/>
      <c r="B23" s="40"/>
      <c r="C23" s="5">
        <v>16207.65</v>
      </c>
      <c r="D23" s="6">
        <f t="shared" si="0"/>
        <v>0</v>
      </c>
      <c r="E23" s="7">
        <f t="shared" si="1"/>
        <v>329.64999999999964</v>
      </c>
      <c r="F23" s="8">
        <f t="shared" si="2"/>
        <v>329.64999999999964</v>
      </c>
      <c r="G23" s="40"/>
      <c r="H23" s="40"/>
      <c r="I23" s="40"/>
    </row>
    <row r="24" spans="1:9" ht="15.75" customHeight="1">
      <c r="A24" s="40"/>
      <c r="B24" s="40"/>
      <c r="C24" s="5">
        <v>15878</v>
      </c>
      <c r="D24" s="6">
        <f t="shared" si="0"/>
        <v>0</v>
      </c>
      <c r="E24" s="7">
        <f t="shared" si="1"/>
        <v>307</v>
      </c>
      <c r="F24" s="8">
        <f t="shared" si="2"/>
        <v>307</v>
      </c>
      <c r="G24" s="40"/>
      <c r="H24" s="40"/>
      <c r="I24" s="40"/>
    </row>
    <row r="25" spans="1:9" ht="15.75" customHeight="1">
      <c r="A25" s="40"/>
      <c r="B25" s="40"/>
      <c r="C25" s="5">
        <v>15571</v>
      </c>
      <c r="D25" s="6">
        <f t="shared" si="0"/>
        <v>0</v>
      </c>
      <c r="E25" s="7">
        <f t="shared" si="1"/>
        <v>363.35000000000036</v>
      </c>
      <c r="F25" s="8">
        <f t="shared" si="2"/>
        <v>363.35000000000036</v>
      </c>
      <c r="G25" s="40"/>
      <c r="H25" s="40"/>
      <c r="I25" s="40"/>
    </row>
    <row r="26" spans="1:9" ht="15.75" customHeight="1">
      <c r="A26" s="40"/>
      <c r="B26" s="40"/>
      <c r="C26" s="5">
        <v>15207.65</v>
      </c>
      <c r="D26" s="6">
        <f t="shared" si="0"/>
        <v>0</v>
      </c>
      <c r="E26" s="7">
        <f t="shared" si="1"/>
        <v>380</v>
      </c>
      <c r="F26" s="8">
        <f t="shared" si="2"/>
        <v>380</v>
      </c>
      <c r="G26" s="40"/>
      <c r="H26" s="40"/>
      <c r="I26" s="40"/>
    </row>
    <row r="27" spans="1:9" ht="15.75" customHeight="1">
      <c r="A27" s="40"/>
      <c r="B27" s="40"/>
      <c r="C27" s="5">
        <v>14827.65</v>
      </c>
      <c r="D27" s="6">
        <f t="shared" si="0"/>
        <v>0</v>
      </c>
      <c r="E27" s="7">
        <f t="shared" si="1"/>
        <v>395.64999999999964</v>
      </c>
      <c r="F27" s="8">
        <f t="shared" si="2"/>
        <v>395.64999999999964</v>
      </c>
      <c r="G27" s="40"/>
      <c r="H27" s="40"/>
      <c r="I27" s="40"/>
    </row>
    <row r="28" spans="1:9" ht="15.75" customHeight="1">
      <c r="A28" s="40"/>
      <c r="B28" s="40"/>
      <c r="C28" s="5">
        <v>14432</v>
      </c>
      <c r="D28" s="6">
        <f t="shared" si="0"/>
        <v>0</v>
      </c>
      <c r="E28" s="7">
        <f t="shared" si="1"/>
        <v>411.35000000000036</v>
      </c>
      <c r="F28" s="8">
        <f t="shared" si="2"/>
        <v>411.35000000000036</v>
      </c>
      <c r="G28" s="40"/>
      <c r="H28" s="40"/>
      <c r="I28" s="40"/>
    </row>
    <row r="29" spans="1:9" ht="15.75" customHeight="1">
      <c r="A29" s="40"/>
      <c r="B29" s="40"/>
      <c r="C29" s="5">
        <v>14020.65</v>
      </c>
      <c r="D29" s="6">
        <f t="shared" si="0"/>
        <v>0</v>
      </c>
      <c r="E29" s="7">
        <f t="shared" si="1"/>
        <v>410</v>
      </c>
      <c r="F29" s="8">
        <f t="shared" si="2"/>
        <v>410</v>
      </c>
      <c r="G29" s="40"/>
      <c r="H29" s="40"/>
      <c r="I29" s="40"/>
    </row>
    <row r="30" spans="1:9" ht="15.75" customHeight="1">
      <c r="A30" s="40"/>
      <c r="B30" s="40"/>
      <c r="C30" s="5">
        <v>13610.65</v>
      </c>
      <c r="D30" s="6">
        <f t="shared" si="0"/>
        <v>0</v>
      </c>
      <c r="E30" s="7">
        <f t="shared" si="1"/>
        <v>432</v>
      </c>
      <c r="F30" s="8">
        <f t="shared" si="2"/>
        <v>432</v>
      </c>
      <c r="G30" s="40"/>
      <c r="H30" s="40"/>
      <c r="I30" s="40"/>
    </row>
    <row r="31" spans="1:9" ht="15.75" customHeight="1">
      <c r="A31" s="40"/>
      <c r="B31" s="40"/>
      <c r="C31" s="5">
        <v>13178.65</v>
      </c>
      <c r="D31" s="6">
        <f t="shared" si="0"/>
        <v>0</v>
      </c>
      <c r="E31" s="7">
        <f t="shared" si="1"/>
        <v>438</v>
      </c>
      <c r="F31" s="8">
        <f t="shared" si="2"/>
        <v>438</v>
      </c>
      <c r="G31" s="40"/>
      <c r="H31" s="40"/>
      <c r="I31" s="40"/>
    </row>
    <row r="32" spans="1:9" ht="15.75" customHeight="1">
      <c r="A32" s="40"/>
      <c r="B32" s="40"/>
      <c r="C32" s="5">
        <v>12740.65</v>
      </c>
      <c r="D32" s="6">
        <f t="shared" si="0"/>
        <v>0</v>
      </c>
      <c r="E32" s="7">
        <f t="shared" si="1"/>
        <v>447</v>
      </c>
      <c r="F32" s="8">
        <f t="shared" si="2"/>
        <v>447</v>
      </c>
      <c r="G32" s="40"/>
      <c r="H32" s="40"/>
      <c r="I32" s="40"/>
    </row>
    <row r="33" spans="1:9" ht="15.75" customHeight="1">
      <c r="A33" s="40"/>
      <c r="B33" s="40"/>
      <c r="C33" s="5">
        <v>12293.65</v>
      </c>
      <c r="D33" s="6">
        <f t="shared" si="0"/>
        <v>0</v>
      </c>
      <c r="E33" s="7">
        <f t="shared" si="1"/>
        <v>446.64999999999964</v>
      </c>
      <c r="F33" s="8">
        <f t="shared" si="2"/>
        <v>446.64999999999964</v>
      </c>
      <c r="G33" s="40"/>
      <c r="H33" s="40"/>
      <c r="I33" s="40"/>
    </row>
    <row r="34" spans="1:9" ht="15.75" customHeight="1">
      <c r="A34" s="40"/>
      <c r="B34" s="40"/>
      <c r="C34" s="5">
        <v>11847</v>
      </c>
      <c r="D34" s="6">
        <f t="shared" si="0"/>
        <v>0</v>
      </c>
      <c r="E34" s="7">
        <f t="shared" si="1"/>
        <v>452</v>
      </c>
      <c r="F34" s="8">
        <f t="shared" si="2"/>
        <v>452</v>
      </c>
      <c r="G34" s="40"/>
      <c r="H34" s="40"/>
      <c r="I34" s="40"/>
    </row>
    <row r="35" spans="1:9" ht="15.75" customHeight="1">
      <c r="A35" s="40"/>
      <c r="B35" s="40"/>
      <c r="C35" s="5">
        <v>11395</v>
      </c>
      <c r="D35" s="6">
        <f t="shared" si="0"/>
        <v>0</v>
      </c>
      <c r="E35" s="7">
        <f t="shared" si="1"/>
        <v>448.35000000000036</v>
      </c>
      <c r="F35" s="8">
        <f t="shared" si="2"/>
        <v>448.35000000000036</v>
      </c>
      <c r="G35" s="40"/>
      <c r="H35" s="40"/>
      <c r="I35" s="40"/>
    </row>
    <row r="36" spans="1:9" ht="15.75" customHeight="1">
      <c r="A36" s="40"/>
      <c r="B36" s="40"/>
      <c r="C36" s="5">
        <v>10946.65</v>
      </c>
      <c r="D36" s="6">
        <f t="shared" si="0"/>
        <v>0</v>
      </c>
      <c r="E36" s="7">
        <f t="shared" si="1"/>
        <v>418.64999999999964</v>
      </c>
      <c r="F36" s="8">
        <f t="shared" si="2"/>
        <v>418.64999999999964</v>
      </c>
      <c r="G36" s="40"/>
      <c r="H36" s="40"/>
      <c r="I36" s="40"/>
    </row>
    <row r="37" spans="1:9" ht="15.75" customHeight="1">
      <c r="A37" s="40"/>
      <c r="B37" s="40"/>
      <c r="C37" s="5">
        <v>10528</v>
      </c>
      <c r="D37" s="6">
        <f t="shared" si="0"/>
        <v>0</v>
      </c>
      <c r="E37" s="7">
        <f t="shared" si="1"/>
        <v>259</v>
      </c>
      <c r="F37" s="8">
        <f t="shared" si="2"/>
        <v>259</v>
      </c>
      <c r="G37" s="40"/>
      <c r="H37" s="40"/>
      <c r="I37" s="40"/>
    </row>
    <row r="38" spans="1:9" ht="15.75" customHeight="1">
      <c r="A38" s="40"/>
      <c r="B38" s="40"/>
      <c r="C38" s="5">
        <v>10269</v>
      </c>
      <c r="D38" s="6">
        <f t="shared" si="0"/>
        <v>0</v>
      </c>
      <c r="E38" s="7">
        <f t="shared" si="1"/>
        <v>392.35299999999916</v>
      </c>
      <c r="F38" s="8">
        <f t="shared" si="2"/>
        <v>392.35299999999916</v>
      </c>
      <c r="G38" s="40"/>
      <c r="H38" s="40"/>
      <c r="I38" s="40"/>
    </row>
    <row r="39" spans="1:9" ht="15.75" customHeight="1">
      <c r="A39" s="40"/>
      <c r="B39" s="40"/>
      <c r="C39" s="5">
        <v>9876.6470000000008</v>
      </c>
      <c r="D39" s="6">
        <f t="shared" si="0"/>
        <v>0</v>
      </c>
      <c r="E39" s="7">
        <f t="shared" si="1"/>
        <v>447</v>
      </c>
      <c r="F39" s="8">
        <f t="shared" si="2"/>
        <v>447</v>
      </c>
      <c r="G39" s="40"/>
      <c r="H39" s="40"/>
      <c r="I39" s="40"/>
    </row>
    <row r="40" spans="1:9" ht="15.75" customHeight="1">
      <c r="A40" s="40"/>
      <c r="B40" s="40"/>
      <c r="C40" s="5">
        <v>9429.6470000000008</v>
      </c>
      <c r="D40" s="6">
        <f t="shared" si="0"/>
        <v>0</v>
      </c>
      <c r="E40" s="7">
        <f t="shared" si="1"/>
        <v>426</v>
      </c>
      <c r="F40" s="8">
        <f t="shared" si="2"/>
        <v>426</v>
      </c>
      <c r="G40" s="40"/>
      <c r="H40" s="40"/>
      <c r="I40" s="40"/>
    </row>
    <row r="41" spans="1:9" ht="15.75" customHeight="1">
      <c r="A41" s="40"/>
      <c r="B41" s="40"/>
      <c r="C41" s="5">
        <v>9003.6470000000008</v>
      </c>
      <c r="D41" s="6">
        <f t="shared" si="0"/>
        <v>0</v>
      </c>
      <c r="E41" s="7">
        <f t="shared" si="1"/>
        <v>439</v>
      </c>
      <c r="F41" s="8">
        <f t="shared" si="2"/>
        <v>439</v>
      </c>
      <c r="G41" s="40"/>
      <c r="H41" s="40"/>
      <c r="I41" s="40"/>
    </row>
    <row r="42" spans="1:9" ht="15.75" customHeight="1">
      <c r="A42" s="40"/>
      <c r="B42" s="40"/>
      <c r="C42" s="5">
        <v>8564.6470000000008</v>
      </c>
      <c r="D42" s="6">
        <f t="shared" si="0"/>
        <v>0</v>
      </c>
      <c r="E42" s="7">
        <f t="shared" si="1"/>
        <v>440.64700000000084</v>
      </c>
      <c r="F42" s="8">
        <f t="shared" si="2"/>
        <v>440.64700000000084</v>
      </c>
      <c r="G42" s="40"/>
      <c r="H42" s="40"/>
      <c r="I42" s="40"/>
    </row>
    <row r="43" spans="1:9" ht="15.75" customHeight="1">
      <c r="A43" s="40"/>
      <c r="B43" s="40"/>
      <c r="C43" s="5">
        <v>8124</v>
      </c>
      <c r="D43" s="6">
        <f t="shared" si="0"/>
        <v>0</v>
      </c>
      <c r="E43" s="7">
        <f t="shared" si="1"/>
        <v>438.35300000000007</v>
      </c>
      <c r="F43" s="8">
        <f t="shared" si="2"/>
        <v>438.35300000000007</v>
      </c>
      <c r="G43" s="40"/>
      <c r="H43" s="40"/>
      <c r="I43" s="40"/>
    </row>
    <row r="44" spans="1:9" ht="15.75" customHeight="1">
      <c r="A44" s="40"/>
      <c r="B44" s="40"/>
      <c r="C44" s="5">
        <v>7685.6469999999999</v>
      </c>
      <c r="D44" s="6">
        <f t="shared" si="0"/>
        <v>0</v>
      </c>
      <c r="E44" s="7">
        <f t="shared" si="1"/>
        <v>431</v>
      </c>
      <c r="F44" s="8">
        <f t="shared" si="2"/>
        <v>431</v>
      </c>
      <c r="G44" s="40"/>
      <c r="H44" s="40"/>
      <c r="I44" s="40"/>
    </row>
    <row r="45" spans="1:9" ht="15.75" customHeight="1">
      <c r="A45" s="40"/>
      <c r="B45" s="40"/>
      <c r="C45" s="5">
        <v>7254.6469999999999</v>
      </c>
      <c r="D45" s="6">
        <f t="shared" si="0"/>
        <v>0</v>
      </c>
      <c r="E45" s="7">
        <f t="shared" si="1"/>
        <v>430</v>
      </c>
      <c r="F45" s="8">
        <f t="shared" si="2"/>
        <v>430</v>
      </c>
      <c r="G45" s="40"/>
      <c r="H45" s="40"/>
      <c r="I45" s="40"/>
    </row>
    <row r="46" spans="1:9" ht="15.75" customHeight="1">
      <c r="A46" s="40"/>
      <c r="B46" s="40"/>
      <c r="C46" s="5">
        <v>6824.6469999999999</v>
      </c>
      <c r="D46" s="6">
        <f t="shared" si="0"/>
        <v>0</v>
      </c>
      <c r="E46" s="7">
        <f t="shared" si="1"/>
        <v>424</v>
      </c>
      <c r="F46" s="8">
        <f t="shared" si="2"/>
        <v>424</v>
      </c>
      <c r="G46" s="40"/>
      <c r="H46" s="40"/>
      <c r="I46" s="40"/>
    </row>
    <row r="47" spans="1:9" ht="15.75" customHeight="1">
      <c r="A47" s="40"/>
      <c r="B47" s="40"/>
      <c r="C47" s="5">
        <v>6400.6469999999999</v>
      </c>
      <c r="D47" s="6">
        <f t="shared" si="0"/>
        <v>0</v>
      </c>
      <c r="E47" s="7">
        <f t="shared" si="1"/>
        <v>419</v>
      </c>
      <c r="F47" s="8">
        <f t="shared" si="2"/>
        <v>419</v>
      </c>
      <c r="G47" s="40"/>
      <c r="H47" s="40"/>
      <c r="I47" s="40"/>
    </row>
    <row r="48" spans="1:9" ht="15.75" customHeight="1">
      <c r="A48" s="40"/>
      <c r="B48" s="40"/>
      <c r="C48" s="5">
        <v>5981.6469999999999</v>
      </c>
      <c r="D48" s="6">
        <f t="shared" si="0"/>
        <v>0</v>
      </c>
      <c r="E48" s="7">
        <f t="shared" si="1"/>
        <v>410.64699999999993</v>
      </c>
      <c r="F48" s="8">
        <f t="shared" si="2"/>
        <v>410.64699999999993</v>
      </c>
      <c r="G48" s="40"/>
      <c r="H48" s="40"/>
      <c r="I48" s="40"/>
    </row>
    <row r="49" spans="1:9" ht="15.75" customHeight="1">
      <c r="A49" s="40"/>
      <c r="B49" s="40"/>
      <c r="C49" s="5">
        <v>5571</v>
      </c>
      <c r="D49" s="6">
        <f t="shared" si="0"/>
        <v>0</v>
      </c>
      <c r="E49" s="7">
        <f t="shared" si="1"/>
        <v>403</v>
      </c>
      <c r="F49" s="8">
        <f t="shared" si="2"/>
        <v>403</v>
      </c>
      <c r="G49" s="40"/>
      <c r="H49" s="40"/>
      <c r="I49" s="40"/>
    </row>
    <row r="50" spans="1:9" ht="15.75" customHeight="1">
      <c r="A50" s="40"/>
      <c r="B50" s="40"/>
      <c r="C50" s="5">
        <v>5168</v>
      </c>
      <c r="D50" s="6">
        <f t="shared" si="0"/>
        <v>0</v>
      </c>
      <c r="E50" s="7">
        <f t="shared" si="1"/>
        <v>397.35300000000007</v>
      </c>
      <c r="F50" s="8">
        <f t="shared" si="2"/>
        <v>397.35300000000007</v>
      </c>
      <c r="G50" s="40"/>
      <c r="H50" s="40"/>
      <c r="I50" s="40"/>
    </row>
    <row r="51" spans="1:9" ht="15.75" customHeight="1">
      <c r="A51" s="40"/>
      <c r="B51" s="40"/>
      <c r="C51" s="5">
        <v>4770.6469999999999</v>
      </c>
      <c r="D51" s="6">
        <f t="shared" si="0"/>
        <v>0</v>
      </c>
      <c r="E51" s="7">
        <f t="shared" si="1"/>
        <v>389.64699999999993</v>
      </c>
      <c r="F51" s="8">
        <f t="shared" si="2"/>
        <v>389.64699999999993</v>
      </c>
      <c r="G51" s="40"/>
      <c r="H51" s="40"/>
      <c r="I51" s="40"/>
    </row>
    <row r="52" spans="1:9" ht="15.75" customHeight="1">
      <c r="A52" s="40"/>
      <c r="B52" s="40"/>
      <c r="C52" s="5">
        <v>4381</v>
      </c>
      <c r="D52" s="6">
        <f t="shared" si="0"/>
        <v>0</v>
      </c>
      <c r="E52" s="7">
        <f t="shared" si="1"/>
        <v>378</v>
      </c>
      <c r="F52" s="8">
        <f t="shared" si="2"/>
        <v>378</v>
      </c>
      <c r="G52" s="40"/>
      <c r="H52" s="40"/>
      <c r="I52" s="40"/>
    </row>
    <row r="53" spans="1:9" ht="15.75" customHeight="1">
      <c r="A53" s="40"/>
      <c r="B53" s="40"/>
      <c r="C53" s="5">
        <v>4003</v>
      </c>
      <c r="D53" s="6">
        <f t="shared" si="0"/>
        <v>0</v>
      </c>
      <c r="E53" s="7">
        <f t="shared" si="1"/>
        <v>366.35300000000007</v>
      </c>
      <c r="F53" s="8">
        <f t="shared" si="2"/>
        <v>366.35300000000007</v>
      </c>
      <c r="G53" s="40"/>
      <c r="H53" s="40"/>
      <c r="I53" s="40"/>
    </row>
    <row r="54" spans="1:9" ht="15.75" customHeight="1">
      <c r="A54" s="40"/>
      <c r="B54" s="40"/>
      <c r="C54" s="5">
        <v>3636.6469999999999</v>
      </c>
      <c r="D54" s="6">
        <f t="shared" si="0"/>
        <v>0</v>
      </c>
      <c r="E54" s="7">
        <f t="shared" si="1"/>
        <v>355.64699999999993</v>
      </c>
      <c r="F54" s="8">
        <f t="shared" si="2"/>
        <v>355.64699999999993</v>
      </c>
      <c r="G54" s="40"/>
      <c r="H54" s="40"/>
      <c r="I54" s="40"/>
    </row>
    <row r="55" spans="1:9" ht="15.75" customHeight="1">
      <c r="A55" s="40"/>
      <c r="B55" s="40"/>
      <c r="C55" s="5">
        <v>3281</v>
      </c>
      <c r="D55" s="6">
        <f t="shared" si="0"/>
        <v>0</v>
      </c>
      <c r="E55" s="7">
        <f t="shared" si="1"/>
        <v>338.35300000000007</v>
      </c>
      <c r="F55" s="8">
        <f t="shared" si="2"/>
        <v>338.35300000000007</v>
      </c>
      <c r="G55" s="40"/>
      <c r="H55" s="40"/>
      <c r="I55" s="40"/>
    </row>
    <row r="56" spans="1:9" ht="15.75" customHeight="1">
      <c r="A56" s="40"/>
      <c r="B56" s="40"/>
      <c r="C56" s="5">
        <v>2942.6469999999999</v>
      </c>
      <c r="D56" s="6">
        <f t="shared" si="0"/>
        <v>0</v>
      </c>
      <c r="E56" s="7">
        <f t="shared" si="1"/>
        <v>325</v>
      </c>
      <c r="F56" s="8">
        <f t="shared" si="2"/>
        <v>325</v>
      </c>
      <c r="G56" s="40"/>
      <c r="H56" s="40"/>
      <c r="I56" s="40"/>
    </row>
    <row r="57" spans="1:9" ht="15.75" customHeight="1">
      <c r="A57" s="40"/>
      <c r="B57" s="40"/>
      <c r="C57" s="5">
        <v>2617.6469999999999</v>
      </c>
      <c r="D57" s="6">
        <f t="shared" si="0"/>
        <v>0</v>
      </c>
      <c r="E57" s="7">
        <f t="shared" si="1"/>
        <v>310</v>
      </c>
      <c r="F57" s="8">
        <f t="shared" si="2"/>
        <v>310</v>
      </c>
      <c r="G57" s="40"/>
      <c r="H57" s="40"/>
      <c r="I57" s="40"/>
    </row>
    <row r="58" spans="1:9" ht="15.75" customHeight="1">
      <c r="A58" s="40"/>
      <c r="B58" s="40"/>
      <c r="C58" s="5">
        <v>2307.6469999999999</v>
      </c>
      <c r="D58" s="6">
        <f t="shared" si="0"/>
        <v>0</v>
      </c>
      <c r="E58" s="7">
        <f t="shared" si="1"/>
        <v>291</v>
      </c>
      <c r="F58" s="8">
        <f t="shared" si="2"/>
        <v>291</v>
      </c>
      <c r="G58" s="40"/>
      <c r="H58" s="40"/>
      <c r="I58" s="40"/>
    </row>
    <row r="59" spans="1:9" ht="15.75" customHeight="1">
      <c r="A59" s="40"/>
      <c r="B59" s="40"/>
      <c r="C59" s="5">
        <v>2016.6469999999999</v>
      </c>
      <c r="D59" s="6">
        <f t="shared" si="0"/>
        <v>0</v>
      </c>
      <c r="E59" s="7">
        <f t="shared" si="1"/>
        <v>273</v>
      </c>
      <c r="F59" s="8">
        <f t="shared" si="2"/>
        <v>273</v>
      </c>
      <c r="G59" s="40"/>
      <c r="H59" s="40"/>
      <c r="I59" s="40"/>
    </row>
    <row r="60" spans="1:9" ht="15.75" customHeight="1">
      <c r="A60" s="40"/>
      <c r="B60" s="40"/>
      <c r="C60" s="5">
        <v>1743.6469999999999</v>
      </c>
      <c r="D60" s="6">
        <f t="shared" si="0"/>
        <v>0</v>
      </c>
      <c r="E60" s="7">
        <f t="shared" si="1"/>
        <v>252</v>
      </c>
      <c r="F60" s="8">
        <f t="shared" si="2"/>
        <v>252</v>
      </c>
      <c r="G60" s="40"/>
      <c r="H60" s="40"/>
      <c r="I60" s="40"/>
    </row>
    <row r="61" spans="1:9" ht="15.75" customHeight="1">
      <c r="A61" s="40"/>
      <c r="B61" s="40"/>
      <c r="C61" s="5">
        <v>1491.6469999999999</v>
      </c>
      <c r="D61" s="6">
        <f t="shared" si="0"/>
        <v>0</v>
      </c>
      <c r="E61" s="7">
        <f t="shared" si="1"/>
        <v>238</v>
      </c>
      <c r="F61" s="8">
        <f t="shared" si="2"/>
        <v>238</v>
      </c>
      <c r="G61" s="40"/>
      <c r="H61" s="40"/>
      <c r="I61" s="40"/>
    </row>
    <row r="62" spans="1:9" ht="15.75" customHeight="1">
      <c r="A62" s="40"/>
      <c r="B62" s="40"/>
      <c r="C62" s="5">
        <v>1253.6469999999999</v>
      </c>
      <c r="D62" s="6">
        <f t="shared" si="0"/>
        <v>0</v>
      </c>
      <c r="E62" s="7">
        <f t="shared" si="1"/>
        <v>218</v>
      </c>
      <c r="F62" s="8">
        <f t="shared" si="2"/>
        <v>218</v>
      </c>
      <c r="G62" s="40"/>
      <c r="H62" s="40"/>
      <c r="I62" s="40"/>
    </row>
    <row r="63" spans="1:9" ht="15.75" customHeight="1">
      <c r="A63" s="40"/>
      <c r="B63" s="40"/>
      <c r="C63" s="5">
        <v>1035.6469999999999</v>
      </c>
      <c r="D63" s="6">
        <f t="shared" si="0"/>
        <v>0</v>
      </c>
      <c r="E63" s="7">
        <f t="shared" si="1"/>
        <v>196.99999999999989</v>
      </c>
      <c r="F63" s="8">
        <f t="shared" si="2"/>
        <v>196.99999999999989</v>
      </c>
      <c r="G63" s="40"/>
      <c r="H63" s="40"/>
      <c r="I63" s="40"/>
    </row>
    <row r="64" spans="1:9" ht="15.75" customHeight="1">
      <c r="A64" s="40"/>
      <c r="B64" s="40"/>
      <c r="C64" s="5">
        <v>838.64700000000005</v>
      </c>
      <c r="D64" s="6">
        <f t="shared" si="0"/>
        <v>0</v>
      </c>
      <c r="E64" s="7">
        <f t="shared" si="1"/>
        <v>175.64700000000005</v>
      </c>
      <c r="F64" s="8">
        <f t="shared" si="2"/>
        <v>175.64700000000005</v>
      </c>
      <c r="G64" s="40"/>
      <c r="H64" s="40"/>
      <c r="I64" s="40"/>
    </row>
    <row r="65" spans="1:26" ht="15.75" customHeight="1">
      <c r="A65" s="40"/>
      <c r="B65" s="40"/>
      <c r="C65" s="5">
        <v>663</v>
      </c>
      <c r="D65" s="6">
        <f t="shared" si="0"/>
        <v>0</v>
      </c>
      <c r="E65" s="7">
        <f t="shared" si="1"/>
        <v>154.35300000000001</v>
      </c>
      <c r="F65" s="8">
        <f t="shared" si="2"/>
        <v>154.35300000000001</v>
      </c>
      <c r="G65" s="40"/>
      <c r="H65" s="40"/>
      <c r="I65" s="40"/>
    </row>
    <row r="66" spans="1:26" ht="15.75" customHeight="1">
      <c r="A66" s="40"/>
      <c r="B66" s="40"/>
      <c r="C66" s="5">
        <v>508.64699999999999</v>
      </c>
      <c r="D66" s="6">
        <f t="shared" si="0"/>
        <v>0</v>
      </c>
      <c r="E66" s="7">
        <f t="shared" si="1"/>
        <v>134</v>
      </c>
      <c r="F66" s="8">
        <f t="shared" si="2"/>
        <v>134</v>
      </c>
      <c r="G66" s="40"/>
      <c r="H66" s="40"/>
      <c r="I66" s="40"/>
    </row>
    <row r="67" spans="1:26" ht="15.75" customHeight="1">
      <c r="A67" s="40"/>
      <c r="B67" s="40"/>
      <c r="C67" s="5">
        <v>374.64699999999999</v>
      </c>
      <c r="D67" s="6">
        <f t="shared" si="0"/>
        <v>0</v>
      </c>
      <c r="E67" s="7">
        <f t="shared" si="1"/>
        <v>111</v>
      </c>
      <c r="F67" s="8">
        <f t="shared" si="2"/>
        <v>111</v>
      </c>
      <c r="G67" s="40"/>
      <c r="H67" s="40"/>
      <c r="I67" s="40"/>
    </row>
    <row r="68" spans="1:26" ht="15.75" customHeight="1">
      <c r="A68" s="40"/>
      <c r="B68" s="40"/>
      <c r="C68" s="5">
        <v>263.64699999999999</v>
      </c>
      <c r="D68" s="6">
        <f t="shared" si="0"/>
        <v>0</v>
      </c>
      <c r="E68" s="7">
        <f t="shared" si="1"/>
        <v>90</v>
      </c>
      <c r="F68" s="8">
        <f t="shared" si="2"/>
        <v>90</v>
      </c>
      <c r="G68" s="40"/>
      <c r="H68" s="40"/>
      <c r="I68" s="40"/>
    </row>
    <row r="69" spans="1:26" ht="15.75" customHeight="1">
      <c r="A69" s="40"/>
      <c r="B69" s="40"/>
      <c r="C69" s="5">
        <v>173.64699999999999</v>
      </c>
      <c r="D69" s="6">
        <f t="shared" si="0"/>
        <v>0</v>
      </c>
      <c r="E69" s="7">
        <f t="shared" si="1"/>
        <v>71.999999999999986</v>
      </c>
      <c r="F69" s="8">
        <f t="shared" si="2"/>
        <v>71.999999999999986</v>
      </c>
      <c r="G69" s="40"/>
      <c r="H69" s="40"/>
      <c r="I69" s="40"/>
    </row>
    <row r="70" spans="1:26" ht="15.75" customHeight="1">
      <c r="A70" s="40"/>
      <c r="B70" s="40"/>
      <c r="C70" s="5">
        <v>101.64700000000001</v>
      </c>
      <c r="D70" s="6">
        <f t="shared" si="0"/>
        <v>0</v>
      </c>
      <c r="E70" s="7">
        <f t="shared" si="1"/>
        <v>52.000000000000007</v>
      </c>
      <c r="F70" s="8">
        <f t="shared" si="2"/>
        <v>52.000000000000007</v>
      </c>
      <c r="G70" s="40"/>
      <c r="H70" s="40"/>
      <c r="I70" s="40"/>
    </row>
    <row r="71" spans="1:26" ht="15.75" customHeight="1">
      <c r="A71" s="40"/>
      <c r="B71" s="40"/>
      <c r="C71" s="5">
        <v>49.646999999999998</v>
      </c>
      <c r="D71" s="6">
        <f t="shared" si="0"/>
        <v>0</v>
      </c>
      <c r="E71" s="7">
        <f t="shared" si="1"/>
        <v>30.646999999999998</v>
      </c>
      <c r="F71" s="8">
        <f t="shared" si="2"/>
        <v>30.646999999999998</v>
      </c>
      <c r="G71" s="40"/>
      <c r="H71" s="40"/>
      <c r="I71" s="40"/>
    </row>
    <row r="72" spans="1:26" ht="15.75" customHeight="1">
      <c r="A72" s="40"/>
      <c r="B72" s="40"/>
      <c r="C72" s="5">
        <v>19</v>
      </c>
      <c r="D72" s="6">
        <f t="shared" si="0"/>
        <v>0</v>
      </c>
      <c r="E72" s="7">
        <f t="shared" si="1"/>
        <v>14</v>
      </c>
      <c r="F72" s="8">
        <f t="shared" si="2"/>
        <v>14</v>
      </c>
      <c r="G72" s="40"/>
      <c r="H72" s="40"/>
      <c r="I72" s="40"/>
    </row>
    <row r="73" spans="1:26" ht="15.75" customHeight="1">
      <c r="A73" s="40"/>
      <c r="B73" s="40"/>
      <c r="C73" s="5">
        <v>5</v>
      </c>
      <c r="D73" s="6">
        <f t="shared" si="0"/>
        <v>0</v>
      </c>
      <c r="E73" s="7">
        <f t="shared" si="1"/>
        <v>4.3529999999999998</v>
      </c>
      <c r="F73" s="8">
        <f t="shared" si="2"/>
        <v>4.3529999999999998</v>
      </c>
      <c r="G73" s="40"/>
      <c r="H73" s="40"/>
      <c r="I73" s="40"/>
    </row>
    <row r="74" spans="1:26" ht="15.75" customHeight="1">
      <c r="A74" s="40"/>
      <c r="B74" s="40"/>
      <c r="C74" s="5">
        <v>0.64700000000000002</v>
      </c>
      <c r="D74" s="6">
        <f t="shared" si="0"/>
        <v>0</v>
      </c>
      <c r="E74" s="7">
        <f t="shared" si="1"/>
        <v>0.64700000000000002</v>
      </c>
      <c r="F74" s="8">
        <f t="shared" si="2"/>
        <v>0.64700000000000002</v>
      </c>
      <c r="G74" s="40"/>
      <c r="H74" s="40"/>
      <c r="I74" s="40"/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0</v>
      </c>
      <c r="C76" s="11"/>
      <c r="D76" s="16">
        <f>SUM(D2:D75)</f>
        <v>0</v>
      </c>
      <c r="E76" s="15">
        <f>SUM(E1:E74)</f>
        <v>19144</v>
      </c>
      <c r="F76" s="11"/>
      <c r="G76" s="17" t="e">
        <f t="shared" ref="G76:I76" si="3">AVERAGE(G1:G74)</f>
        <v>#DIV/0!</v>
      </c>
      <c r="H76" s="17" t="e">
        <f t="shared" si="3"/>
        <v>#DIV/0!</v>
      </c>
      <c r="I76" s="17" t="e">
        <f t="shared" si="3"/>
        <v>#DIV/0!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mergeCells count="2">
    <mergeCell ref="A2:B74"/>
    <mergeCell ref="G2:I74"/>
  </mergeCells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4" t="s">
        <v>525</v>
      </c>
      <c r="B2" s="40"/>
      <c r="C2" s="35">
        <v>16078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44" t="s">
        <v>525</v>
      </c>
      <c r="H2" s="40"/>
      <c r="I2" s="40"/>
    </row>
    <row r="3" spans="1:26" ht="15.75" customHeight="1">
      <c r="A3" s="40"/>
      <c r="B3" s="40"/>
      <c r="C3" s="35">
        <v>16078</v>
      </c>
      <c r="D3" s="6">
        <f t="shared" si="0"/>
        <v>0</v>
      </c>
      <c r="E3" s="7">
        <f t="shared" si="1"/>
        <v>1.3500000000003638</v>
      </c>
      <c r="F3" s="8">
        <f t="shared" si="2"/>
        <v>1.3500000000003638</v>
      </c>
      <c r="G3" s="40"/>
      <c r="H3" s="40"/>
      <c r="I3" s="40"/>
    </row>
    <row r="4" spans="1:26" ht="15.75" customHeight="1">
      <c r="A4" s="40"/>
      <c r="B4" s="40"/>
      <c r="C4" s="35">
        <v>16076.65</v>
      </c>
      <c r="D4" s="6">
        <f t="shared" si="0"/>
        <v>0</v>
      </c>
      <c r="E4" s="7">
        <f t="shared" si="1"/>
        <v>5</v>
      </c>
      <c r="F4" s="8">
        <f t="shared" si="2"/>
        <v>5</v>
      </c>
      <c r="G4" s="40"/>
      <c r="H4" s="40"/>
      <c r="I4" s="40"/>
    </row>
    <row r="5" spans="1:26" ht="15.75" customHeight="1">
      <c r="A5" s="40"/>
      <c r="B5" s="40"/>
      <c r="C5" s="35">
        <v>16071.65</v>
      </c>
      <c r="D5" s="6">
        <f t="shared" si="0"/>
        <v>0</v>
      </c>
      <c r="E5" s="7">
        <f t="shared" si="1"/>
        <v>3</v>
      </c>
      <c r="F5" s="8">
        <f t="shared" si="2"/>
        <v>3</v>
      </c>
      <c r="G5" s="40"/>
      <c r="H5" s="40"/>
      <c r="I5" s="40"/>
    </row>
    <row r="6" spans="1:26" ht="15.75" customHeight="1">
      <c r="A6" s="40"/>
      <c r="B6" s="40"/>
      <c r="C6" s="35">
        <v>16068.65</v>
      </c>
      <c r="D6" s="6">
        <f t="shared" si="0"/>
        <v>0</v>
      </c>
      <c r="E6" s="7">
        <f t="shared" si="1"/>
        <v>5.6499999999996362</v>
      </c>
      <c r="F6" s="8">
        <f t="shared" si="2"/>
        <v>5.6499999999996362</v>
      </c>
      <c r="G6" s="40"/>
      <c r="H6" s="40"/>
      <c r="I6" s="40"/>
    </row>
    <row r="7" spans="1:26" ht="15.75" customHeight="1">
      <c r="A7" s="40"/>
      <c r="B7" s="40"/>
      <c r="C7" s="35">
        <v>16063</v>
      </c>
      <c r="D7" s="6">
        <f t="shared" si="0"/>
        <v>0</v>
      </c>
      <c r="E7" s="7">
        <f t="shared" si="1"/>
        <v>9.3500000000003638</v>
      </c>
      <c r="F7" s="8">
        <f t="shared" si="2"/>
        <v>9.3500000000003638</v>
      </c>
      <c r="G7" s="40"/>
      <c r="H7" s="40"/>
      <c r="I7" s="40"/>
    </row>
    <row r="8" spans="1:26" ht="15.75" customHeight="1">
      <c r="A8" s="40"/>
      <c r="B8" s="40"/>
      <c r="C8" s="35">
        <v>16053.65</v>
      </c>
      <c r="D8" s="6">
        <f t="shared" si="0"/>
        <v>0</v>
      </c>
      <c r="E8" s="7">
        <f t="shared" si="1"/>
        <v>13</v>
      </c>
      <c r="F8" s="8">
        <f t="shared" si="2"/>
        <v>13</v>
      </c>
      <c r="G8" s="40"/>
      <c r="H8" s="40"/>
      <c r="I8" s="40"/>
    </row>
    <row r="9" spans="1:26" ht="15.75" customHeight="1">
      <c r="A9" s="40"/>
      <c r="B9" s="40"/>
      <c r="C9" s="35">
        <v>16040.65</v>
      </c>
      <c r="D9" s="6">
        <f t="shared" si="0"/>
        <v>0</v>
      </c>
      <c r="E9" s="7">
        <f t="shared" si="1"/>
        <v>18</v>
      </c>
      <c r="F9" s="8">
        <f t="shared" si="2"/>
        <v>18</v>
      </c>
      <c r="G9" s="40"/>
      <c r="H9" s="40"/>
      <c r="I9" s="40"/>
    </row>
    <row r="10" spans="1:26" ht="15.75" customHeight="1">
      <c r="A10" s="40"/>
      <c r="B10" s="40"/>
      <c r="C10" s="35">
        <v>16022.65</v>
      </c>
      <c r="D10" s="6">
        <f t="shared" si="0"/>
        <v>0</v>
      </c>
      <c r="E10" s="7">
        <f t="shared" si="1"/>
        <v>24</v>
      </c>
      <c r="F10" s="8">
        <f t="shared" si="2"/>
        <v>24</v>
      </c>
      <c r="G10" s="40"/>
      <c r="H10" s="40"/>
      <c r="I10" s="40"/>
    </row>
    <row r="11" spans="1:26" ht="15.75" customHeight="1">
      <c r="A11" s="40"/>
      <c r="B11" s="40"/>
      <c r="C11" s="35">
        <v>15998.65</v>
      </c>
      <c r="D11" s="6">
        <f t="shared" si="0"/>
        <v>0</v>
      </c>
      <c r="E11" s="7">
        <f t="shared" si="1"/>
        <v>30.649999999999636</v>
      </c>
      <c r="F11" s="8">
        <f t="shared" si="2"/>
        <v>30.649999999999636</v>
      </c>
      <c r="G11" s="40"/>
      <c r="H11" s="40"/>
      <c r="I11" s="40"/>
    </row>
    <row r="12" spans="1:26" ht="15.75" customHeight="1">
      <c r="A12" s="40"/>
      <c r="B12" s="40"/>
      <c r="C12" s="35">
        <v>15968</v>
      </c>
      <c r="D12" s="6">
        <f t="shared" si="0"/>
        <v>0</v>
      </c>
      <c r="E12" s="7">
        <f t="shared" si="1"/>
        <v>35.350000000000364</v>
      </c>
      <c r="F12" s="8">
        <f t="shared" si="2"/>
        <v>35.350000000000364</v>
      </c>
      <c r="G12" s="40"/>
      <c r="H12" s="40"/>
      <c r="I12" s="40"/>
    </row>
    <row r="13" spans="1:26" ht="15.75" customHeight="1">
      <c r="A13" s="40"/>
      <c r="B13" s="40"/>
      <c r="C13" s="35">
        <v>15932.65</v>
      </c>
      <c r="D13" s="6">
        <f t="shared" si="0"/>
        <v>0</v>
      </c>
      <c r="E13" s="7">
        <f t="shared" si="1"/>
        <v>45</v>
      </c>
      <c r="F13" s="8">
        <f t="shared" si="2"/>
        <v>45</v>
      </c>
      <c r="G13" s="40"/>
      <c r="H13" s="40"/>
      <c r="I13" s="40"/>
    </row>
    <row r="14" spans="1:26" ht="15.75" customHeight="1">
      <c r="A14" s="40"/>
      <c r="B14" s="40"/>
      <c r="C14" s="35">
        <v>15887.65</v>
      </c>
      <c r="D14" s="6">
        <f t="shared" si="0"/>
        <v>0</v>
      </c>
      <c r="E14" s="7">
        <f t="shared" si="1"/>
        <v>64</v>
      </c>
      <c r="F14" s="8">
        <f t="shared" si="2"/>
        <v>64</v>
      </c>
      <c r="G14" s="40"/>
      <c r="H14" s="40"/>
      <c r="I14" s="40"/>
    </row>
    <row r="15" spans="1:26" ht="15.75" customHeight="1">
      <c r="A15" s="40"/>
      <c r="B15" s="40"/>
      <c r="C15" s="35">
        <v>15823.65</v>
      </c>
      <c r="D15" s="6">
        <f t="shared" si="0"/>
        <v>0</v>
      </c>
      <c r="E15" s="7">
        <f t="shared" si="1"/>
        <v>103</v>
      </c>
      <c r="F15" s="8">
        <f t="shared" si="2"/>
        <v>103</v>
      </c>
      <c r="G15" s="40"/>
      <c r="H15" s="40"/>
      <c r="I15" s="40"/>
    </row>
    <row r="16" spans="1:26" ht="15.75" customHeight="1">
      <c r="A16" s="40"/>
      <c r="B16" s="40"/>
      <c r="C16" s="35">
        <v>15720.65</v>
      </c>
      <c r="D16" s="6">
        <f t="shared" si="0"/>
        <v>0</v>
      </c>
      <c r="E16" s="7">
        <f t="shared" si="1"/>
        <v>115</v>
      </c>
      <c r="F16" s="8">
        <f t="shared" si="2"/>
        <v>115</v>
      </c>
      <c r="G16" s="40"/>
      <c r="H16" s="40"/>
      <c r="I16" s="40"/>
    </row>
    <row r="17" spans="1:9" ht="15.75" customHeight="1">
      <c r="A17" s="40"/>
      <c r="B17" s="40"/>
      <c r="C17" s="35">
        <v>15605.65</v>
      </c>
      <c r="D17" s="6">
        <f t="shared" si="0"/>
        <v>0</v>
      </c>
      <c r="E17" s="7">
        <f t="shared" si="1"/>
        <v>120</v>
      </c>
      <c r="F17" s="8">
        <f t="shared" si="2"/>
        <v>120</v>
      </c>
      <c r="G17" s="40"/>
      <c r="H17" s="40"/>
      <c r="I17" s="40"/>
    </row>
    <row r="18" spans="1:9" ht="15.75" customHeight="1">
      <c r="A18" s="40"/>
      <c r="B18" s="40"/>
      <c r="C18" s="35">
        <v>15485.65</v>
      </c>
      <c r="D18" s="6">
        <f t="shared" si="0"/>
        <v>0</v>
      </c>
      <c r="E18" s="7">
        <f t="shared" si="1"/>
        <v>122.64999999999964</v>
      </c>
      <c r="F18" s="8">
        <f t="shared" si="2"/>
        <v>122.64999999999964</v>
      </c>
      <c r="G18" s="40"/>
      <c r="H18" s="40"/>
      <c r="I18" s="40"/>
    </row>
    <row r="19" spans="1:9" ht="15.75" customHeight="1">
      <c r="A19" s="40"/>
      <c r="B19" s="40"/>
      <c r="C19" s="35">
        <v>15363</v>
      </c>
      <c r="D19" s="6">
        <f t="shared" si="0"/>
        <v>0</v>
      </c>
      <c r="E19" s="7">
        <f t="shared" si="1"/>
        <v>254</v>
      </c>
      <c r="F19" s="8">
        <f t="shared" si="2"/>
        <v>254</v>
      </c>
      <c r="G19" s="40"/>
      <c r="H19" s="40"/>
      <c r="I19" s="40"/>
    </row>
    <row r="20" spans="1:9" ht="15.75" customHeight="1">
      <c r="A20" s="40"/>
      <c r="B20" s="40"/>
      <c r="C20" s="35">
        <v>15109</v>
      </c>
      <c r="D20" s="6">
        <f t="shared" si="0"/>
        <v>0</v>
      </c>
      <c r="E20" s="7">
        <f t="shared" si="1"/>
        <v>307.35000000000036</v>
      </c>
      <c r="F20" s="8">
        <f t="shared" si="2"/>
        <v>307.35000000000036</v>
      </c>
      <c r="G20" s="40"/>
      <c r="H20" s="40"/>
      <c r="I20" s="40"/>
    </row>
    <row r="21" spans="1:9" ht="15.75" customHeight="1">
      <c r="A21" s="40"/>
      <c r="B21" s="40"/>
      <c r="C21" s="35">
        <v>14801.65</v>
      </c>
      <c r="D21" s="6">
        <f t="shared" si="0"/>
        <v>0</v>
      </c>
      <c r="E21" s="7">
        <f t="shared" si="1"/>
        <v>258.64999999999964</v>
      </c>
      <c r="F21" s="8">
        <f t="shared" si="2"/>
        <v>258.64999999999964</v>
      </c>
      <c r="G21" s="40"/>
      <c r="H21" s="40"/>
      <c r="I21" s="40"/>
    </row>
    <row r="22" spans="1:9" ht="15.75" customHeight="1">
      <c r="A22" s="40"/>
      <c r="B22" s="40"/>
      <c r="C22" s="35">
        <v>14543</v>
      </c>
      <c r="D22" s="6">
        <f t="shared" si="0"/>
        <v>0</v>
      </c>
      <c r="E22" s="7">
        <f t="shared" si="1"/>
        <v>180.35000000000036</v>
      </c>
      <c r="F22" s="8">
        <f t="shared" si="2"/>
        <v>180.35000000000036</v>
      </c>
      <c r="G22" s="40"/>
      <c r="H22" s="40"/>
      <c r="I22" s="40"/>
    </row>
    <row r="23" spans="1:9" ht="15.75" customHeight="1">
      <c r="A23" s="40"/>
      <c r="B23" s="40"/>
      <c r="C23" s="35">
        <v>14362.65</v>
      </c>
      <c r="D23" s="6">
        <f t="shared" si="0"/>
        <v>0</v>
      </c>
      <c r="E23" s="7">
        <f t="shared" si="1"/>
        <v>304</v>
      </c>
      <c r="F23" s="8">
        <f t="shared" si="2"/>
        <v>304</v>
      </c>
      <c r="G23" s="40"/>
      <c r="H23" s="40"/>
      <c r="I23" s="40"/>
    </row>
    <row r="24" spans="1:9" ht="15.75" customHeight="1">
      <c r="A24" s="40"/>
      <c r="B24" s="40"/>
      <c r="C24" s="35">
        <v>14058.65</v>
      </c>
      <c r="D24" s="6">
        <f t="shared" si="0"/>
        <v>0</v>
      </c>
      <c r="E24" s="7">
        <f t="shared" si="1"/>
        <v>194</v>
      </c>
      <c r="F24" s="8">
        <f t="shared" si="2"/>
        <v>194</v>
      </c>
      <c r="G24" s="40"/>
      <c r="H24" s="40"/>
      <c r="I24" s="40"/>
    </row>
    <row r="25" spans="1:9" ht="15.75" customHeight="1">
      <c r="A25" s="40"/>
      <c r="B25" s="40"/>
      <c r="C25" s="35">
        <v>13864.65</v>
      </c>
      <c r="D25" s="6">
        <f t="shared" si="0"/>
        <v>0</v>
      </c>
      <c r="E25" s="7">
        <f t="shared" si="1"/>
        <v>325</v>
      </c>
      <c r="F25" s="8">
        <f t="shared" si="2"/>
        <v>325</v>
      </c>
      <c r="G25" s="40"/>
      <c r="H25" s="40"/>
      <c r="I25" s="40"/>
    </row>
    <row r="26" spans="1:9" ht="15.75" customHeight="1">
      <c r="A26" s="40"/>
      <c r="B26" s="40"/>
      <c r="C26" s="35">
        <v>13539.65</v>
      </c>
      <c r="D26" s="6">
        <f t="shared" si="0"/>
        <v>0</v>
      </c>
      <c r="E26" s="7">
        <f t="shared" si="1"/>
        <v>375.64999999999964</v>
      </c>
      <c r="F26" s="8">
        <f t="shared" si="2"/>
        <v>375.64999999999964</v>
      </c>
      <c r="G26" s="40"/>
      <c r="H26" s="40"/>
      <c r="I26" s="40"/>
    </row>
    <row r="27" spans="1:9" ht="15.75" customHeight="1">
      <c r="A27" s="40"/>
      <c r="B27" s="40"/>
      <c r="C27" s="35">
        <v>13164</v>
      </c>
      <c r="D27" s="6">
        <f t="shared" si="0"/>
        <v>0</v>
      </c>
      <c r="E27" s="7">
        <f t="shared" si="1"/>
        <v>379.35000000000036</v>
      </c>
      <c r="F27" s="8">
        <f t="shared" si="2"/>
        <v>379.35000000000036</v>
      </c>
      <c r="G27" s="40"/>
      <c r="H27" s="40"/>
      <c r="I27" s="40"/>
    </row>
    <row r="28" spans="1:9" ht="15.75" customHeight="1">
      <c r="A28" s="40"/>
      <c r="B28" s="40"/>
      <c r="C28" s="35">
        <v>12784.65</v>
      </c>
      <c r="D28" s="6">
        <f t="shared" si="0"/>
        <v>0</v>
      </c>
      <c r="E28" s="7">
        <f t="shared" si="1"/>
        <v>392</v>
      </c>
      <c r="F28" s="8">
        <f t="shared" si="2"/>
        <v>392</v>
      </c>
      <c r="G28" s="40"/>
      <c r="H28" s="40"/>
      <c r="I28" s="40"/>
    </row>
    <row r="29" spans="1:9" ht="15.75" customHeight="1">
      <c r="A29" s="40"/>
      <c r="B29" s="40"/>
      <c r="C29" s="35">
        <v>12392.65</v>
      </c>
      <c r="D29" s="6">
        <f t="shared" si="0"/>
        <v>0</v>
      </c>
      <c r="E29" s="7">
        <f t="shared" si="1"/>
        <v>399</v>
      </c>
      <c r="F29" s="8">
        <f t="shared" si="2"/>
        <v>399</v>
      </c>
      <c r="G29" s="40"/>
      <c r="H29" s="40"/>
      <c r="I29" s="40"/>
    </row>
    <row r="30" spans="1:9" ht="15.75" customHeight="1">
      <c r="A30" s="40"/>
      <c r="B30" s="40"/>
      <c r="C30" s="35">
        <v>11993.65</v>
      </c>
      <c r="D30" s="6">
        <f t="shared" si="0"/>
        <v>0</v>
      </c>
      <c r="E30" s="7">
        <f t="shared" si="1"/>
        <v>411</v>
      </c>
      <c r="F30" s="8">
        <f t="shared" si="2"/>
        <v>411</v>
      </c>
      <c r="G30" s="40"/>
      <c r="H30" s="40"/>
      <c r="I30" s="40"/>
    </row>
    <row r="31" spans="1:9" ht="15.75" customHeight="1">
      <c r="A31" s="40"/>
      <c r="B31" s="40"/>
      <c r="C31" s="35">
        <v>11582.65</v>
      </c>
      <c r="D31" s="6">
        <f t="shared" si="0"/>
        <v>0</v>
      </c>
      <c r="E31" s="7">
        <f t="shared" si="1"/>
        <v>419</v>
      </c>
      <c r="F31" s="8">
        <f t="shared" si="2"/>
        <v>419</v>
      </c>
      <c r="G31" s="40"/>
      <c r="H31" s="40"/>
      <c r="I31" s="40"/>
    </row>
    <row r="32" spans="1:9" ht="15.75" customHeight="1">
      <c r="A32" s="40"/>
      <c r="B32" s="40"/>
      <c r="C32" s="35">
        <v>11163.65</v>
      </c>
      <c r="D32" s="6">
        <f t="shared" si="0"/>
        <v>0</v>
      </c>
      <c r="E32" s="7">
        <f t="shared" si="1"/>
        <v>426</v>
      </c>
      <c r="F32" s="8">
        <f t="shared" si="2"/>
        <v>426</v>
      </c>
      <c r="G32" s="40"/>
      <c r="H32" s="40"/>
      <c r="I32" s="40"/>
    </row>
    <row r="33" spans="1:9" ht="15.75" customHeight="1">
      <c r="A33" s="40"/>
      <c r="B33" s="40"/>
      <c r="C33" s="35">
        <v>10737.65</v>
      </c>
      <c r="D33" s="6">
        <f t="shared" si="0"/>
        <v>0</v>
      </c>
      <c r="E33" s="7">
        <f t="shared" si="1"/>
        <v>428.64999999999964</v>
      </c>
      <c r="F33" s="8">
        <f t="shared" si="2"/>
        <v>428.64999999999964</v>
      </c>
      <c r="G33" s="40"/>
      <c r="H33" s="40"/>
      <c r="I33" s="40"/>
    </row>
    <row r="34" spans="1:9" ht="15.75" customHeight="1">
      <c r="A34" s="40"/>
      <c r="B34" s="40"/>
      <c r="C34" s="35">
        <v>10309</v>
      </c>
      <c r="D34" s="6">
        <f t="shared" si="0"/>
        <v>0</v>
      </c>
      <c r="E34" s="7">
        <f t="shared" si="1"/>
        <v>429</v>
      </c>
      <c r="F34" s="8">
        <f t="shared" si="2"/>
        <v>429</v>
      </c>
      <c r="G34" s="40"/>
      <c r="H34" s="40"/>
      <c r="I34" s="40"/>
    </row>
    <row r="35" spans="1:9" ht="15.75" customHeight="1">
      <c r="A35" s="40"/>
      <c r="B35" s="40"/>
      <c r="C35" s="35">
        <v>9880</v>
      </c>
      <c r="D35" s="6">
        <f t="shared" si="0"/>
        <v>0</v>
      </c>
      <c r="E35" s="7">
        <f t="shared" si="1"/>
        <v>438</v>
      </c>
      <c r="F35" s="8">
        <f t="shared" si="2"/>
        <v>438</v>
      </c>
      <c r="G35" s="40"/>
      <c r="H35" s="40"/>
      <c r="I35" s="40"/>
    </row>
    <row r="36" spans="1:9" ht="15.75" customHeight="1">
      <c r="A36" s="40"/>
      <c r="B36" s="40"/>
      <c r="C36" s="35">
        <v>9442</v>
      </c>
      <c r="D36" s="6">
        <f t="shared" si="0"/>
        <v>0</v>
      </c>
      <c r="E36" s="7">
        <f t="shared" si="1"/>
        <v>422</v>
      </c>
      <c r="F36" s="8">
        <f t="shared" si="2"/>
        <v>422</v>
      </c>
      <c r="G36" s="40"/>
      <c r="H36" s="40"/>
      <c r="I36" s="40"/>
    </row>
    <row r="37" spans="1:9" ht="15.75" customHeight="1">
      <c r="A37" s="40"/>
      <c r="B37" s="40"/>
      <c r="C37" s="35">
        <v>9020</v>
      </c>
      <c r="D37" s="6">
        <f t="shared" si="0"/>
        <v>0</v>
      </c>
      <c r="E37" s="7">
        <f t="shared" si="1"/>
        <v>326.35299999999916</v>
      </c>
      <c r="F37" s="8">
        <f t="shared" si="2"/>
        <v>326.35299999999916</v>
      </c>
      <c r="G37" s="40"/>
      <c r="H37" s="40"/>
      <c r="I37" s="40"/>
    </row>
    <row r="38" spans="1:9" ht="15.75" customHeight="1">
      <c r="A38" s="40"/>
      <c r="B38" s="40"/>
      <c r="C38" s="35">
        <v>8693.6470000000008</v>
      </c>
      <c r="D38" s="6">
        <f t="shared" si="0"/>
        <v>0</v>
      </c>
      <c r="E38" s="7">
        <f t="shared" si="1"/>
        <v>386</v>
      </c>
      <c r="F38" s="8">
        <f t="shared" si="2"/>
        <v>386</v>
      </c>
      <c r="G38" s="40"/>
      <c r="H38" s="40"/>
      <c r="I38" s="40"/>
    </row>
    <row r="39" spans="1:9" ht="15.75" customHeight="1">
      <c r="A39" s="40"/>
      <c r="B39" s="40"/>
      <c r="C39" s="35">
        <v>8307.6470000000008</v>
      </c>
      <c r="D39" s="6">
        <f t="shared" si="0"/>
        <v>0</v>
      </c>
      <c r="E39" s="7">
        <f t="shared" si="1"/>
        <v>338.00000000000091</v>
      </c>
      <c r="F39" s="8">
        <f t="shared" si="2"/>
        <v>338.00000000000091</v>
      </c>
      <c r="G39" s="40"/>
      <c r="H39" s="40"/>
      <c r="I39" s="40"/>
    </row>
    <row r="40" spans="1:9" ht="15.75" customHeight="1">
      <c r="A40" s="40"/>
      <c r="B40" s="40"/>
      <c r="C40" s="35">
        <v>7969.6469999999999</v>
      </c>
      <c r="D40" s="6">
        <f t="shared" si="0"/>
        <v>0</v>
      </c>
      <c r="E40" s="7">
        <f t="shared" si="1"/>
        <v>183</v>
      </c>
      <c r="F40" s="8">
        <f t="shared" si="2"/>
        <v>183</v>
      </c>
      <c r="G40" s="40"/>
      <c r="H40" s="40"/>
      <c r="I40" s="40"/>
    </row>
    <row r="41" spans="1:9" ht="15.75" customHeight="1">
      <c r="A41" s="40"/>
      <c r="B41" s="40"/>
      <c r="C41" s="35">
        <v>7786.6469999999999</v>
      </c>
      <c r="D41" s="6">
        <f t="shared" si="0"/>
        <v>0</v>
      </c>
      <c r="E41" s="7">
        <f t="shared" si="1"/>
        <v>230</v>
      </c>
      <c r="F41" s="8">
        <f t="shared" si="2"/>
        <v>230</v>
      </c>
      <c r="G41" s="40"/>
      <c r="H41" s="40"/>
      <c r="I41" s="40"/>
    </row>
    <row r="42" spans="1:9" ht="15.75" customHeight="1">
      <c r="A42" s="40"/>
      <c r="B42" s="40"/>
      <c r="C42" s="35">
        <v>7556.6469999999999</v>
      </c>
      <c r="D42" s="6">
        <f t="shared" si="0"/>
        <v>0</v>
      </c>
      <c r="E42" s="7">
        <f t="shared" si="1"/>
        <v>296.64699999999993</v>
      </c>
      <c r="F42" s="8">
        <f t="shared" si="2"/>
        <v>296.64699999999993</v>
      </c>
      <c r="G42" s="40"/>
      <c r="H42" s="40"/>
      <c r="I42" s="40"/>
    </row>
    <row r="43" spans="1:9" ht="15.75" customHeight="1">
      <c r="A43" s="40"/>
      <c r="B43" s="40"/>
      <c r="C43" s="35">
        <v>7260</v>
      </c>
      <c r="D43" s="6">
        <f t="shared" si="0"/>
        <v>0</v>
      </c>
      <c r="E43" s="7">
        <f t="shared" si="1"/>
        <v>455</v>
      </c>
      <c r="F43" s="8">
        <f t="shared" si="2"/>
        <v>455</v>
      </c>
      <c r="G43" s="40"/>
      <c r="H43" s="40"/>
      <c r="I43" s="40"/>
    </row>
    <row r="44" spans="1:9" ht="15.75" customHeight="1">
      <c r="A44" s="40"/>
      <c r="B44" s="40"/>
      <c r="C44" s="35">
        <v>6805</v>
      </c>
      <c r="D44" s="6">
        <f t="shared" si="0"/>
        <v>0</v>
      </c>
      <c r="E44" s="7">
        <f t="shared" si="1"/>
        <v>430.35300000000007</v>
      </c>
      <c r="F44" s="8">
        <f t="shared" si="2"/>
        <v>430.35300000000007</v>
      </c>
      <c r="G44" s="40"/>
      <c r="H44" s="40"/>
      <c r="I44" s="40"/>
    </row>
    <row r="45" spans="1:9" ht="15.75" customHeight="1">
      <c r="A45" s="40"/>
      <c r="B45" s="40"/>
      <c r="C45" s="35">
        <v>6374.6469999999999</v>
      </c>
      <c r="D45" s="6">
        <f t="shared" si="0"/>
        <v>0</v>
      </c>
      <c r="E45" s="7">
        <f t="shared" si="1"/>
        <v>445</v>
      </c>
      <c r="F45" s="8">
        <f t="shared" si="2"/>
        <v>445</v>
      </c>
      <c r="G45" s="40"/>
      <c r="H45" s="40"/>
      <c r="I45" s="40"/>
    </row>
    <row r="46" spans="1:9" ht="15.75" customHeight="1">
      <c r="A46" s="40"/>
      <c r="B46" s="40"/>
      <c r="C46" s="35">
        <v>5929.6469999999999</v>
      </c>
      <c r="D46" s="6">
        <f t="shared" si="0"/>
        <v>0</v>
      </c>
      <c r="E46" s="7">
        <f t="shared" si="1"/>
        <v>363.64699999999993</v>
      </c>
      <c r="F46" s="8">
        <f t="shared" si="2"/>
        <v>363.64699999999993</v>
      </c>
      <c r="G46" s="40"/>
      <c r="H46" s="40"/>
      <c r="I46" s="40"/>
    </row>
    <row r="47" spans="1:9" ht="15.75" customHeight="1">
      <c r="A47" s="40"/>
      <c r="B47" s="40"/>
      <c r="C47" s="35">
        <v>5566</v>
      </c>
      <c r="D47" s="6">
        <f t="shared" si="0"/>
        <v>0</v>
      </c>
      <c r="E47" s="7">
        <f t="shared" si="1"/>
        <v>412.35300000000007</v>
      </c>
      <c r="F47" s="8">
        <f t="shared" si="2"/>
        <v>412.35300000000007</v>
      </c>
      <c r="G47" s="40"/>
      <c r="H47" s="40"/>
      <c r="I47" s="40"/>
    </row>
    <row r="48" spans="1:9" ht="15.75" customHeight="1">
      <c r="A48" s="40"/>
      <c r="B48" s="40"/>
      <c r="C48" s="35">
        <v>5153.6469999999999</v>
      </c>
      <c r="D48" s="6">
        <f t="shared" si="0"/>
        <v>0</v>
      </c>
      <c r="E48" s="7">
        <f t="shared" si="1"/>
        <v>340</v>
      </c>
      <c r="F48" s="8">
        <f t="shared" si="2"/>
        <v>340</v>
      </c>
      <c r="G48" s="40"/>
      <c r="H48" s="40"/>
      <c r="I48" s="40"/>
    </row>
    <row r="49" spans="1:9" ht="15.75" customHeight="1">
      <c r="A49" s="40"/>
      <c r="B49" s="40"/>
      <c r="C49" s="35">
        <v>4813.6469999999999</v>
      </c>
      <c r="D49" s="6">
        <f t="shared" si="0"/>
        <v>0</v>
      </c>
      <c r="E49" s="7">
        <f t="shared" si="1"/>
        <v>295</v>
      </c>
      <c r="F49" s="8">
        <f t="shared" si="2"/>
        <v>295</v>
      </c>
      <c r="G49" s="40"/>
      <c r="H49" s="40"/>
      <c r="I49" s="40"/>
    </row>
    <row r="50" spans="1:9" ht="15.75" customHeight="1">
      <c r="A50" s="40"/>
      <c r="B50" s="40"/>
      <c r="C50" s="35">
        <v>4518.6469999999999</v>
      </c>
      <c r="D50" s="6">
        <f t="shared" si="0"/>
        <v>0</v>
      </c>
      <c r="E50" s="7">
        <f t="shared" si="1"/>
        <v>321</v>
      </c>
      <c r="F50" s="8">
        <f t="shared" si="2"/>
        <v>321</v>
      </c>
      <c r="G50" s="40"/>
      <c r="H50" s="40"/>
      <c r="I50" s="40"/>
    </row>
    <row r="51" spans="1:9" ht="15.75" customHeight="1">
      <c r="A51" s="40"/>
      <c r="B51" s="40"/>
      <c r="C51" s="35">
        <v>4197.6469999999999</v>
      </c>
      <c r="D51" s="6">
        <f t="shared" si="0"/>
        <v>0</v>
      </c>
      <c r="E51" s="7">
        <f t="shared" si="1"/>
        <v>288</v>
      </c>
      <c r="F51" s="8">
        <f t="shared" si="2"/>
        <v>288</v>
      </c>
      <c r="G51" s="40"/>
      <c r="H51" s="40"/>
      <c r="I51" s="40"/>
    </row>
    <row r="52" spans="1:9" ht="15.75" customHeight="1">
      <c r="A52" s="40"/>
      <c r="B52" s="40"/>
      <c r="C52" s="35">
        <v>3909.6469999999999</v>
      </c>
      <c r="D52" s="6">
        <f t="shared" si="0"/>
        <v>0</v>
      </c>
      <c r="E52" s="7">
        <f t="shared" si="1"/>
        <v>271.64699999999993</v>
      </c>
      <c r="F52" s="8">
        <f t="shared" si="2"/>
        <v>271.64699999999993</v>
      </c>
      <c r="G52" s="40"/>
      <c r="H52" s="40"/>
      <c r="I52" s="40"/>
    </row>
    <row r="53" spans="1:9" ht="15.75" customHeight="1">
      <c r="A53" s="40"/>
      <c r="B53" s="40"/>
      <c r="C53" s="35">
        <v>3638</v>
      </c>
      <c r="D53" s="6">
        <f t="shared" si="0"/>
        <v>0</v>
      </c>
      <c r="E53" s="7">
        <f t="shared" si="1"/>
        <v>269.35300000000007</v>
      </c>
      <c r="F53" s="8">
        <f t="shared" si="2"/>
        <v>269.35300000000007</v>
      </c>
      <c r="G53" s="40"/>
      <c r="H53" s="40"/>
      <c r="I53" s="40"/>
    </row>
    <row r="54" spans="1:9" ht="15.75" customHeight="1">
      <c r="A54" s="40"/>
      <c r="B54" s="40"/>
      <c r="C54" s="35">
        <v>3368.6469999999999</v>
      </c>
      <c r="D54" s="6">
        <f t="shared" si="0"/>
        <v>0</v>
      </c>
      <c r="E54" s="7">
        <f t="shared" si="1"/>
        <v>254</v>
      </c>
      <c r="F54" s="8">
        <f t="shared" si="2"/>
        <v>254</v>
      </c>
      <c r="G54" s="40"/>
      <c r="H54" s="40"/>
      <c r="I54" s="40"/>
    </row>
    <row r="55" spans="1:9" ht="15.75" customHeight="1">
      <c r="A55" s="40"/>
      <c r="B55" s="40"/>
      <c r="C55" s="35">
        <v>3114.6469999999999</v>
      </c>
      <c r="D55" s="6">
        <f t="shared" si="0"/>
        <v>0</v>
      </c>
      <c r="E55" s="7">
        <f t="shared" si="1"/>
        <v>226.64699999999993</v>
      </c>
      <c r="F55" s="8">
        <f t="shared" si="2"/>
        <v>226.64699999999993</v>
      </c>
      <c r="G55" s="40"/>
      <c r="H55" s="40"/>
      <c r="I55" s="40"/>
    </row>
    <row r="56" spans="1:9" ht="15.75" customHeight="1">
      <c r="A56" s="40"/>
      <c r="B56" s="40"/>
      <c r="C56" s="35">
        <v>2888</v>
      </c>
      <c r="D56" s="6">
        <f t="shared" si="0"/>
        <v>0</v>
      </c>
      <c r="E56" s="7">
        <f t="shared" si="1"/>
        <v>305.35300000000007</v>
      </c>
      <c r="F56" s="8">
        <f t="shared" si="2"/>
        <v>305.35300000000007</v>
      </c>
      <c r="G56" s="40"/>
      <c r="H56" s="40"/>
      <c r="I56" s="40"/>
    </row>
    <row r="57" spans="1:9" ht="15.75" customHeight="1">
      <c r="A57" s="40"/>
      <c r="B57" s="40"/>
      <c r="C57" s="35">
        <v>2582.6469999999999</v>
      </c>
      <c r="D57" s="6">
        <f t="shared" si="0"/>
        <v>0</v>
      </c>
      <c r="E57" s="7">
        <f t="shared" si="1"/>
        <v>262</v>
      </c>
      <c r="F57" s="8">
        <f t="shared" si="2"/>
        <v>262</v>
      </c>
      <c r="G57" s="40"/>
      <c r="H57" s="40"/>
      <c r="I57" s="40"/>
    </row>
    <row r="58" spans="1:9" ht="15.75" customHeight="1">
      <c r="A58" s="40"/>
      <c r="B58" s="40"/>
      <c r="C58" s="35">
        <v>2320.6469999999999</v>
      </c>
      <c r="D58" s="6">
        <f t="shared" si="0"/>
        <v>0</v>
      </c>
      <c r="E58" s="7">
        <f t="shared" si="1"/>
        <v>298</v>
      </c>
      <c r="F58" s="8">
        <f t="shared" si="2"/>
        <v>298</v>
      </c>
      <c r="G58" s="40"/>
      <c r="H58" s="40"/>
      <c r="I58" s="40"/>
    </row>
    <row r="59" spans="1:9" ht="15.75" customHeight="1">
      <c r="A59" s="40"/>
      <c r="B59" s="40"/>
      <c r="C59" s="35">
        <v>2022.6469999999999</v>
      </c>
      <c r="D59" s="6">
        <f t="shared" si="0"/>
        <v>0</v>
      </c>
      <c r="E59" s="7">
        <f t="shared" si="1"/>
        <v>287</v>
      </c>
      <c r="F59" s="8">
        <f t="shared" si="2"/>
        <v>287</v>
      </c>
      <c r="G59" s="40"/>
      <c r="H59" s="40"/>
      <c r="I59" s="40"/>
    </row>
    <row r="60" spans="1:9" ht="15.75" customHeight="1">
      <c r="A60" s="40"/>
      <c r="B60" s="40"/>
      <c r="C60" s="35">
        <v>1735.6469999999999</v>
      </c>
      <c r="D60" s="6">
        <f t="shared" si="0"/>
        <v>0</v>
      </c>
      <c r="E60" s="7">
        <f t="shared" si="1"/>
        <v>274</v>
      </c>
      <c r="F60" s="8">
        <f t="shared" si="2"/>
        <v>274</v>
      </c>
      <c r="G60" s="40"/>
      <c r="H60" s="40"/>
      <c r="I60" s="40"/>
    </row>
    <row r="61" spans="1:9" ht="15.75" customHeight="1">
      <c r="A61" s="40"/>
      <c r="B61" s="40"/>
      <c r="C61" s="35">
        <v>1461.6469999999999</v>
      </c>
      <c r="D61" s="6">
        <f t="shared" si="0"/>
        <v>0</v>
      </c>
      <c r="E61" s="7">
        <f t="shared" si="1"/>
        <v>128</v>
      </c>
      <c r="F61" s="8">
        <f t="shared" si="2"/>
        <v>128</v>
      </c>
      <c r="G61" s="40"/>
      <c r="H61" s="40"/>
      <c r="I61" s="40"/>
    </row>
    <row r="62" spans="1:9" ht="15.75" customHeight="1">
      <c r="A62" s="40"/>
      <c r="B62" s="40"/>
      <c r="C62" s="35">
        <v>1333.6469999999999</v>
      </c>
      <c r="D62" s="6">
        <f t="shared" si="0"/>
        <v>0</v>
      </c>
      <c r="E62" s="7">
        <f t="shared" si="1"/>
        <v>244</v>
      </c>
      <c r="F62" s="8">
        <f t="shared" si="2"/>
        <v>244</v>
      </c>
      <c r="G62" s="40"/>
      <c r="H62" s="40"/>
      <c r="I62" s="40"/>
    </row>
    <row r="63" spans="1:9" ht="15.75" customHeight="1">
      <c r="A63" s="40"/>
      <c r="B63" s="40"/>
      <c r="C63" s="35">
        <v>1089.6469999999999</v>
      </c>
      <c r="D63" s="6">
        <f t="shared" si="0"/>
        <v>0</v>
      </c>
      <c r="E63" s="7">
        <f t="shared" si="1"/>
        <v>193.99999999999989</v>
      </c>
      <c r="F63" s="8">
        <f t="shared" si="2"/>
        <v>193.99999999999989</v>
      </c>
      <c r="G63" s="40"/>
      <c r="H63" s="40"/>
      <c r="I63" s="40"/>
    </row>
    <row r="64" spans="1:9" ht="15.75" customHeight="1">
      <c r="A64" s="40"/>
      <c r="B64" s="40"/>
      <c r="C64" s="35">
        <v>895.64700000000005</v>
      </c>
      <c r="D64" s="6">
        <f t="shared" si="0"/>
        <v>0</v>
      </c>
      <c r="E64" s="7">
        <f t="shared" si="1"/>
        <v>181.64700000000005</v>
      </c>
      <c r="F64" s="8">
        <f t="shared" si="2"/>
        <v>181.64700000000005</v>
      </c>
      <c r="G64" s="40"/>
      <c r="H64" s="40"/>
      <c r="I64" s="40"/>
    </row>
    <row r="65" spans="1:26" ht="15.75" customHeight="1">
      <c r="A65" s="40"/>
      <c r="B65" s="40"/>
      <c r="C65" s="35">
        <v>714</v>
      </c>
      <c r="D65" s="6">
        <f t="shared" si="0"/>
        <v>0</v>
      </c>
      <c r="E65" s="7">
        <f t="shared" si="1"/>
        <v>171</v>
      </c>
      <c r="F65" s="8">
        <f t="shared" si="2"/>
        <v>171</v>
      </c>
      <c r="G65" s="40"/>
      <c r="H65" s="40"/>
      <c r="I65" s="40"/>
    </row>
    <row r="66" spans="1:26" ht="15.75" customHeight="1">
      <c r="A66" s="40"/>
      <c r="B66" s="40"/>
      <c r="C66" s="35">
        <v>543</v>
      </c>
      <c r="D66" s="6">
        <f t="shared" si="0"/>
        <v>0</v>
      </c>
      <c r="E66" s="7">
        <f t="shared" si="1"/>
        <v>141.35300000000001</v>
      </c>
      <c r="F66" s="8">
        <f t="shared" si="2"/>
        <v>141.35300000000001</v>
      </c>
      <c r="G66" s="40"/>
      <c r="H66" s="40"/>
      <c r="I66" s="40"/>
    </row>
    <row r="67" spans="1:26" ht="15.75" customHeight="1">
      <c r="A67" s="40"/>
      <c r="B67" s="40"/>
      <c r="C67" s="35">
        <v>401.64699999999999</v>
      </c>
      <c r="D67" s="6">
        <f t="shared" si="0"/>
        <v>0</v>
      </c>
      <c r="E67" s="7">
        <f t="shared" si="1"/>
        <v>118</v>
      </c>
      <c r="F67" s="8">
        <f t="shared" si="2"/>
        <v>118</v>
      </c>
      <c r="G67" s="40"/>
      <c r="H67" s="40"/>
      <c r="I67" s="40"/>
    </row>
    <row r="68" spans="1:26" ht="15.75" customHeight="1">
      <c r="A68" s="40"/>
      <c r="B68" s="40"/>
      <c r="C68" s="35">
        <v>283.64699999999999</v>
      </c>
      <c r="D68" s="6">
        <f t="shared" si="0"/>
        <v>0</v>
      </c>
      <c r="E68" s="7">
        <f t="shared" si="1"/>
        <v>83.646999999999991</v>
      </c>
      <c r="F68" s="8">
        <f t="shared" si="2"/>
        <v>83.646999999999991</v>
      </c>
      <c r="G68" s="40"/>
      <c r="H68" s="40"/>
      <c r="I68" s="40"/>
    </row>
    <row r="69" spans="1:26" ht="15.75" customHeight="1">
      <c r="A69" s="40"/>
      <c r="B69" s="40"/>
      <c r="C69" s="35">
        <v>200</v>
      </c>
      <c r="D69" s="6">
        <f t="shared" si="0"/>
        <v>0</v>
      </c>
      <c r="E69" s="7">
        <f t="shared" si="1"/>
        <v>56.353000000000009</v>
      </c>
      <c r="F69" s="8">
        <f t="shared" si="2"/>
        <v>56.353000000000009</v>
      </c>
      <c r="G69" s="40"/>
      <c r="H69" s="40"/>
      <c r="I69" s="40"/>
    </row>
    <row r="70" spans="1:26" ht="15.75" customHeight="1">
      <c r="A70" s="40"/>
      <c r="B70" s="40"/>
      <c r="C70" s="35">
        <v>143.64699999999999</v>
      </c>
      <c r="D70" s="6">
        <f t="shared" si="0"/>
        <v>0</v>
      </c>
      <c r="E70" s="7">
        <f t="shared" si="1"/>
        <v>65.999999999999986</v>
      </c>
      <c r="F70" s="8">
        <f t="shared" si="2"/>
        <v>65.999999999999986</v>
      </c>
      <c r="G70" s="40"/>
      <c r="H70" s="40"/>
      <c r="I70" s="40"/>
    </row>
    <row r="71" spans="1:26" ht="15.75" customHeight="1">
      <c r="A71" s="40"/>
      <c r="B71" s="40"/>
      <c r="C71" s="35">
        <v>77.647000000000006</v>
      </c>
      <c r="D71" s="6">
        <f t="shared" si="0"/>
        <v>0</v>
      </c>
      <c r="E71" s="7">
        <f t="shared" si="1"/>
        <v>46.647000000000006</v>
      </c>
      <c r="F71" s="8">
        <f t="shared" si="2"/>
        <v>46.647000000000006</v>
      </c>
      <c r="G71" s="40"/>
      <c r="H71" s="40"/>
      <c r="I71" s="40"/>
    </row>
    <row r="72" spans="1:26" ht="15.75" customHeight="1">
      <c r="A72" s="40"/>
      <c r="B72" s="40"/>
      <c r="C72" s="35">
        <v>31</v>
      </c>
      <c r="D72" s="6">
        <f t="shared" si="0"/>
        <v>0</v>
      </c>
      <c r="E72" s="7">
        <f t="shared" si="1"/>
        <v>20</v>
      </c>
      <c r="F72" s="8">
        <f t="shared" si="2"/>
        <v>20</v>
      </c>
      <c r="G72" s="40"/>
      <c r="H72" s="40"/>
      <c r="I72" s="40"/>
    </row>
    <row r="73" spans="1:26" ht="15.75" customHeight="1">
      <c r="A73" s="40"/>
      <c r="B73" s="40"/>
      <c r="C73" s="35">
        <v>11</v>
      </c>
      <c r="D73" s="6">
        <f t="shared" si="0"/>
        <v>0</v>
      </c>
      <c r="E73" s="7">
        <f t="shared" si="1"/>
        <v>8</v>
      </c>
      <c r="F73" s="8">
        <f t="shared" si="2"/>
        <v>8</v>
      </c>
      <c r="G73" s="40"/>
      <c r="H73" s="40"/>
      <c r="I73" s="40"/>
    </row>
    <row r="74" spans="1:26" ht="15.75" customHeight="1">
      <c r="A74" s="40"/>
      <c r="B74" s="40"/>
      <c r="C74" s="35">
        <v>3</v>
      </c>
      <c r="D74" s="6">
        <f t="shared" si="0"/>
        <v>0</v>
      </c>
      <c r="E74" s="7">
        <f t="shared" si="1"/>
        <v>3</v>
      </c>
      <c r="F74" s="8">
        <f t="shared" si="2"/>
        <v>3</v>
      </c>
      <c r="G74" s="40"/>
      <c r="H74" s="40"/>
      <c r="I74" s="40"/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0</v>
      </c>
      <c r="C76" s="11"/>
      <c r="D76" s="16">
        <f>SUM(D2:D75)</f>
        <v>0</v>
      </c>
      <c r="E76" s="15">
        <f>SUM(E1:E74)</f>
        <v>16078</v>
      </c>
      <c r="F76" s="11"/>
      <c r="G76" s="17" t="e">
        <f t="shared" ref="G76:I76" si="3">AVERAGE(G1:G74)</f>
        <v>#DIV/0!</v>
      </c>
      <c r="H76" s="17" t="e">
        <f t="shared" si="3"/>
        <v>#DIV/0!</v>
      </c>
      <c r="I76" s="17" t="e">
        <f t="shared" si="3"/>
        <v>#DIV/0!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mergeCells count="2">
    <mergeCell ref="A2:B74"/>
    <mergeCell ref="G2:I74"/>
  </mergeCells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15.906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9" t="s">
        <v>526</v>
      </c>
      <c r="B2" s="29">
        <v>2</v>
      </c>
      <c r="C2" s="29">
        <v>14416</v>
      </c>
      <c r="D2" s="6">
        <f t="shared" ref="D2:D74" si="0">( B2/1000)*(10/60)*3159.1*(1-0.0035*(I2-25))*0.9459*0.9857*0.9784</f>
        <v>0.94239035627723144</v>
      </c>
      <c r="E2" s="7">
        <f t="shared" ref="E2:E74" si="1">(C2-C3)</f>
        <v>0</v>
      </c>
      <c r="F2" s="8">
        <f t="shared" ref="F2:F74" si="2">E2-D2</f>
        <v>-0.94239035627723144</v>
      </c>
      <c r="G2" s="29">
        <v>20.13</v>
      </c>
      <c r="H2" s="29">
        <v>1</v>
      </c>
      <c r="I2" s="29">
        <v>30.42</v>
      </c>
    </row>
    <row r="3" spans="1:26" ht="15.75" customHeight="1">
      <c r="A3" s="29" t="s">
        <v>527</v>
      </c>
      <c r="B3" s="29">
        <v>0</v>
      </c>
      <c r="C3" s="29">
        <v>14416</v>
      </c>
      <c r="D3" s="6">
        <f t="shared" si="0"/>
        <v>0</v>
      </c>
      <c r="E3" s="7">
        <f t="shared" si="1"/>
        <v>0</v>
      </c>
      <c r="F3" s="8">
        <f t="shared" si="2"/>
        <v>0</v>
      </c>
      <c r="G3" s="29">
        <v>19.690000000000001</v>
      </c>
      <c r="H3" s="29">
        <v>5</v>
      </c>
      <c r="I3" s="29">
        <v>31.28</v>
      </c>
    </row>
    <row r="4" spans="1:26" ht="15.75" customHeight="1">
      <c r="A4" s="29" t="s">
        <v>528</v>
      </c>
      <c r="B4" s="29">
        <v>0</v>
      </c>
      <c r="C4" s="29">
        <v>14416</v>
      </c>
      <c r="D4" s="6">
        <f t="shared" si="0"/>
        <v>0</v>
      </c>
      <c r="E4" s="7">
        <f t="shared" si="1"/>
        <v>0.3500000000003638</v>
      </c>
      <c r="F4" s="8">
        <f t="shared" si="2"/>
        <v>0.3500000000003638</v>
      </c>
      <c r="G4" s="29">
        <v>20.94</v>
      </c>
      <c r="H4" s="29">
        <v>5.444</v>
      </c>
      <c r="I4" s="29">
        <v>32.43</v>
      </c>
    </row>
    <row r="5" spans="1:26" ht="15.75" customHeight="1">
      <c r="A5" s="29" t="s">
        <v>529</v>
      </c>
      <c r="B5" s="29">
        <v>3</v>
      </c>
      <c r="C5" s="29">
        <v>14415.65</v>
      </c>
      <c r="D5" s="6">
        <f t="shared" si="0"/>
        <v>1.3382902711711959</v>
      </c>
      <c r="E5" s="7">
        <f t="shared" si="1"/>
        <v>5</v>
      </c>
      <c r="F5" s="8">
        <f t="shared" si="2"/>
        <v>3.6617097288288041</v>
      </c>
      <c r="G5" s="29">
        <v>29.94</v>
      </c>
      <c r="H5" s="29">
        <v>3</v>
      </c>
      <c r="I5" s="29">
        <v>45.35</v>
      </c>
    </row>
    <row r="6" spans="1:26" ht="15.75" customHeight="1">
      <c r="A6" s="29" t="s">
        <v>530</v>
      </c>
      <c r="B6" s="29">
        <v>20</v>
      </c>
      <c r="C6" s="29">
        <v>14410.65</v>
      </c>
      <c r="D6" s="6">
        <f t="shared" si="0"/>
        <v>8.8836066749216567</v>
      </c>
      <c r="E6" s="7">
        <f t="shared" si="1"/>
        <v>14</v>
      </c>
      <c r="F6" s="8">
        <f t="shared" si="2"/>
        <v>5.1163933250783433</v>
      </c>
      <c r="G6" s="29">
        <v>30.69</v>
      </c>
      <c r="H6" s="29">
        <v>0.55600000000000005</v>
      </c>
      <c r="I6" s="29">
        <v>46.49</v>
      </c>
    </row>
    <row r="7" spans="1:26" ht="15.75" customHeight="1">
      <c r="A7" s="29" t="s">
        <v>531</v>
      </c>
      <c r="B7" s="29">
        <v>34</v>
      </c>
      <c r="C7" s="29">
        <v>14396.65</v>
      </c>
      <c r="D7" s="6">
        <f t="shared" si="0"/>
        <v>15.019826009379367</v>
      </c>
      <c r="E7" s="7">
        <f t="shared" si="1"/>
        <v>18</v>
      </c>
      <c r="F7" s="8">
        <f t="shared" si="2"/>
        <v>2.9801739906206333</v>
      </c>
      <c r="G7" s="29">
        <v>30.81</v>
      </c>
      <c r="H7" s="29">
        <v>2.778</v>
      </c>
      <c r="I7" s="29">
        <v>47.93</v>
      </c>
    </row>
    <row r="8" spans="1:26" ht="15.75" customHeight="1">
      <c r="A8" s="29" t="s">
        <v>532</v>
      </c>
      <c r="B8" s="29">
        <v>54</v>
      </c>
      <c r="C8" s="29">
        <v>14378.65</v>
      </c>
      <c r="D8" s="6">
        <f t="shared" si="0"/>
        <v>23.776948745776178</v>
      </c>
      <c r="E8" s="7">
        <f t="shared" si="1"/>
        <v>28</v>
      </c>
      <c r="F8" s="8">
        <f t="shared" si="2"/>
        <v>4.2230512542238223</v>
      </c>
      <c r="G8" s="29">
        <v>30.31</v>
      </c>
      <c r="H8" s="29">
        <v>1.778</v>
      </c>
      <c r="I8" s="29">
        <v>48.79</v>
      </c>
    </row>
    <row r="9" spans="1:26" ht="15.75" customHeight="1">
      <c r="A9" s="29" t="s">
        <v>533</v>
      </c>
      <c r="B9" s="29">
        <v>68</v>
      </c>
      <c r="C9" s="29">
        <v>14350.65</v>
      </c>
      <c r="D9" s="6">
        <f t="shared" si="0"/>
        <v>29.809882950210415</v>
      </c>
      <c r="E9" s="7">
        <f t="shared" si="1"/>
        <v>35</v>
      </c>
      <c r="F9" s="8">
        <f t="shared" si="2"/>
        <v>5.1901170497895848</v>
      </c>
      <c r="G9" s="29">
        <v>30.5</v>
      </c>
      <c r="H9" s="29">
        <v>1.444</v>
      </c>
      <c r="I9" s="29">
        <v>49.94</v>
      </c>
    </row>
    <row r="10" spans="1:26" ht="15.75" customHeight="1">
      <c r="A10" s="29" t="s">
        <v>534</v>
      </c>
      <c r="B10" s="29">
        <v>85</v>
      </c>
      <c r="C10" s="29">
        <v>14315.65</v>
      </c>
      <c r="D10" s="6">
        <f t="shared" si="0"/>
        <v>37.180905697046271</v>
      </c>
      <c r="E10" s="7">
        <f t="shared" si="1"/>
        <v>36</v>
      </c>
      <c r="F10" s="8">
        <f t="shared" si="2"/>
        <v>-1.1809056970462706</v>
      </c>
      <c r="G10" s="29">
        <v>31</v>
      </c>
      <c r="H10" s="29">
        <v>1.111</v>
      </c>
      <c r="I10" s="29">
        <v>50.51</v>
      </c>
    </row>
    <row r="11" spans="1:26" ht="15.75" customHeight="1">
      <c r="A11" s="29" t="s">
        <v>535</v>
      </c>
      <c r="B11" s="29">
        <v>174</v>
      </c>
      <c r="C11" s="29">
        <v>14279.65</v>
      </c>
      <c r="D11" s="6">
        <f t="shared" si="0"/>
        <v>75.941847178739181</v>
      </c>
      <c r="E11" s="7">
        <f t="shared" si="1"/>
        <v>0</v>
      </c>
      <c r="F11" s="8">
        <f t="shared" si="2"/>
        <v>-75.941847178739181</v>
      </c>
      <c r="G11" s="29">
        <v>31.25</v>
      </c>
      <c r="H11" s="29">
        <v>4</v>
      </c>
      <c r="I11" s="29">
        <v>51.09</v>
      </c>
    </row>
    <row r="12" spans="1:26" ht="15.75" customHeight="1">
      <c r="A12" s="29" t="s">
        <v>536</v>
      </c>
      <c r="B12" s="29">
        <v>273</v>
      </c>
      <c r="C12" s="29">
        <v>14279.65</v>
      </c>
      <c r="D12" s="6">
        <f t="shared" si="0"/>
        <v>119.15013953905631</v>
      </c>
      <c r="E12" s="7">
        <f t="shared" si="1"/>
        <v>0</v>
      </c>
      <c r="F12" s="8">
        <f t="shared" si="2"/>
        <v>-119.15013953905631</v>
      </c>
      <c r="G12" s="29">
        <v>32</v>
      </c>
      <c r="H12" s="29">
        <v>2.3330000000000002</v>
      </c>
      <c r="I12" s="29">
        <v>51.09</v>
      </c>
    </row>
    <row r="13" spans="1:26" ht="15.75" customHeight="1">
      <c r="A13" s="29" t="s">
        <v>537</v>
      </c>
      <c r="B13" s="29">
        <v>248</v>
      </c>
      <c r="C13" s="29">
        <v>14279.65</v>
      </c>
      <c r="D13" s="6">
        <f t="shared" si="0"/>
        <v>108.35985737548218</v>
      </c>
      <c r="E13" s="7">
        <f t="shared" si="1"/>
        <v>0</v>
      </c>
      <c r="F13" s="8">
        <f t="shared" si="2"/>
        <v>-108.35985737548218</v>
      </c>
      <c r="G13" s="29">
        <v>31.94</v>
      </c>
      <c r="H13" s="29">
        <v>1.333</v>
      </c>
      <c r="I13" s="29">
        <v>50.8</v>
      </c>
    </row>
    <row r="14" spans="1:26" ht="15.75" customHeight="1">
      <c r="A14" s="29" t="s">
        <v>538</v>
      </c>
      <c r="B14" s="29">
        <v>302</v>
      </c>
      <c r="C14" s="29">
        <v>14279.65</v>
      </c>
      <c r="D14" s="6">
        <f t="shared" si="0"/>
        <v>131.95434244917587</v>
      </c>
      <c r="E14" s="7">
        <f t="shared" si="1"/>
        <v>0</v>
      </c>
      <c r="F14" s="8">
        <f t="shared" si="2"/>
        <v>-131.95434244917587</v>
      </c>
      <c r="G14" s="29">
        <v>31.75</v>
      </c>
      <c r="H14" s="29">
        <v>1.444</v>
      </c>
      <c r="I14" s="29">
        <v>50.8</v>
      </c>
    </row>
    <row r="15" spans="1:26" ht="15.75" customHeight="1">
      <c r="A15" s="29" t="s">
        <v>539</v>
      </c>
      <c r="B15" s="29">
        <v>362</v>
      </c>
      <c r="C15" s="29">
        <v>14279.65</v>
      </c>
      <c r="D15" s="6">
        <f t="shared" si="0"/>
        <v>158.34691602742058</v>
      </c>
      <c r="E15" s="7">
        <f t="shared" si="1"/>
        <v>0</v>
      </c>
      <c r="F15" s="8">
        <f t="shared" si="2"/>
        <v>-158.34691602742058</v>
      </c>
      <c r="G15" s="29">
        <v>31.75</v>
      </c>
      <c r="H15" s="29">
        <v>2.556</v>
      </c>
      <c r="I15" s="29">
        <v>50.51</v>
      </c>
    </row>
    <row r="16" spans="1:26" ht="15.75" customHeight="1">
      <c r="A16" s="29" t="s">
        <v>540</v>
      </c>
      <c r="B16" s="29">
        <v>257</v>
      </c>
      <c r="C16" s="29">
        <v>14279.65</v>
      </c>
      <c r="D16" s="6">
        <f t="shared" si="0"/>
        <v>112.16698117779296</v>
      </c>
      <c r="E16" s="7">
        <f t="shared" si="1"/>
        <v>0</v>
      </c>
      <c r="F16" s="8">
        <f t="shared" si="2"/>
        <v>-112.16698117779296</v>
      </c>
      <c r="G16" s="29">
        <v>31.5</v>
      </c>
      <c r="H16" s="29">
        <v>0.88900000000000001</v>
      </c>
      <c r="I16" s="29">
        <v>51.09</v>
      </c>
    </row>
    <row r="17" spans="1:9" ht="15.75" customHeight="1">
      <c r="A17" s="29" t="s">
        <v>541</v>
      </c>
      <c r="B17" s="29">
        <v>507</v>
      </c>
      <c r="C17" s="29">
        <v>14279.65</v>
      </c>
      <c r="D17" s="6">
        <f t="shared" si="0"/>
        <v>221.52599874745746</v>
      </c>
      <c r="E17" s="7">
        <f t="shared" si="1"/>
        <v>0</v>
      </c>
      <c r="F17" s="8">
        <f t="shared" si="2"/>
        <v>-221.52599874745746</v>
      </c>
      <c r="G17" s="29">
        <v>32.06</v>
      </c>
      <c r="H17" s="29">
        <v>1.444</v>
      </c>
      <c r="I17" s="29">
        <v>50.8</v>
      </c>
    </row>
    <row r="18" spans="1:9" ht="15.75" customHeight="1">
      <c r="A18" s="29" t="s">
        <v>542</v>
      </c>
      <c r="B18" s="29">
        <v>253</v>
      </c>
      <c r="C18" s="29">
        <v>14279.65</v>
      </c>
      <c r="D18" s="6">
        <f t="shared" si="0"/>
        <v>110.66787225120829</v>
      </c>
      <c r="E18" s="7">
        <f t="shared" si="1"/>
        <v>0</v>
      </c>
      <c r="F18" s="8">
        <f t="shared" si="2"/>
        <v>-110.66787225120829</v>
      </c>
      <c r="G18" s="29">
        <v>31.63</v>
      </c>
      <c r="H18" s="29">
        <v>2.6669999999999998</v>
      </c>
      <c r="I18" s="29">
        <v>50.51</v>
      </c>
    </row>
    <row r="19" spans="1:9" ht="15.75" customHeight="1">
      <c r="A19" s="29" t="s">
        <v>543</v>
      </c>
      <c r="B19" s="29">
        <v>391</v>
      </c>
      <c r="C19" s="29">
        <v>14279.65</v>
      </c>
      <c r="D19" s="6">
        <f t="shared" si="0"/>
        <v>170.84154932989324</v>
      </c>
      <c r="E19" s="7">
        <f t="shared" si="1"/>
        <v>0</v>
      </c>
      <c r="F19" s="8">
        <f t="shared" si="2"/>
        <v>-170.84154932989324</v>
      </c>
      <c r="G19" s="29">
        <v>32.130000000000003</v>
      </c>
      <c r="H19" s="29">
        <v>2.8889999999999998</v>
      </c>
      <c r="I19" s="29">
        <v>50.8</v>
      </c>
    </row>
    <row r="20" spans="1:9" ht="15.75" customHeight="1">
      <c r="A20" s="29" t="s">
        <v>544</v>
      </c>
      <c r="B20" s="29">
        <v>612</v>
      </c>
      <c r="C20" s="29">
        <v>14279.65</v>
      </c>
      <c r="D20" s="6">
        <f t="shared" si="0"/>
        <v>267.70252101873308</v>
      </c>
      <c r="E20" s="7">
        <f t="shared" si="1"/>
        <v>0</v>
      </c>
      <c r="F20" s="8">
        <f t="shared" si="2"/>
        <v>-267.70252101873308</v>
      </c>
      <c r="G20" s="29">
        <v>31.69</v>
      </c>
      <c r="H20" s="29">
        <v>0.88900000000000001</v>
      </c>
      <c r="I20" s="29">
        <v>50.51</v>
      </c>
    </row>
    <row r="21" spans="1:9" ht="15.75" customHeight="1">
      <c r="A21" s="29" t="s">
        <v>545</v>
      </c>
      <c r="B21" s="29">
        <v>353</v>
      </c>
      <c r="C21" s="29">
        <v>14279.65</v>
      </c>
      <c r="D21" s="6">
        <f t="shared" si="0"/>
        <v>154.57627151094167</v>
      </c>
      <c r="E21" s="7">
        <f t="shared" si="1"/>
        <v>0</v>
      </c>
      <c r="F21" s="8">
        <f t="shared" si="2"/>
        <v>-154.57627151094167</v>
      </c>
      <c r="G21" s="29">
        <v>31.37</v>
      </c>
      <c r="H21" s="29">
        <v>1.889</v>
      </c>
      <c r="I21" s="29">
        <v>50.23</v>
      </c>
    </row>
    <row r="22" spans="1:9" ht="15.75" customHeight="1">
      <c r="A22" s="29" t="s">
        <v>546</v>
      </c>
      <c r="B22" s="29">
        <v>431</v>
      </c>
      <c r="C22" s="29">
        <v>14279.65</v>
      </c>
      <c r="D22" s="6">
        <f t="shared" si="0"/>
        <v>188.10882835653211</v>
      </c>
      <c r="E22" s="7">
        <f t="shared" si="1"/>
        <v>0</v>
      </c>
      <c r="F22" s="8">
        <f t="shared" si="2"/>
        <v>-188.10882835653211</v>
      </c>
      <c r="G22" s="29">
        <v>31.63</v>
      </c>
      <c r="H22" s="29">
        <v>0.55600000000000005</v>
      </c>
      <c r="I22" s="29">
        <v>51.09</v>
      </c>
    </row>
    <row r="23" spans="1:9" ht="15.75" customHeight="1">
      <c r="A23" s="29" t="s">
        <v>547</v>
      </c>
      <c r="B23" s="29">
        <v>565</v>
      </c>
      <c r="C23" s="29">
        <v>14279.65</v>
      </c>
      <c r="D23" s="6">
        <f t="shared" si="0"/>
        <v>247.14366728036637</v>
      </c>
      <c r="E23" s="7">
        <f t="shared" si="1"/>
        <v>0</v>
      </c>
      <c r="F23" s="8">
        <f t="shared" si="2"/>
        <v>-247.14366728036637</v>
      </c>
      <c r="G23" s="29">
        <v>31.44</v>
      </c>
      <c r="H23" s="29">
        <v>1.333</v>
      </c>
      <c r="I23" s="29">
        <v>50.51</v>
      </c>
    </row>
    <row r="24" spans="1:9" ht="15.75" customHeight="1">
      <c r="A24" s="29" t="s">
        <v>548</v>
      </c>
      <c r="B24" s="29">
        <v>655</v>
      </c>
      <c r="C24" s="29">
        <v>14279.65</v>
      </c>
      <c r="D24" s="6">
        <f t="shared" si="0"/>
        <v>285.87304541421935</v>
      </c>
      <c r="E24" s="7">
        <f t="shared" si="1"/>
        <v>0</v>
      </c>
      <c r="F24" s="8">
        <f t="shared" si="2"/>
        <v>-285.87304541421935</v>
      </c>
      <c r="G24" s="29">
        <v>32.25</v>
      </c>
      <c r="H24" s="29">
        <v>1</v>
      </c>
      <c r="I24" s="29">
        <v>51.09</v>
      </c>
    </row>
    <row r="25" spans="1:9" ht="15.75" customHeight="1">
      <c r="A25" s="29" t="s">
        <v>549</v>
      </c>
      <c r="B25" s="29">
        <v>755</v>
      </c>
      <c r="C25" s="29">
        <v>14279.65</v>
      </c>
      <c r="D25" s="6">
        <f t="shared" si="0"/>
        <v>327.33474367067527</v>
      </c>
      <c r="E25" s="7">
        <f t="shared" si="1"/>
        <v>100</v>
      </c>
      <c r="F25" s="8">
        <f t="shared" si="2"/>
        <v>-227.33474367067527</v>
      </c>
      <c r="G25" s="29">
        <v>31.63</v>
      </c>
      <c r="H25" s="29">
        <v>2.1110000000000002</v>
      </c>
      <c r="I25" s="29">
        <v>52.81</v>
      </c>
    </row>
    <row r="26" spans="1:9" ht="15.75" customHeight="1">
      <c r="A26" s="29" t="s">
        <v>550</v>
      </c>
      <c r="B26" s="29">
        <v>848</v>
      </c>
      <c r="C26" s="29">
        <v>14179.65</v>
      </c>
      <c r="D26" s="6">
        <f t="shared" si="0"/>
        <v>369.70823915488887</v>
      </c>
      <c r="E26" s="7">
        <f t="shared" si="1"/>
        <v>372.64999999999964</v>
      </c>
      <c r="F26" s="8">
        <f t="shared" si="2"/>
        <v>2.941760845110764</v>
      </c>
      <c r="G26" s="29">
        <v>31.81</v>
      </c>
      <c r="H26" s="29">
        <v>0.88900000000000001</v>
      </c>
      <c r="I26" s="29">
        <v>51.37</v>
      </c>
    </row>
    <row r="27" spans="1:9" ht="15.75" customHeight="1">
      <c r="A27" s="29" t="s">
        <v>551</v>
      </c>
      <c r="B27" s="29">
        <v>855</v>
      </c>
      <c r="C27" s="29">
        <v>13807</v>
      </c>
      <c r="D27" s="6">
        <f t="shared" si="0"/>
        <v>373.16252493001156</v>
      </c>
      <c r="E27" s="7">
        <f t="shared" si="1"/>
        <v>364.35000000000036</v>
      </c>
      <c r="F27" s="8">
        <f t="shared" si="2"/>
        <v>-8.8125249300111932</v>
      </c>
      <c r="G27" s="29">
        <v>32.06</v>
      </c>
      <c r="H27" s="29">
        <v>2</v>
      </c>
      <c r="I27" s="29">
        <v>51.09</v>
      </c>
    </row>
    <row r="28" spans="1:9" ht="15.75" customHeight="1">
      <c r="A28" s="29" t="s">
        <v>552</v>
      </c>
      <c r="B28" s="29">
        <v>830</v>
      </c>
      <c r="C28" s="29">
        <v>13442.65</v>
      </c>
      <c r="D28" s="6">
        <f t="shared" si="0"/>
        <v>362.25133999053747</v>
      </c>
      <c r="E28" s="7">
        <f t="shared" si="1"/>
        <v>366.64999999999964</v>
      </c>
      <c r="F28" s="8">
        <f t="shared" si="2"/>
        <v>4.3986600094621622</v>
      </c>
      <c r="G28" s="29">
        <v>31.63</v>
      </c>
      <c r="H28" s="29">
        <v>2.222</v>
      </c>
      <c r="I28" s="29">
        <v>51.09</v>
      </c>
    </row>
    <row r="29" spans="1:9" ht="15.75" customHeight="1">
      <c r="A29" s="29" t="s">
        <v>553</v>
      </c>
      <c r="B29" s="29">
        <v>928</v>
      </c>
      <c r="C29" s="29">
        <v>13076</v>
      </c>
      <c r="D29" s="6">
        <f t="shared" si="0"/>
        <v>405.02318495327569</v>
      </c>
      <c r="E29" s="7">
        <f t="shared" si="1"/>
        <v>393.35000000000036</v>
      </c>
      <c r="F29" s="8">
        <f t="shared" si="2"/>
        <v>-11.673184953275324</v>
      </c>
      <c r="G29" s="29">
        <v>31.06</v>
      </c>
      <c r="H29" s="29">
        <v>1.333</v>
      </c>
      <c r="I29" s="29">
        <v>51.09</v>
      </c>
    </row>
    <row r="30" spans="1:9" ht="15.75" customHeight="1">
      <c r="A30" s="29" t="s">
        <v>554</v>
      </c>
      <c r="B30" s="29">
        <v>942</v>
      </c>
      <c r="C30" s="29">
        <v>12682.65</v>
      </c>
      <c r="D30" s="6">
        <f t="shared" si="0"/>
        <v>411.13344851938103</v>
      </c>
      <c r="E30" s="7">
        <f t="shared" si="1"/>
        <v>419</v>
      </c>
      <c r="F30" s="8">
        <f t="shared" si="2"/>
        <v>7.8665514806189663</v>
      </c>
      <c r="G30" s="29">
        <v>31.13</v>
      </c>
      <c r="H30" s="29">
        <v>0.88900000000000001</v>
      </c>
      <c r="I30" s="29">
        <v>51.09</v>
      </c>
    </row>
    <row r="31" spans="1:9" ht="15.75" customHeight="1">
      <c r="A31" s="29" t="s">
        <v>555</v>
      </c>
      <c r="B31" s="29">
        <v>1022</v>
      </c>
      <c r="C31" s="29">
        <v>12263.65</v>
      </c>
      <c r="D31" s="6">
        <f t="shared" si="0"/>
        <v>447.52676907700385</v>
      </c>
      <c r="E31" s="7">
        <f t="shared" si="1"/>
        <v>245.64999999999964</v>
      </c>
      <c r="F31" s="8">
        <f t="shared" si="2"/>
        <v>-201.87676907700421</v>
      </c>
      <c r="G31" s="29">
        <v>30.69</v>
      </c>
      <c r="H31" s="29">
        <v>1.111</v>
      </c>
      <c r="I31" s="29">
        <v>50.23</v>
      </c>
    </row>
    <row r="32" spans="1:9" ht="15.75" customHeight="1">
      <c r="A32" s="29" t="s">
        <v>556</v>
      </c>
      <c r="B32" s="29">
        <v>504</v>
      </c>
      <c r="C32" s="29">
        <v>12018</v>
      </c>
      <c r="D32" s="6">
        <f t="shared" si="0"/>
        <v>220.94383833685367</v>
      </c>
      <c r="E32" s="7">
        <f t="shared" si="1"/>
        <v>271</v>
      </c>
      <c r="F32" s="8">
        <f t="shared" si="2"/>
        <v>50.056161663146327</v>
      </c>
      <c r="G32" s="29">
        <v>30.19</v>
      </c>
      <c r="H32" s="29">
        <v>1.333</v>
      </c>
      <c r="I32" s="29">
        <v>49.94</v>
      </c>
    </row>
    <row r="33" spans="1:9" ht="15.75" customHeight="1">
      <c r="A33" s="29" t="s">
        <v>557</v>
      </c>
      <c r="B33" s="29">
        <v>721</v>
      </c>
      <c r="C33" s="29">
        <v>11747</v>
      </c>
      <c r="D33" s="6">
        <f t="shared" si="0"/>
        <v>316.07243539855449</v>
      </c>
      <c r="E33" s="7">
        <f t="shared" si="1"/>
        <v>342.35000000000036</v>
      </c>
      <c r="F33" s="8">
        <f t="shared" si="2"/>
        <v>26.277564601445874</v>
      </c>
      <c r="G33" s="29">
        <v>31.56</v>
      </c>
      <c r="H33" s="29">
        <v>4.1109999999999998</v>
      </c>
      <c r="I33" s="29">
        <v>49.94</v>
      </c>
    </row>
    <row r="34" spans="1:9" ht="15.75" customHeight="1">
      <c r="A34" s="29" t="s">
        <v>558</v>
      </c>
      <c r="B34" s="29">
        <v>703</v>
      </c>
      <c r="C34" s="29">
        <v>11404.65</v>
      </c>
      <c r="D34" s="6">
        <f t="shared" si="0"/>
        <v>307.83886366060051</v>
      </c>
      <c r="E34" s="7">
        <f t="shared" si="1"/>
        <v>330</v>
      </c>
      <c r="F34" s="8">
        <f t="shared" si="2"/>
        <v>22.161136339399491</v>
      </c>
      <c r="G34" s="29">
        <v>30.25</v>
      </c>
      <c r="H34" s="29">
        <v>0.55600000000000005</v>
      </c>
      <c r="I34" s="29">
        <v>50.23</v>
      </c>
    </row>
    <row r="35" spans="1:9" ht="15.75" customHeight="1">
      <c r="A35" s="29" t="s">
        <v>559</v>
      </c>
      <c r="B35" s="29">
        <v>872</v>
      </c>
      <c r="C35" s="29">
        <v>11074.65</v>
      </c>
      <c r="D35" s="6">
        <f t="shared" si="0"/>
        <v>381.00724044927597</v>
      </c>
      <c r="E35" s="7">
        <f t="shared" si="1"/>
        <v>420</v>
      </c>
      <c r="F35" s="8">
        <f t="shared" si="2"/>
        <v>38.992759550724031</v>
      </c>
      <c r="G35" s="29">
        <v>30.37</v>
      </c>
      <c r="H35" s="29">
        <v>0.55600000000000005</v>
      </c>
      <c r="I35" s="29">
        <v>50.8</v>
      </c>
    </row>
    <row r="36" spans="1:9" ht="15.75" customHeight="1">
      <c r="A36" s="29" t="s">
        <v>560</v>
      </c>
      <c r="B36" s="29">
        <v>1039</v>
      </c>
      <c r="C36" s="29">
        <v>10654.65</v>
      </c>
      <c r="D36" s="6">
        <f t="shared" si="0"/>
        <v>454.97095212427297</v>
      </c>
      <c r="E36" s="7">
        <f t="shared" si="1"/>
        <v>431</v>
      </c>
      <c r="F36" s="8">
        <f t="shared" si="2"/>
        <v>-23.970952124272969</v>
      </c>
      <c r="G36" s="29">
        <v>30.06</v>
      </c>
      <c r="H36" s="29">
        <v>1.889</v>
      </c>
      <c r="I36" s="29">
        <v>50.23</v>
      </c>
    </row>
    <row r="37" spans="1:9" ht="15.75" customHeight="1">
      <c r="A37" s="29" t="s">
        <v>561</v>
      </c>
      <c r="B37" s="29">
        <v>1026</v>
      </c>
      <c r="C37" s="29">
        <v>10223.65</v>
      </c>
      <c r="D37" s="6">
        <f t="shared" si="0"/>
        <v>449.27834155871426</v>
      </c>
      <c r="E37" s="7">
        <f t="shared" si="1"/>
        <v>428.00299999999879</v>
      </c>
      <c r="F37" s="8">
        <f t="shared" si="2"/>
        <v>-21.275341558715468</v>
      </c>
      <c r="G37" s="29">
        <v>30.25</v>
      </c>
      <c r="H37" s="29">
        <v>1.556</v>
      </c>
      <c r="I37" s="29">
        <v>50.23</v>
      </c>
    </row>
    <row r="38" spans="1:9" ht="15.75" customHeight="1">
      <c r="A38" s="29" t="s">
        <v>562</v>
      </c>
      <c r="B38" s="29">
        <v>1022</v>
      </c>
      <c r="C38" s="29">
        <v>9795.6470000000008</v>
      </c>
      <c r="D38" s="6">
        <f t="shared" si="0"/>
        <v>448.02500551639764</v>
      </c>
      <c r="E38" s="7">
        <f t="shared" si="1"/>
        <v>429</v>
      </c>
      <c r="F38" s="8">
        <f t="shared" si="2"/>
        <v>-19.025005516397641</v>
      </c>
      <c r="G38" s="29">
        <v>29.94</v>
      </c>
      <c r="H38" s="29">
        <v>0.55600000000000005</v>
      </c>
      <c r="I38" s="29">
        <v>49.94</v>
      </c>
    </row>
    <row r="39" spans="1:9" ht="15.75" customHeight="1">
      <c r="A39" s="29" t="s">
        <v>563</v>
      </c>
      <c r="B39" s="29">
        <v>1040</v>
      </c>
      <c r="C39" s="29">
        <v>9366.6470000000008</v>
      </c>
      <c r="D39" s="6">
        <f t="shared" si="0"/>
        <v>455.40884524470061</v>
      </c>
      <c r="E39" s="7">
        <f t="shared" si="1"/>
        <v>433</v>
      </c>
      <c r="F39" s="8">
        <f t="shared" si="2"/>
        <v>-22.408845244700615</v>
      </c>
      <c r="G39" s="29">
        <v>30</v>
      </c>
      <c r="H39" s="29">
        <v>2.444</v>
      </c>
      <c r="I39" s="29">
        <v>50.23</v>
      </c>
    </row>
    <row r="40" spans="1:9" ht="15.75" customHeight="1">
      <c r="A40" s="29" t="s">
        <v>564</v>
      </c>
      <c r="B40" s="29">
        <v>1042</v>
      </c>
      <c r="C40" s="29">
        <v>8933.6470000000008</v>
      </c>
      <c r="D40" s="6">
        <f t="shared" si="0"/>
        <v>456.28463148555585</v>
      </c>
      <c r="E40" s="7">
        <f t="shared" si="1"/>
        <v>438.64700000000084</v>
      </c>
      <c r="F40" s="8">
        <f t="shared" si="2"/>
        <v>-17.637631485555005</v>
      </c>
      <c r="G40" s="29">
        <v>30</v>
      </c>
      <c r="H40" s="29">
        <v>2.6669999999999998</v>
      </c>
      <c r="I40" s="29">
        <v>50.23</v>
      </c>
    </row>
    <row r="41" spans="1:9" ht="15.75" customHeight="1">
      <c r="A41" s="29" t="s">
        <v>565</v>
      </c>
      <c r="B41" s="29">
        <v>1049</v>
      </c>
      <c r="C41" s="29">
        <v>8495</v>
      </c>
      <c r="D41" s="6">
        <f t="shared" si="0"/>
        <v>460.37268181176643</v>
      </c>
      <c r="E41" s="7">
        <f t="shared" si="1"/>
        <v>446.35300000000007</v>
      </c>
      <c r="F41" s="8">
        <f t="shared" si="2"/>
        <v>-14.019681811766361</v>
      </c>
      <c r="G41" s="29">
        <v>29.87</v>
      </c>
      <c r="H41" s="29">
        <v>1.667</v>
      </c>
      <c r="I41" s="29">
        <v>49.65</v>
      </c>
    </row>
    <row r="42" spans="1:9" ht="15.75" customHeight="1">
      <c r="A42" s="29" t="s">
        <v>566</v>
      </c>
      <c r="B42" s="29">
        <v>1083</v>
      </c>
      <c r="C42" s="29">
        <v>8048.6469999999999</v>
      </c>
      <c r="D42" s="6">
        <f t="shared" si="0"/>
        <v>474.76622404526296</v>
      </c>
      <c r="E42" s="7">
        <f t="shared" si="1"/>
        <v>410.64699999999993</v>
      </c>
      <c r="F42" s="8">
        <f t="shared" si="2"/>
        <v>-64.119224045263024</v>
      </c>
      <c r="G42" s="29">
        <v>30.19</v>
      </c>
      <c r="H42" s="29">
        <v>0.88900000000000001</v>
      </c>
      <c r="I42" s="29">
        <v>49.94</v>
      </c>
    </row>
    <row r="43" spans="1:9" ht="15.75" customHeight="1">
      <c r="A43" s="29" t="s">
        <v>567</v>
      </c>
      <c r="B43" s="29">
        <v>834</v>
      </c>
      <c r="C43" s="29">
        <v>7638</v>
      </c>
      <c r="D43" s="6">
        <f t="shared" si="0"/>
        <v>365.20286243661565</v>
      </c>
      <c r="E43" s="7">
        <f t="shared" si="1"/>
        <v>377.35300000000007</v>
      </c>
      <c r="F43" s="8">
        <f t="shared" si="2"/>
        <v>12.150137563384419</v>
      </c>
      <c r="G43" s="29">
        <v>29.44</v>
      </c>
      <c r="H43" s="29">
        <v>1.444</v>
      </c>
      <c r="I43" s="29">
        <v>50.23</v>
      </c>
    </row>
    <row r="44" spans="1:9" ht="15.75" customHeight="1">
      <c r="A44" s="29" t="s">
        <v>568</v>
      </c>
      <c r="B44" s="29">
        <v>754</v>
      </c>
      <c r="C44" s="29">
        <v>7260.6469999999999</v>
      </c>
      <c r="D44" s="6">
        <f t="shared" si="0"/>
        <v>330.90657968167005</v>
      </c>
      <c r="E44" s="7">
        <f t="shared" si="1"/>
        <v>315</v>
      </c>
      <c r="F44" s="8">
        <f t="shared" si="2"/>
        <v>-15.906579681670053</v>
      </c>
      <c r="G44" s="29">
        <v>29.25</v>
      </c>
      <c r="H44" s="29">
        <v>1.444</v>
      </c>
      <c r="I44" s="29">
        <v>49.65</v>
      </c>
    </row>
    <row r="45" spans="1:9" ht="15.75" customHeight="1">
      <c r="A45" s="29" t="s">
        <v>569</v>
      </c>
      <c r="B45" s="29">
        <v>621</v>
      </c>
      <c r="C45" s="29">
        <v>6945.6469999999999</v>
      </c>
      <c r="D45" s="6">
        <f t="shared" si="0"/>
        <v>272.53711668742324</v>
      </c>
      <c r="E45" s="7">
        <f t="shared" si="1"/>
        <v>315</v>
      </c>
      <c r="F45" s="8">
        <f t="shared" si="2"/>
        <v>42.462883312576764</v>
      </c>
      <c r="G45" s="29">
        <v>29.56</v>
      </c>
      <c r="H45" s="29">
        <v>0.88900000000000001</v>
      </c>
      <c r="I45" s="29">
        <v>49.65</v>
      </c>
    </row>
    <row r="46" spans="1:9" ht="15.75" customHeight="1">
      <c r="A46" s="29" t="s">
        <v>570</v>
      </c>
      <c r="B46" s="29">
        <v>868</v>
      </c>
      <c r="C46" s="29">
        <v>6630.6469999999999</v>
      </c>
      <c r="D46" s="6">
        <f t="shared" si="0"/>
        <v>380.51438824680349</v>
      </c>
      <c r="E46" s="7">
        <f t="shared" si="1"/>
        <v>419</v>
      </c>
      <c r="F46" s="8">
        <f t="shared" si="2"/>
        <v>38.485611753196508</v>
      </c>
      <c r="G46" s="29">
        <v>29.19</v>
      </c>
      <c r="H46" s="29">
        <v>0.55600000000000005</v>
      </c>
      <c r="I46" s="29">
        <v>49.94</v>
      </c>
    </row>
    <row r="47" spans="1:9" ht="15.75" customHeight="1">
      <c r="A47" s="29" t="s">
        <v>571</v>
      </c>
      <c r="B47" s="29">
        <v>974</v>
      </c>
      <c r="C47" s="29">
        <v>6211.6469999999999</v>
      </c>
      <c r="D47" s="6">
        <f t="shared" si="0"/>
        <v>427.45757110072503</v>
      </c>
      <c r="E47" s="7">
        <f t="shared" si="1"/>
        <v>358.64699999999993</v>
      </c>
      <c r="F47" s="8">
        <f t="shared" si="2"/>
        <v>-68.810571100725099</v>
      </c>
      <c r="G47" s="29">
        <v>29.44</v>
      </c>
      <c r="H47" s="29">
        <v>2.8889999999999998</v>
      </c>
      <c r="I47" s="29">
        <v>49.65</v>
      </c>
    </row>
    <row r="48" spans="1:9" ht="15.75" customHeight="1">
      <c r="A48" s="29" t="s">
        <v>572</v>
      </c>
      <c r="B48" s="29">
        <v>647</v>
      </c>
      <c r="C48" s="29">
        <v>5853</v>
      </c>
      <c r="D48" s="6">
        <f t="shared" si="0"/>
        <v>283.94768840058424</v>
      </c>
      <c r="E48" s="7">
        <f t="shared" si="1"/>
        <v>266</v>
      </c>
      <c r="F48" s="8">
        <f t="shared" si="2"/>
        <v>-17.947688400584241</v>
      </c>
      <c r="G48" s="29">
        <v>28.75</v>
      </c>
      <c r="H48" s="29">
        <v>3</v>
      </c>
      <c r="I48" s="29">
        <v>49.65</v>
      </c>
    </row>
    <row r="49" spans="1:9" ht="15.75" customHeight="1">
      <c r="A49" s="29" t="s">
        <v>573</v>
      </c>
      <c r="B49" s="29">
        <v>683</v>
      </c>
      <c r="C49" s="29">
        <v>5587</v>
      </c>
      <c r="D49" s="6">
        <f t="shared" si="0"/>
        <v>299.74694154188415</v>
      </c>
      <c r="E49" s="7">
        <f t="shared" si="1"/>
        <v>329.35300000000007</v>
      </c>
      <c r="F49" s="8">
        <f t="shared" si="2"/>
        <v>29.606058458115911</v>
      </c>
      <c r="G49" s="29">
        <v>28.63</v>
      </c>
      <c r="H49" s="29">
        <v>2.1110000000000002</v>
      </c>
      <c r="I49" s="29">
        <v>49.65</v>
      </c>
    </row>
    <row r="50" spans="1:9" ht="15.75" customHeight="1">
      <c r="A50" s="29" t="s">
        <v>574</v>
      </c>
      <c r="B50" s="29">
        <v>838</v>
      </c>
      <c r="C50" s="29">
        <v>5257.6469999999999</v>
      </c>
      <c r="D50" s="6">
        <f t="shared" si="0"/>
        <v>367.77150367803654</v>
      </c>
      <c r="E50" s="7">
        <f t="shared" si="1"/>
        <v>374.64699999999993</v>
      </c>
      <c r="F50" s="8">
        <f t="shared" si="2"/>
        <v>6.8754963219633964</v>
      </c>
      <c r="G50" s="29">
        <v>29.06</v>
      </c>
      <c r="H50" s="29">
        <v>0.88900000000000001</v>
      </c>
      <c r="I50" s="29">
        <v>49.65</v>
      </c>
    </row>
    <row r="51" spans="1:9" ht="15.75" customHeight="1">
      <c r="A51" s="29" t="s">
        <v>575</v>
      </c>
      <c r="B51" s="29">
        <v>930</v>
      </c>
      <c r="C51" s="29">
        <v>4883</v>
      </c>
      <c r="D51" s="6">
        <f t="shared" si="0"/>
        <v>407.69398740728951</v>
      </c>
      <c r="E51" s="7">
        <f t="shared" si="1"/>
        <v>402.35300000000007</v>
      </c>
      <c r="F51" s="8">
        <f t="shared" si="2"/>
        <v>-5.3409874072894468</v>
      </c>
      <c r="G51" s="29">
        <v>28.63</v>
      </c>
      <c r="H51" s="29">
        <v>1.889</v>
      </c>
      <c r="I51" s="29">
        <v>49.94</v>
      </c>
    </row>
    <row r="52" spans="1:9" ht="15.75" customHeight="1">
      <c r="A52" s="29" t="s">
        <v>576</v>
      </c>
      <c r="B52" s="29">
        <v>924</v>
      </c>
      <c r="C52" s="29">
        <v>4480.6469999999999</v>
      </c>
      <c r="D52" s="6">
        <f t="shared" si="0"/>
        <v>404.61324327509942</v>
      </c>
      <c r="E52" s="7">
        <f t="shared" si="1"/>
        <v>390.64699999999993</v>
      </c>
      <c r="F52" s="8">
        <f t="shared" si="2"/>
        <v>-13.966243275099487</v>
      </c>
      <c r="G52" s="29">
        <v>28.94</v>
      </c>
      <c r="H52" s="29">
        <v>0.88900000000000001</v>
      </c>
      <c r="I52" s="29">
        <v>50.23</v>
      </c>
    </row>
    <row r="53" spans="1:9" ht="15.75" customHeight="1">
      <c r="A53" s="29" t="s">
        <v>577</v>
      </c>
      <c r="B53" s="29">
        <v>876</v>
      </c>
      <c r="C53" s="29">
        <v>4090</v>
      </c>
      <c r="D53" s="6">
        <f t="shared" si="0"/>
        <v>384.02143329976946</v>
      </c>
      <c r="E53" s="7">
        <f t="shared" si="1"/>
        <v>375.35300000000007</v>
      </c>
      <c r="F53" s="8">
        <f t="shared" si="2"/>
        <v>-8.66843329976939</v>
      </c>
      <c r="G53" s="29">
        <v>28.5</v>
      </c>
      <c r="H53" s="29">
        <v>1</v>
      </c>
      <c r="I53" s="29">
        <v>49.94</v>
      </c>
    </row>
    <row r="54" spans="1:9" ht="15.75" customHeight="1">
      <c r="A54" s="29" t="s">
        <v>578</v>
      </c>
      <c r="B54" s="29">
        <v>838</v>
      </c>
      <c r="C54" s="29">
        <v>3714.6469999999999</v>
      </c>
      <c r="D54" s="6">
        <f t="shared" si="0"/>
        <v>367.36296929818127</v>
      </c>
      <c r="E54" s="7">
        <f t="shared" si="1"/>
        <v>361.64699999999993</v>
      </c>
      <c r="F54" s="8">
        <f t="shared" si="2"/>
        <v>-5.715969298181335</v>
      </c>
      <c r="G54" s="29">
        <v>27.63</v>
      </c>
      <c r="H54" s="29">
        <v>2.1110000000000002</v>
      </c>
      <c r="I54" s="29">
        <v>49.94</v>
      </c>
    </row>
    <row r="55" spans="1:9" ht="15.75" customHeight="1">
      <c r="A55" s="29" t="s">
        <v>579</v>
      </c>
      <c r="B55" s="29">
        <v>805</v>
      </c>
      <c r="C55" s="29">
        <v>3353</v>
      </c>
      <c r="D55" s="6">
        <f t="shared" si="0"/>
        <v>353.28885496517825</v>
      </c>
      <c r="E55" s="7">
        <f t="shared" si="1"/>
        <v>348.35300000000007</v>
      </c>
      <c r="F55" s="8">
        <f t="shared" si="2"/>
        <v>-4.93585496517818</v>
      </c>
      <c r="G55" s="29">
        <v>28.06</v>
      </c>
      <c r="H55" s="29">
        <v>2.222</v>
      </c>
      <c r="I55" s="29">
        <v>49.65</v>
      </c>
    </row>
    <row r="56" spans="1:9" ht="15.75" customHeight="1">
      <c r="A56" s="29" t="s">
        <v>580</v>
      </c>
      <c r="B56" s="29">
        <v>722</v>
      </c>
      <c r="C56" s="29">
        <v>3004.6469999999999</v>
      </c>
      <c r="D56" s="6">
        <f t="shared" si="0"/>
        <v>316.86279911162563</v>
      </c>
      <c r="E56" s="7">
        <f t="shared" si="1"/>
        <v>320</v>
      </c>
      <c r="F56" s="8">
        <f t="shared" si="2"/>
        <v>3.1372008883743661</v>
      </c>
      <c r="G56" s="29">
        <v>27.44</v>
      </c>
      <c r="H56" s="29">
        <v>1.444</v>
      </c>
      <c r="I56" s="29">
        <v>49.65</v>
      </c>
    </row>
    <row r="57" spans="1:9" ht="15.75" customHeight="1">
      <c r="A57" s="29" t="s">
        <v>581</v>
      </c>
      <c r="B57" s="29">
        <v>672</v>
      </c>
      <c r="C57" s="29">
        <v>2684.6469999999999</v>
      </c>
      <c r="D57" s="6">
        <f t="shared" si="0"/>
        <v>294.91939197093143</v>
      </c>
      <c r="E57" s="7">
        <f t="shared" si="1"/>
        <v>306.64699999999993</v>
      </c>
      <c r="F57" s="8">
        <f t="shared" si="2"/>
        <v>11.727608029068506</v>
      </c>
      <c r="G57" s="29">
        <v>27.19</v>
      </c>
      <c r="H57" s="29">
        <v>2.222</v>
      </c>
      <c r="I57" s="29">
        <v>49.65</v>
      </c>
    </row>
    <row r="58" spans="1:9" ht="15.75" customHeight="1">
      <c r="A58" s="29" t="s">
        <v>582</v>
      </c>
      <c r="B58" s="29">
        <v>688</v>
      </c>
      <c r="C58" s="29">
        <v>2378</v>
      </c>
      <c r="D58" s="6">
        <f t="shared" si="0"/>
        <v>301.27046685418657</v>
      </c>
      <c r="E58" s="7">
        <f t="shared" si="1"/>
        <v>297.35300000000007</v>
      </c>
      <c r="F58" s="8">
        <f t="shared" si="2"/>
        <v>-3.9174668541865003</v>
      </c>
      <c r="G58" s="29">
        <v>26.81</v>
      </c>
      <c r="H58" s="29">
        <v>1.778</v>
      </c>
      <c r="I58" s="29">
        <v>50.23</v>
      </c>
    </row>
    <row r="59" spans="1:9" ht="15.75" customHeight="1">
      <c r="A59" s="29" t="s">
        <v>583</v>
      </c>
      <c r="B59" s="29">
        <v>635</v>
      </c>
      <c r="C59" s="29">
        <v>2080.6469999999999</v>
      </c>
      <c r="D59" s="6">
        <f t="shared" si="0"/>
        <v>278.37170107917075</v>
      </c>
      <c r="E59" s="7">
        <f t="shared" si="1"/>
        <v>276.64699999999993</v>
      </c>
      <c r="F59" s="8">
        <f t="shared" si="2"/>
        <v>-1.7247010791708135</v>
      </c>
      <c r="G59" s="29">
        <v>26.88</v>
      </c>
      <c r="H59" s="29">
        <v>0.55600000000000005</v>
      </c>
      <c r="I59" s="29">
        <v>49.94</v>
      </c>
    </row>
    <row r="60" spans="1:9" ht="15.75" customHeight="1">
      <c r="A60" s="29" t="s">
        <v>584</v>
      </c>
      <c r="B60" s="29">
        <v>594</v>
      </c>
      <c r="C60" s="29">
        <v>1804</v>
      </c>
      <c r="D60" s="6">
        <f t="shared" si="0"/>
        <v>260.6876768314483</v>
      </c>
      <c r="E60" s="7">
        <f t="shared" si="1"/>
        <v>262</v>
      </c>
      <c r="F60" s="8">
        <f t="shared" si="2"/>
        <v>1.3123231685516998</v>
      </c>
      <c r="G60" s="29">
        <v>25.38</v>
      </c>
      <c r="H60" s="29">
        <v>0.55600000000000005</v>
      </c>
      <c r="I60" s="29">
        <v>49.65</v>
      </c>
    </row>
    <row r="61" spans="1:9" ht="15.75" customHeight="1">
      <c r="A61" s="29" t="s">
        <v>585</v>
      </c>
      <c r="B61" s="29">
        <v>553</v>
      </c>
      <c r="C61" s="29">
        <v>1542</v>
      </c>
      <c r="D61" s="6">
        <f t="shared" si="0"/>
        <v>242.96367666588799</v>
      </c>
      <c r="E61" s="7">
        <f t="shared" si="1"/>
        <v>243</v>
      </c>
      <c r="F61" s="8">
        <f t="shared" si="2"/>
        <v>3.6323334112012162E-2</v>
      </c>
      <c r="G61" s="29">
        <v>25.06</v>
      </c>
      <c r="H61" s="29">
        <v>1.333</v>
      </c>
      <c r="I61" s="29">
        <v>49.36</v>
      </c>
    </row>
    <row r="62" spans="1:9" ht="15.75" customHeight="1">
      <c r="A62" s="29" t="s">
        <v>586</v>
      </c>
      <c r="B62" s="29">
        <v>510</v>
      </c>
      <c r="C62" s="29">
        <v>1299</v>
      </c>
      <c r="D62" s="6">
        <f t="shared" si="0"/>
        <v>224.07138354358563</v>
      </c>
      <c r="E62" s="7">
        <f t="shared" si="1"/>
        <v>223.35300000000007</v>
      </c>
      <c r="F62" s="8">
        <f t="shared" si="2"/>
        <v>-0.71838354358555989</v>
      </c>
      <c r="G62" s="29">
        <v>25.06</v>
      </c>
      <c r="H62" s="29">
        <v>1.333</v>
      </c>
      <c r="I62" s="29">
        <v>49.36</v>
      </c>
    </row>
    <row r="63" spans="1:9" ht="15.75" customHeight="1">
      <c r="A63" s="29" t="s">
        <v>587</v>
      </c>
      <c r="B63" s="29">
        <v>458</v>
      </c>
      <c r="C63" s="29">
        <v>1075.6469999999999</v>
      </c>
      <c r="D63" s="6">
        <f t="shared" si="0"/>
        <v>201.66375047343502</v>
      </c>
      <c r="E63" s="7">
        <f t="shared" si="1"/>
        <v>191.64699999999993</v>
      </c>
      <c r="F63" s="8">
        <f t="shared" si="2"/>
        <v>-10.016750473435081</v>
      </c>
      <c r="G63" s="29">
        <v>24.13</v>
      </c>
      <c r="H63" s="29">
        <v>0.66700000000000004</v>
      </c>
      <c r="I63" s="29">
        <v>48.79</v>
      </c>
    </row>
    <row r="64" spans="1:9" ht="15.75" customHeight="1">
      <c r="A64" s="29" t="s">
        <v>588</v>
      </c>
      <c r="B64" s="29">
        <v>404</v>
      </c>
      <c r="C64" s="29">
        <v>884</v>
      </c>
      <c r="D64" s="6">
        <f t="shared" si="0"/>
        <v>178.86478280256861</v>
      </c>
      <c r="E64" s="7">
        <f t="shared" si="1"/>
        <v>183.35299999999995</v>
      </c>
      <c r="F64" s="8">
        <f t="shared" si="2"/>
        <v>4.4882171974313394</v>
      </c>
      <c r="G64" s="29">
        <v>24.13</v>
      </c>
      <c r="H64" s="29">
        <v>1.222</v>
      </c>
      <c r="I64" s="29">
        <v>47.35</v>
      </c>
    </row>
    <row r="65" spans="1:26" ht="15.75" customHeight="1">
      <c r="A65" s="29" t="s">
        <v>589</v>
      </c>
      <c r="B65" s="29">
        <v>384</v>
      </c>
      <c r="C65" s="29">
        <v>700.64700000000005</v>
      </c>
      <c r="D65" s="6">
        <f t="shared" si="0"/>
        <v>172.04351658195682</v>
      </c>
      <c r="E65" s="7">
        <f t="shared" si="1"/>
        <v>162.64700000000005</v>
      </c>
      <c r="F65" s="8">
        <f t="shared" si="2"/>
        <v>-9.3965165819567744</v>
      </c>
      <c r="G65" s="29">
        <v>23.5</v>
      </c>
      <c r="H65" s="29">
        <v>0.66700000000000004</v>
      </c>
      <c r="I65" s="29">
        <v>44.2</v>
      </c>
    </row>
    <row r="66" spans="1:26" ht="15.75" customHeight="1">
      <c r="A66" s="29" t="s">
        <v>590</v>
      </c>
      <c r="B66" s="29">
        <v>334</v>
      </c>
      <c r="C66" s="29">
        <v>538</v>
      </c>
      <c r="D66" s="6">
        <f t="shared" si="0"/>
        <v>152.54486039976732</v>
      </c>
      <c r="E66" s="7">
        <f t="shared" si="1"/>
        <v>137.35300000000001</v>
      </c>
      <c r="F66" s="8">
        <f t="shared" si="2"/>
        <v>-15.191860399767307</v>
      </c>
      <c r="G66" s="29">
        <v>22.81</v>
      </c>
      <c r="H66" s="29">
        <v>0.55600000000000005</v>
      </c>
      <c r="I66" s="29">
        <v>39.03</v>
      </c>
    </row>
    <row r="67" spans="1:26" ht="15.75" customHeight="1">
      <c r="A67" s="29" t="s">
        <v>591</v>
      </c>
      <c r="B67" s="29">
        <v>288</v>
      </c>
      <c r="C67" s="29">
        <v>400.64699999999999</v>
      </c>
      <c r="D67" s="6">
        <f t="shared" si="0"/>
        <v>132.92519577422721</v>
      </c>
      <c r="E67" s="7">
        <f t="shared" si="1"/>
        <v>115</v>
      </c>
      <c r="F67" s="8">
        <f t="shared" si="2"/>
        <v>-17.925195774227205</v>
      </c>
      <c r="G67" s="29">
        <v>22.19</v>
      </c>
      <c r="H67" s="29">
        <v>1.333</v>
      </c>
      <c r="I67" s="29">
        <v>36.159999999999997</v>
      </c>
    </row>
    <row r="68" spans="1:26" ht="15.75" customHeight="1">
      <c r="A68" s="29" t="s">
        <v>592</v>
      </c>
      <c r="B68" s="29">
        <v>245</v>
      </c>
      <c r="C68" s="29">
        <v>285.64699999999999</v>
      </c>
      <c r="D68" s="6">
        <f t="shared" si="0"/>
        <v>115.67758049955619</v>
      </c>
      <c r="E68" s="7">
        <f t="shared" si="1"/>
        <v>95.646999999999991</v>
      </c>
      <c r="F68" s="8">
        <f t="shared" si="2"/>
        <v>-20.030580499556194</v>
      </c>
      <c r="G68" s="29">
        <v>21.5</v>
      </c>
      <c r="H68" s="29">
        <v>0.55600000000000005</v>
      </c>
      <c r="I68" s="29">
        <v>29.85</v>
      </c>
    </row>
    <row r="69" spans="1:26" ht="15.75" customHeight="1">
      <c r="A69" s="29" t="s">
        <v>593</v>
      </c>
      <c r="B69" s="29">
        <v>204</v>
      </c>
      <c r="C69" s="29">
        <v>190</v>
      </c>
      <c r="D69" s="6">
        <f t="shared" si="0"/>
        <v>98.582688312652792</v>
      </c>
      <c r="E69" s="7">
        <f t="shared" si="1"/>
        <v>75.352999999999994</v>
      </c>
      <c r="F69" s="8">
        <f t="shared" si="2"/>
        <v>-23.229688312652797</v>
      </c>
      <c r="G69" s="29">
        <v>20.5</v>
      </c>
      <c r="H69" s="29">
        <v>0.55600000000000005</v>
      </c>
      <c r="I69" s="29">
        <v>23.25</v>
      </c>
    </row>
    <row r="70" spans="1:26" ht="15.75" customHeight="1">
      <c r="A70" s="29" t="s">
        <v>594</v>
      </c>
      <c r="B70" s="29">
        <v>161</v>
      </c>
      <c r="C70" s="29">
        <v>114.64700000000001</v>
      </c>
      <c r="D70" s="6">
        <f t="shared" si="0"/>
        <v>79.513529491623785</v>
      </c>
      <c r="E70" s="7">
        <f t="shared" si="1"/>
        <v>56.000000000000007</v>
      </c>
      <c r="F70" s="8">
        <f t="shared" si="2"/>
        <v>-23.513529491623778</v>
      </c>
      <c r="G70" s="29">
        <v>18.940000000000001</v>
      </c>
      <c r="H70" s="29">
        <v>0.77800000000000002</v>
      </c>
      <c r="I70" s="29">
        <v>16.93</v>
      </c>
    </row>
    <row r="71" spans="1:26" ht="15.75" customHeight="1">
      <c r="A71" s="29" t="s">
        <v>595</v>
      </c>
      <c r="B71" s="29">
        <v>122</v>
      </c>
      <c r="C71" s="29">
        <v>58.646999999999998</v>
      </c>
      <c r="D71" s="6">
        <f t="shared" si="0"/>
        <v>60.193011820635739</v>
      </c>
      <c r="E71" s="7">
        <f t="shared" si="1"/>
        <v>36</v>
      </c>
      <c r="F71" s="8">
        <f t="shared" si="2"/>
        <v>-24.193011820635739</v>
      </c>
      <c r="G71" s="29">
        <v>16.940000000000001</v>
      </c>
      <c r="H71" s="29">
        <v>0.55600000000000005</v>
      </c>
      <c r="I71" s="29">
        <v>17.22</v>
      </c>
    </row>
    <row r="72" spans="1:26" ht="15.75" customHeight="1">
      <c r="A72" s="29" t="s">
        <v>596</v>
      </c>
      <c r="B72" s="29">
        <v>53</v>
      </c>
      <c r="C72" s="29">
        <v>22.646999999999998</v>
      </c>
      <c r="D72" s="6">
        <f t="shared" si="0"/>
        <v>26.354345976409835</v>
      </c>
      <c r="E72" s="7">
        <f t="shared" si="1"/>
        <v>12.999999999999998</v>
      </c>
      <c r="F72" s="8">
        <f t="shared" si="2"/>
        <v>-13.354345976409837</v>
      </c>
      <c r="G72" s="29">
        <v>16.059999999999999</v>
      </c>
      <c r="H72" s="29">
        <v>0.55600000000000005</v>
      </c>
      <c r="I72" s="29">
        <v>14.92</v>
      </c>
    </row>
    <row r="73" spans="1:26" ht="15.75" customHeight="1">
      <c r="A73" s="29" t="s">
        <v>597</v>
      </c>
      <c r="B73" s="29">
        <v>17</v>
      </c>
      <c r="C73" s="29">
        <v>9.6470000000000002</v>
      </c>
      <c r="D73" s="6">
        <f t="shared" si="0"/>
        <v>8.4695703830295237</v>
      </c>
      <c r="E73" s="7">
        <f t="shared" si="1"/>
        <v>6</v>
      </c>
      <c r="F73" s="8">
        <f t="shared" si="2"/>
        <v>-2.4695703830295237</v>
      </c>
      <c r="G73" s="29">
        <v>16.059999999999999</v>
      </c>
      <c r="H73" s="29">
        <v>0.55600000000000005</v>
      </c>
      <c r="I73" s="29">
        <v>14.35</v>
      </c>
    </row>
    <row r="74" spans="1:26" ht="15.75" customHeight="1">
      <c r="A74" s="29" t="s">
        <v>598</v>
      </c>
      <c r="B74" s="29">
        <v>11</v>
      </c>
      <c r="C74" s="29">
        <v>3.6469999999999998</v>
      </c>
      <c r="D74" s="6">
        <f t="shared" si="0"/>
        <v>5.4697699196322285</v>
      </c>
      <c r="E74" s="7">
        <f t="shared" si="1"/>
        <v>3.6469999999999998</v>
      </c>
      <c r="F74" s="8">
        <f t="shared" si="2"/>
        <v>-1.8227699196322287</v>
      </c>
      <c r="G74" s="29">
        <v>16.25</v>
      </c>
      <c r="H74" s="29">
        <v>0.55600000000000005</v>
      </c>
      <c r="I74" s="29">
        <v>14.92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6.596166666666667</v>
      </c>
      <c r="C76" s="11"/>
      <c r="D76" s="16">
        <f>SUM(D2:D75)</f>
        <v>17386.935836801131</v>
      </c>
      <c r="E76" s="15">
        <f>SUM(E1:E74)</f>
        <v>14416</v>
      </c>
      <c r="F76" s="11"/>
      <c r="G76" s="17">
        <f t="shared" ref="G76:I76" si="3">AVERAGE(G1:G74)</f>
        <v>27.986301369863025</v>
      </c>
      <c r="H76" s="17">
        <f t="shared" si="3"/>
        <v>1.5784383561643829</v>
      </c>
      <c r="I76" s="17">
        <f t="shared" si="3"/>
        <v>45.84616438356165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9" t="s">
        <v>599</v>
      </c>
      <c r="B2" s="29">
        <v>0</v>
      </c>
      <c r="C2" s="29">
        <v>13590</v>
      </c>
      <c r="D2" s="6">
        <f t="shared" ref="D2:D74" si="0">( B2/1000)*(10/60)*3159.1*(1-0.0035*(I2-25))*0.9459*0.9857*0.9784</f>
        <v>0</v>
      </c>
      <c r="E2" s="7">
        <f t="shared" ref="E2:E74" si="1">(C2-C3)</f>
        <v>0.3500000000003638</v>
      </c>
      <c r="F2" s="8">
        <f t="shared" ref="F2:F74" si="2">E2-D2</f>
        <v>0.3500000000003638</v>
      </c>
      <c r="G2" s="29">
        <v>29.13</v>
      </c>
      <c r="H2" s="29">
        <v>1.333</v>
      </c>
      <c r="I2" s="29">
        <v>37.31</v>
      </c>
    </row>
    <row r="3" spans="1:26" ht="15.75" customHeight="1">
      <c r="A3" s="29" t="s">
        <v>600</v>
      </c>
      <c r="B3" s="29">
        <v>4</v>
      </c>
      <c r="C3" s="29">
        <v>13589.65</v>
      </c>
      <c r="D3" s="6">
        <f t="shared" si="0"/>
        <v>1.8307174023078012</v>
      </c>
      <c r="E3" s="7">
        <f t="shared" si="1"/>
        <v>1</v>
      </c>
      <c r="F3" s="8">
        <f t="shared" si="2"/>
        <v>-0.83071740230780122</v>
      </c>
      <c r="G3" s="29">
        <v>29.63</v>
      </c>
      <c r="H3" s="29">
        <v>1</v>
      </c>
      <c r="I3" s="29">
        <v>38.46</v>
      </c>
    </row>
    <row r="4" spans="1:26" ht="15.75" customHeight="1">
      <c r="A4" s="29" t="s">
        <v>601</v>
      </c>
      <c r="B4" s="29">
        <v>4</v>
      </c>
      <c r="C4" s="29">
        <v>13588.65</v>
      </c>
      <c r="D4" s="6">
        <f t="shared" si="0"/>
        <v>1.8133687281241706</v>
      </c>
      <c r="E4" s="7">
        <f t="shared" si="1"/>
        <v>7</v>
      </c>
      <c r="F4" s="8">
        <f t="shared" si="2"/>
        <v>5.1866312718758296</v>
      </c>
      <c r="G4" s="29">
        <v>30.19</v>
      </c>
      <c r="H4" s="29">
        <v>1.111</v>
      </c>
      <c r="I4" s="29">
        <v>41.04</v>
      </c>
    </row>
    <row r="5" spans="1:26" ht="15.75" customHeight="1">
      <c r="A5" s="29" t="s">
        <v>602</v>
      </c>
      <c r="B5" s="29">
        <v>22</v>
      </c>
      <c r="C5" s="29">
        <v>13581.65</v>
      </c>
      <c r="D5" s="6">
        <f t="shared" si="0"/>
        <v>9.8781102966729719</v>
      </c>
      <c r="E5" s="7">
        <f t="shared" si="1"/>
        <v>15.649999999999636</v>
      </c>
      <c r="F5" s="8">
        <f t="shared" si="2"/>
        <v>5.7718897033266643</v>
      </c>
      <c r="G5" s="29">
        <v>30.75</v>
      </c>
      <c r="H5" s="29">
        <v>1.222</v>
      </c>
      <c r="I5" s="29">
        <v>43.62</v>
      </c>
    </row>
    <row r="6" spans="1:26" ht="15.75" customHeight="1">
      <c r="A6" s="29" t="s">
        <v>603</v>
      </c>
      <c r="B6" s="29">
        <v>37</v>
      </c>
      <c r="C6" s="29">
        <v>13566</v>
      </c>
      <c r="D6" s="6">
        <f t="shared" si="0"/>
        <v>16.470126179858237</v>
      </c>
      <c r="E6" s="7">
        <f t="shared" si="1"/>
        <v>25</v>
      </c>
      <c r="F6" s="8">
        <f t="shared" si="2"/>
        <v>8.5298738201417628</v>
      </c>
      <c r="G6" s="29">
        <v>31.25</v>
      </c>
      <c r="H6" s="29">
        <v>1.444</v>
      </c>
      <c r="I6" s="29">
        <v>45.92</v>
      </c>
    </row>
    <row r="7" spans="1:26" ht="15.75" customHeight="1">
      <c r="A7" s="29" t="s">
        <v>604</v>
      </c>
      <c r="B7" s="29">
        <v>49</v>
      </c>
      <c r="C7" s="29">
        <v>13541</v>
      </c>
      <c r="D7" s="6">
        <f t="shared" si="0"/>
        <v>21.646219837046726</v>
      </c>
      <c r="E7" s="7">
        <f t="shared" si="1"/>
        <v>36.350000000000364</v>
      </c>
      <c r="F7" s="8">
        <f t="shared" si="2"/>
        <v>14.703780162953638</v>
      </c>
      <c r="G7" s="29">
        <v>31.37</v>
      </c>
      <c r="H7" s="29">
        <v>1.778</v>
      </c>
      <c r="I7" s="29">
        <v>47.93</v>
      </c>
    </row>
    <row r="8" spans="1:26" ht="15.75" customHeight="1">
      <c r="A8" s="29" t="s">
        <v>605</v>
      </c>
      <c r="B8" s="29">
        <v>62</v>
      </c>
      <c r="C8" s="29">
        <v>13504.65</v>
      </c>
      <c r="D8" s="6">
        <f t="shared" si="0"/>
        <v>27.179599160485967</v>
      </c>
      <c r="E8" s="7">
        <f t="shared" si="1"/>
        <v>53</v>
      </c>
      <c r="F8" s="8">
        <f t="shared" si="2"/>
        <v>25.820400839514033</v>
      </c>
      <c r="G8" s="29">
        <v>31.87</v>
      </c>
      <c r="H8" s="29">
        <v>1.556</v>
      </c>
      <c r="I8" s="29">
        <v>49.94</v>
      </c>
    </row>
    <row r="9" spans="1:26" ht="15.75" customHeight="1">
      <c r="A9" s="29" t="s">
        <v>606</v>
      </c>
      <c r="B9" s="29">
        <v>153</v>
      </c>
      <c r="C9" s="29">
        <v>13451.65</v>
      </c>
      <c r="D9" s="6">
        <f t="shared" si="0"/>
        <v>66.851041042132138</v>
      </c>
      <c r="E9" s="7">
        <f t="shared" si="1"/>
        <v>72.649999999999636</v>
      </c>
      <c r="F9" s="8">
        <f t="shared" si="2"/>
        <v>5.798958957867498</v>
      </c>
      <c r="G9" s="29">
        <v>31.69</v>
      </c>
      <c r="H9" s="29">
        <v>1.444</v>
      </c>
      <c r="I9" s="29">
        <v>50.8</v>
      </c>
    </row>
    <row r="10" spans="1:26" ht="15.75" customHeight="1">
      <c r="A10" s="29" t="s">
        <v>607</v>
      </c>
      <c r="B10" s="29">
        <v>199</v>
      </c>
      <c r="C10" s="29">
        <v>13379</v>
      </c>
      <c r="D10" s="6">
        <f t="shared" si="0"/>
        <v>86.759362726206234</v>
      </c>
      <c r="E10" s="7">
        <f t="shared" si="1"/>
        <v>93</v>
      </c>
      <c r="F10" s="8">
        <f t="shared" si="2"/>
        <v>6.2406372737937659</v>
      </c>
      <c r="G10" s="29">
        <v>32.130000000000003</v>
      </c>
      <c r="H10" s="29">
        <v>3.1110000000000002</v>
      </c>
      <c r="I10" s="29">
        <v>51.37</v>
      </c>
    </row>
    <row r="11" spans="1:26" ht="15.75" customHeight="1">
      <c r="A11" s="29" t="s">
        <v>608</v>
      </c>
      <c r="B11" s="29">
        <v>250</v>
      </c>
      <c r="C11" s="29">
        <v>13286</v>
      </c>
      <c r="D11" s="6">
        <f t="shared" si="0"/>
        <v>108.75041868258126</v>
      </c>
      <c r="E11" s="7">
        <f t="shared" si="1"/>
        <v>114.35000000000036</v>
      </c>
      <c r="F11" s="8">
        <f t="shared" si="2"/>
        <v>5.5995813174191085</v>
      </c>
      <c r="G11" s="29">
        <v>32.56</v>
      </c>
      <c r="H11" s="29">
        <v>0.66700000000000004</v>
      </c>
      <c r="I11" s="29">
        <v>51.95</v>
      </c>
    </row>
    <row r="12" spans="1:26" ht="15.75" customHeight="1">
      <c r="A12" s="29" t="s">
        <v>609</v>
      </c>
      <c r="B12" s="29">
        <v>293</v>
      </c>
      <c r="C12" s="29">
        <v>13171.65</v>
      </c>
      <c r="D12" s="6">
        <f t="shared" si="0"/>
        <v>127.5983314755766</v>
      </c>
      <c r="E12" s="7">
        <f t="shared" si="1"/>
        <v>133</v>
      </c>
      <c r="F12" s="8">
        <f t="shared" si="2"/>
        <v>5.4016685244233997</v>
      </c>
      <c r="G12" s="29">
        <v>32</v>
      </c>
      <c r="H12" s="29">
        <v>1.222</v>
      </c>
      <c r="I12" s="29">
        <v>51.66</v>
      </c>
    </row>
    <row r="13" spans="1:26" ht="15.75" customHeight="1">
      <c r="A13" s="29" t="s">
        <v>610</v>
      </c>
      <c r="B13" s="29">
        <v>324</v>
      </c>
      <c r="C13" s="29">
        <v>13038.65</v>
      </c>
      <c r="D13" s="6">
        <f t="shared" si="0"/>
        <v>141.40895681558334</v>
      </c>
      <c r="E13" s="7">
        <f t="shared" si="1"/>
        <v>94</v>
      </c>
      <c r="F13" s="8">
        <f t="shared" si="2"/>
        <v>-47.408956815583338</v>
      </c>
      <c r="G13" s="29">
        <v>32.06</v>
      </c>
      <c r="H13" s="29">
        <v>1.333</v>
      </c>
      <c r="I13" s="29">
        <v>51.09</v>
      </c>
    </row>
    <row r="14" spans="1:26" ht="15.75" customHeight="1">
      <c r="A14" s="29" t="s">
        <v>611</v>
      </c>
      <c r="B14" s="29">
        <v>369</v>
      </c>
      <c r="C14" s="29">
        <v>12944.65</v>
      </c>
      <c r="D14" s="6">
        <f t="shared" si="0"/>
        <v>160.69550960576029</v>
      </c>
      <c r="E14" s="7">
        <f t="shared" si="1"/>
        <v>126</v>
      </c>
      <c r="F14" s="8">
        <f t="shared" si="2"/>
        <v>-34.695509605760293</v>
      </c>
      <c r="G14" s="29">
        <v>32.44</v>
      </c>
      <c r="H14" s="29">
        <v>2.3330000000000002</v>
      </c>
      <c r="I14" s="29">
        <v>51.66</v>
      </c>
    </row>
    <row r="15" spans="1:26" ht="15.75" customHeight="1">
      <c r="A15" s="29" t="s">
        <v>612</v>
      </c>
      <c r="B15" s="29">
        <v>415</v>
      </c>
      <c r="C15" s="29">
        <v>12818.65</v>
      </c>
      <c r="D15" s="6">
        <f t="shared" si="0"/>
        <v>180.33035432121105</v>
      </c>
      <c r="E15" s="7">
        <f t="shared" si="1"/>
        <v>194</v>
      </c>
      <c r="F15" s="8">
        <f t="shared" si="2"/>
        <v>13.669645678788953</v>
      </c>
      <c r="G15" s="29">
        <v>32.56</v>
      </c>
      <c r="H15" s="29">
        <v>3.778</v>
      </c>
      <c r="I15" s="29">
        <v>52.23</v>
      </c>
    </row>
    <row r="16" spans="1:26" ht="15.75" customHeight="1">
      <c r="A16" s="29" t="s">
        <v>613</v>
      </c>
      <c r="B16" s="29">
        <v>502</v>
      </c>
      <c r="C16" s="29">
        <v>12624.65</v>
      </c>
      <c r="D16" s="6">
        <f t="shared" si="0"/>
        <v>218.37084071462323</v>
      </c>
      <c r="E16" s="7">
        <f t="shared" si="1"/>
        <v>232</v>
      </c>
      <c r="F16" s="8">
        <f t="shared" si="2"/>
        <v>13.629159285376772</v>
      </c>
      <c r="G16" s="29">
        <v>32.630000000000003</v>
      </c>
      <c r="H16" s="29">
        <v>2</v>
      </c>
      <c r="I16" s="29">
        <v>51.95</v>
      </c>
    </row>
    <row r="17" spans="1:9" ht="15.75" customHeight="1">
      <c r="A17" s="29" t="s">
        <v>614</v>
      </c>
      <c r="B17" s="29">
        <v>536</v>
      </c>
      <c r="C17" s="29">
        <v>12392.65</v>
      </c>
      <c r="D17" s="6">
        <f t="shared" si="0"/>
        <v>233.42220365497977</v>
      </c>
      <c r="E17" s="7">
        <f t="shared" si="1"/>
        <v>249.64999999999964</v>
      </c>
      <c r="F17" s="8">
        <f t="shared" si="2"/>
        <v>16.227796345019868</v>
      </c>
      <c r="G17" s="29">
        <v>32.56</v>
      </c>
      <c r="H17" s="29">
        <v>1.333</v>
      </c>
      <c r="I17" s="29">
        <v>51.66</v>
      </c>
    </row>
    <row r="18" spans="1:9" ht="15.75" customHeight="1">
      <c r="A18" s="29" t="s">
        <v>615</v>
      </c>
      <c r="B18" s="29">
        <v>602</v>
      </c>
      <c r="C18" s="29">
        <v>12143</v>
      </c>
      <c r="D18" s="6">
        <f t="shared" si="0"/>
        <v>261.87100818765566</v>
      </c>
      <c r="E18" s="7">
        <f t="shared" si="1"/>
        <v>267.35000000000036</v>
      </c>
      <c r="F18" s="8">
        <f t="shared" si="2"/>
        <v>5.4789918123447023</v>
      </c>
      <c r="G18" s="29">
        <v>32.81</v>
      </c>
      <c r="H18" s="29">
        <v>2.444</v>
      </c>
      <c r="I18" s="29">
        <v>51.95</v>
      </c>
    </row>
    <row r="19" spans="1:9" ht="15.75" customHeight="1">
      <c r="A19" s="29" t="s">
        <v>616</v>
      </c>
      <c r="B19" s="29">
        <v>625</v>
      </c>
      <c r="C19" s="29">
        <v>11875.65</v>
      </c>
      <c r="D19" s="6">
        <f t="shared" si="0"/>
        <v>272.18074120216858</v>
      </c>
      <c r="E19" s="7">
        <f t="shared" si="1"/>
        <v>281.64999999999964</v>
      </c>
      <c r="F19" s="8">
        <f t="shared" si="2"/>
        <v>9.4692587978310598</v>
      </c>
      <c r="G19" s="29">
        <v>33</v>
      </c>
      <c r="H19" s="29">
        <v>1.778</v>
      </c>
      <c r="I19" s="29">
        <v>51.66</v>
      </c>
    </row>
    <row r="20" spans="1:9" ht="15.75" customHeight="1">
      <c r="A20" s="29" t="s">
        <v>617</v>
      </c>
      <c r="B20" s="29">
        <v>679</v>
      </c>
      <c r="C20" s="29">
        <v>11594</v>
      </c>
      <c r="D20" s="6">
        <f t="shared" si="0"/>
        <v>295.69715724203593</v>
      </c>
      <c r="E20" s="7">
        <f t="shared" si="1"/>
        <v>305.35000000000036</v>
      </c>
      <c r="F20" s="8">
        <f t="shared" si="2"/>
        <v>9.6528427579644358</v>
      </c>
      <c r="G20" s="29">
        <v>33.06</v>
      </c>
      <c r="H20" s="29">
        <v>1.444</v>
      </c>
      <c r="I20" s="29">
        <v>51.66</v>
      </c>
    </row>
    <row r="21" spans="1:9" ht="15.75" customHeight="1">
      <c r="A21" s="29" t="s">
        <v>618</v>
      </c>
      <c r="B21" s="29">
        <v>733</v>
      </c>
      <c r="C21" s="29">
        <v>11288.65</v>
      </c>
      <c r="D21" s="6">
        <f t="shared" si="0"/>
        <v>319.91594242537838</v>
      </c>
      <c r="E21" s="7">
        <f t="shared" si="1"/>
        <v>324</v>
      </c>
      <c r="F21" s="8">
        <f t="shared" si="2"/>
        <v>4.0840575746216246</v>
      </c>
      <c r="G21" s="29">
        <v>32.5</v>
      </c>
      <c r="H21" s="29">
        <v>1.667</v>
      </c>
      <c r="I21" s="29">
        <v>51.09</v>
      </c>
    </row>
    <row r="22" spans="1:9" ht="15.75" customHeight="1">
      <c r="A22" s="29" t="s">
        <v>619</v>
      </c>
      <c r="B22" s="29">
        <v>757</v>
      </c>
      <c r="C22" s="29">
        <v>10964.65</v>
      </c>
      <c r="D22" s="6">
        <f t="shared" si="0"/>
        <v>328.93994752085962</v>
      </c>
      <c r="E22" s="7">
        <f t="shared" si="1"/>
        <v>320</v>
      </c>
      <c r="F22" s="8">
        <f t="shared" si="2"/>
        <v>-8.9399475208596186</v>
      </c>
      <c r="G22" s="29">
        <v>32.880000000000003</v>
      </c>
      <c r="H22" s="29">
        <v>2.444</v>
      </c>
      <c r="I22" s="29">
        <v>52.23</v>
      </c>
    </row>
    <row r="23" spans="1:9" ht="15.75" customHeight="1">
      <c r="A23" s="29" t="s">
        <v>620</v>
      </c>
      <c r="B23" s="29">
        <v>807</v>
      </c>
      <c r="C23" s="29">
        <v>10644.65</v>
      </c>
      <c r="D23" s="6">
        <f t="shared" si="0"/>
        <v>347.54625649082493</v>
      </c>
      <c r="E23" s="7">
        <f t="shared" si="1"/>
        <v>324.64999999999964</v>
      </c>
      <c r="F23" s="8">
        <f t="shared" si="2"/>
        <v>-22.896256490825294</v>
      </c>
      <c r="G23" s="29">
        <v>32.56</v>
      </c>
      <c r="H23" s="29">
        <v>1.444</v>
      </c>
      <c r="I23" s="29">
        <v>54.53</v>
      </c>
    </row>
    <row r="24" spans="1:9" ht="15.75" customHeight="1">
      <c r="A24" s="29" t="s">
        <v>621</v>
      </c>
      <c r="B24" s="29">
        <v>835</v>
      </c>
      <c r="C24" s="29">
        <v>10320</v>
      </c>
      <c r="D24" s="6">
        <f t="shared" si="0"/>
        <v>362.83336351376209</v>
      </c>
      <c r="E24" s="7">
        <f t="shared" si="1"/>
        <v>359</v>
      </c>
      <c r="F24" s="8">
        <f t="shared" si="2"/>
        <v>-3.8333635137620945</v>
      </c>
      <c r="G24" s="29">
        <v>31.94</v>
      </c>
      <c r="H24" s="29">
        <v>1</v>
      </c>
      <c r="I24" s="29">
        <v>52.23</v>
      </c>
    </row>
    <row r="25" spans="1:9" ht="15.75" customHeight="1">
      <c r="A25" s="29" t="s">
        <v>622</v>
      </c>
      <c r="B25" s="29">
        <v>835</v>
      </c>
      <c r="C25" s="29">
        <v>9961</v>
      </c>
      <c r="D25" s="6">
        <f t="shared" si="0"/>
        <v>363.6334702460972</v>
      </c>
      <c r="E25" s="7">
        <f t="shared" si="1"/>
        <v>362.35299999999916</v>
      </c>
      <c r="F25" s="8">
        <f t="shared" si="2"/>
        <v>-1.2804702460980479</v>
      </c>
      <c r="G25" s="29">
        <v>32.06</v>
      </c>
      <c r="H25" s="29">
        <v>4.7779999999999996</v>
      </c>
      <c r="I25" s="29">
        <v>51.66</v>
      </c>
    </row>
    <row r="26" spans="1:9" ht="15.75" customHeight="1">
      <c r="A26" s="29" t="s">
        <v>623</v>
      </c>
      <c r="B26" s="29">
        <v>859</v>
      </c>
      <c r="C26" s="29">
        <v>9598.6470000000008</v>
      </c>
      <c r="D26" s="6">
        <f t="shared" si="0"/>
        <v>373.6664385933492</v>
      </c>
      <c r="E26" s="7">
        <f t="shared" si="1"/>
        <v>380</v>
      </c>
      <c r="F26" s="8">
        <f t="shared" si="2"/>
        <v>6.3335614066508015</v>
      </c>
      <c r="G26" s="29">
        <v>32.130000000000003</v>
      </c>
      <c r="H26" s="29">
        <v>1.444</v>
      </c>
      <c r="I26" s="29">
        <v>51.95</v>
      </c>
    </row>
    <row r="27" spans="1:9" ht="15.75" customHeight="1">
      <c r="A27" s="29" t="s">
        <v>624</v>
      </c>
      <c r="B27" s="29">
        <v>945</v>
      </c>
      <c r="C27" s="29">
        <v>9218.6470000000008</v>
      </c>
      <c r="D27" s="6">
        <f t="shared" si="0"/>
        <v>411.53728069767868</v>
      </c>
      <c r="E27" s="7">
        <f t="shared" si="1"/>
        <v>402</v>
      </c>
      <c r="F27" s="8">
        <f t="shared" si="2"/>
        <v>-9.5372806976786819</v>
      </c>
      <c r="G27" s="29">
        <v>32.25</v>
      </c>
      <c r="H27" s="29">
        <v>1.444</v>
      </c>
      <c r="I27" s="29">
        <v>51.66</v>
      </c>
    </row>
    <row r="28" spans="1:9" ht="15.75" customHeight="1">
      <c r="A28" s="29" t="s">
        <v>625</v>
      </c>
      <c r="B28" s="29">
        <v>930</v>
      </c>
      <c r="C28" s="29">
        <v>8816.6470000000008</v>
      </c>
      <c r="D28" s="6">
        <f t="shared" si="0"/>
        <v>405.89607974843358</v>
      </c>
      <c r="E28" s="7">
        <f t="shared" si="1"/>
        <v>362.64700000000084</v>
      </c>
      <c r="F28" s="8">
        <f t="shared" si="2"/>
        <v>-43.249079748432735</v>
      </c>
      <c r="G28" s="29">
        <v>31.31</v>
      </c>
      <c r="H28" s="29">
        <v>2.6669999999999998</v>
      </c>
      <c r="I28" s="29">
        <v>51.09</v>
      </c>
    </row>
    <row r="29" spans="1:9" ht="15.75" customHeight="1">
      <c r="A29" s="29" t="s">
        <v>626</v>
      </c>
      <c r="B29" s="29">
        <v>226</v>
      </c>
      <c r="C29" s="29">
        <v>8454</v>
      </c>
      <c r="D29" s="6">
        <f t="shared" si="0"/>
        <v>98.857466912146549</v>
      </c>
      <c r="E29" s="7">
        <f t="shared" si="1"/>
        <v>242.35299999999916</v>
      </c>
      <c r="F29" s="8">
        <f t="shared" si="2"/>
        <v>143.49553308785261</v>
      </c>
      <c r="G29" s="29">
        <v>31.06</v>
      </c>
      <c r="H29" s="29">
        <v>0.55600000000000005</v>
      </c>
      <c r="I29" s="29">
        <v>50.51</v>
      </c>
    </row>
    <row r="30" spans="1:9" ht="15.75" customHeight="1">
      <c r="A30" s="29" t="s">
        <v>627</v>
      </c>
      <c r="B30" s="29">
        <v>890</v>
      </c>
      <c r="C30" s="29">
        <v>8211.6470000000008</v>
      </c>
      <c r="D30" s="6">
        <f t="shared" si="0"/>
        <v>388.01926043378671</v>
      </c>
      <c r="E30" s="7">
        <f t="shared" si="1"/>
        <v>337.00000000000091</v>
      </c>
      <c r="F30" s="8">
        <f t="shared" si="2"/>
        <v>-51.019260433785803</v>
      </c>
      <c r="G30" s="29">
        <v>31.63</v>
      </c>
      <c r="H30" s="29">
        <v>1.333</v>
      </c>
      <c r="I30" s="29">
        <v>51.37</v>
      </c>
    </row>
    <row r="31" spans="1:9" ht="15.75" customHeight="1">
      <c r="A31" s="29" t="s">
        <v>628</v>
      </c>
      <c r="B31" s="29">
        <v>1025</v>
      </c>
      <c r="C31" s="29">
        <v>7874.6469999999999</v>
      </c>
      <c r="D31" s="6">
        <f t="shared" si="0"/>
        <v>445.87671659858307</v>
      </c>
      <c r="E31" s="7">
        <f t="shared" si="1"/>
        <v>425</v>
      </c>
      <c r="F31" s="8">
        <f t="shared" si="2"/>
        <v>-20.876716598583073</v>
      </c>
      <c r="G31" s="29">
        <v>31.25</v>
      </c>
      <c r="H31" s="29">
        <v>0.88900000000000001</v>
      </c>
      <c r="I31" s="29">
        <v>51.95</v>
      </c>
    </row>
    <row r="32" spans="1:9" ht="15.75" customHeight="1">
      <c r="A32" s="29" t="s">
        <v>629</v>
      </c>
      <c r="B32" s="29">
        <v>1023</v>
      </c>
      <c r="C32" s="29">
        <v>7449.6469999999999</v>
      </c>
      <c r="D32" s="6">
        <f t="shared" si="0"/>
        <v>445.00671324912253</v>
      </c>
      <c r="E32" s="7">
        <f t="shared" si="1"/>
        <v>430</v>
      </c>
      <c r="F32" s="8">
        <f t="shared" si="2"/>
        <v>-15.006713249122527</v>
      </c>
      <c r="G32" s="29">
        <v>31.13</v>
      </c>
      <c r="H32" s="29">
        <v>1.444</v>
      </c>
      <c r="I32" s="29">
        <v>51.95</v>
      </c>
    </row>
    <row r="33" spans="1:9" ht="15.75" customHeight="1">
      <c r="A33" s="29" t="s">
        <v>630</v>
      </c>
      <c r="B33" s="29">
        <v>1023</v>
      </c>
      <c r="C33" s="29">
        <v>7019.6469999999999</v>
      </c>
      <c r="D33" s="6">
        <f t="shared" si="0"/>
        <v>445.00671324912253</v>
      </c>
      <c r="E33" s="7">
        <f t="shared" si="1"/>
        <v>419.64699999999993</v>
      </c>
      <c r="F33" s="8">
        <f t="shared" si="2"/>
        <v>-25.359713249122592</v>
      </c>
      <c r="G33" s="29">
        <v>32</v>
      </c>
      <c r="H33" s="29">
        <v>0.77800000000000002</v>
      </c>
      <c r="I33" s="29">
        <v>51.95</v>
      </c>
    </row>
    <row r="34" spans="1:9" ht="15.75" customHeight="1">
      <c r="A34" s="29" t="s">
        <v>631</v>
      </c>
      <c r="B34" s="29">
        <v>1013</v>
      </c>
      <c r="C34" s="29">
        <v>6600</v>
      </c>
      <c r="D34" s="6">
        <f t="shared" si="0"/>
        <v>440.17987693346214</v>
      </c>
      <c r="E34" s="7">
        <f t="shared" si="1"/>
        <v>428.35300000000007</v>
      </c>
      <c r="F34" s="8">
        <f t="shared" si="2"/>
        <v>-11.826876933462074</v>
      </c>
      <c r="G34" s="29">
        <v>30.5</v>
      </c>
      <c r="H34" s="29">
        <v>1.556</v>
      </c>
      <c r="I34" s="29">
        <v>52.23</v>
      </c>
    </row>
    <row r="35" spans="1:9" ht="15.75" customHeight="1">
      <c r="A35" s="29" t="s">
        <v>632</v>
      </c>
      <c r="B35" s="29">
        <v>1034</v>
      </c>
      <c r="C35" s="29">
        <v>6171.6469999999999</v>
      </c>
      <c r="D35" s="6">
        <f t="shared" si="0"/>
        <v>450.79990481857914</v>
      </c>
      <c r="E35" s="7">
        <f t="shared" si="1"/>
        <v>429.64699999999993</v>
      </c>
      <c r="F35" s="8">
        <f t="shared" si="2"/>
        <v>-21.152904818579202</v>
      </c>
      <c r="G35" s="29">
        <v>30.87</v>
      </c>
      <c r="H35" s="29">
        <v>1.778</v>
      </c>
      <c r="I35" s="29">
        <v>51.37</v>
      </c>
    </row>
    <row r="36" spans="1:9" ht="15.75" customHeight="1">
      <c r="A36" s="29" t="s">
        <v>633</v>
      </c>
      <c r="B36" s="29">
        <v>1046</v>
      </c>
      <c r="C36" s="29">
        <v>5742</v>
      </c>
      <c r="D36" s="6">
        <f t="shared" si="0"/>
        <v>454.51939908430552</v>
      </c>
      <c r="E36" s="7">
        <f t="shared" si="1"/>
        <v>435.35300000000007</v>
      </c>
      <c r="F36" s="8">
        <f t="shared" si="2"/>
        <v>-19.166399084305453</v>
      </c>
      <c r="G36" s="29">
        <v>30.5</v>
      </c>
      <c r="H36" s="29">
        <v>1.333</v>
      </c>
      <c r="I36" s="29">
        <v>52.23</v>
      </c>
    </row>
    <row r="37" spans="1:9" ht="15.75" customHeight="1">
      <c r="A37" s="29" t="s">
        <v>634</v>
      </c>
      <c r="B37" s="29">
        <v>1056</v>
      </c>
      <c r="C37" s="29">
        <v>5306.6469999999999</v>
      </c>
      <c r="D37" s="6">
        <f t="shared" si="0"/>
        <v>458.34989700702448</v>
      </c>
      <c r="E37" s="7">
        <f t="shared" si="1"/>
        <v>430</v>
      </c>
      <c r="F37" s="8">
        <f t="shared" si="2"/>
        <v>-28.349897007024481</v>
      </c>
      <c r="G37" s="29">
        <v>30.44</v>
      </c>
      <c r="H37" s="29">
        <v>0.77800000000000002</v>
      </c>
      <c r="I37" s="29">
        <v>52.52</v>
      </c>
    </row>
    <row r="38" spans="1:9" ht="15.75" customHeight="1">
      <c r="A38" s="29" t="s">
        <v>635</v>
      </c>
      <c r="B38" s="29">
        <v>1108</v>
      </c>
      <c r="C38" s="29">
        <v>4876.6469999999999</v>
      </c>
      <c r="D38" s="6">
        <f t="shared" si="0"/>
        <v>475.03424953404175</v>
      </c>
      <c r="E38" s="7">
        <f t="shared" si="1"/>
        <v>447.64699999999993</v>
      </c>
      <c r="F38" s="8">
        <f t="shared" si="2"/>
        <v>-27.387249534041814</v>
      </c>
      <c r="G38" s="29">
        <v>29.87</v>
      </c>
      <c r="H38" s="29">
        <v>0.55600000000000005</v>
      </c>
      <c r="I38" s="29">
        <v>55.68</v>
      </c>
    </row>
    <row r="39" spans="1:9" ht="15.75" customHeight="1">
      <c r="A39" s="29" t="s">
        <v>636</v>
      </c>
      <c r="B39" s="29">
        <v>798</v>
      </c>
      <c r="C39" s="29">
        <v>4429</v>
      </c>
      <c r="D39" s="6">
        <f t="shared" si="0"/>
        <v>345.97764960158798</v>
      </c>
      <c r="E39" s="7">
        <f t="shared" si="1"/>
        <v>313.35300000000007</v>
      </c>
      <c r="F39" s="8">
        <f t="shared" si="2"/>
        <v>-32.624649601587919</v>
      </c>
      <c r="G39" s="29">
        <v>29.81</v>
      </c>
      <c r="H39" s="29">
        <v>2.444</v>
      </c>
      <c r="I39" s="29">
        <v>52.81</v>
      </c>
    </row>
    <row r="40" spans="1:9" ht="15.75" customHeight="1">
      <c r="A40" s="29" t="s">
        <v>637</v>
      </c>
      <c r="B40" s="29">
        <v>1121</v>
      </c>
      <c r="C40" s="29">
        <v>4115.6469999999999</v>
      </c>
      <c r="D40" s="6">
        <f t="shared" si="0"/>
        <v>480.60775607189601</v>
      </c>
      <c r="E40" s="7">
        <f t="shared" si="1"/>
        <v>363</v>
      </c>
      <c r="F40" s="8">
        <f t="shared" si="2"/>
        <v>-117.60775607189601</v>
      </c>
      <c r="G40" s="29">
        <v>29.69</v>
      </c>
      <c r="H40" s="29">
        <v>3.1110000000000002</v>
      </c>
      <c r="I40" s="29">
        <v>55.68</v>
      </c>
    </row>
    <row r="41" spans="1:9" ht="15.75" customHeight="1">
      <c r="A41" s="29" t="s">
        <v>638</v>
      </c>
      <c r="B41" s="29">
        <v>1290</v>
      </c>
      <c r="C41" s="29">
        <v>3752.6469999999999</v>
      </c>
      <c r="D41" s="6">
        <f t="shared" si="0"/>
        <v>559.91606736653557</v>
      </c>
      <c r="E41" s="7">
        <f t="shared" si="1"/>
        <v>386.64699999999993</v>
      </c>
      <c r="F41" s="8">
        <f t="shared" si="2"/>
        <v>-173.26906736653564</v>
      </c>
      <c r="G41" s="29">
        <v>30.19</v>
      </c>
      <c r="H41" s="29">
        <v>1.222</v>
      </c>
      <c r="I41" s="29">
        <v>52.52</v>
      </c>
    </row>
    <row r="42" spans="1:9" ht="15.75" customHeight="1">
      <c r="A42" s="29" t="s">
        <v>639</v>
      </c>
      <c r="B42" s="29">
        <v>838</v>
      </c>
      <c r="C42" s="29">
        <v>3366</v>
      </c>
      <c r="D42" s="6">
        <f t="shared" si="0"/>
        <v>364.13695643656598</v>
      </c>
      <c r="E42" s="7">
        <f t="shared" si="1"/>
        <v>442.35300000000007</v>
      </c>
      <c r="F42" s="8">
        <f t="shared" si="2"/>
        <v>78.216043563434084</v>
      </c>
      <c r="G42" s="29">
        <v>29.81</v>
      </c>
      <c r="H42" s="29">
        <v>2.556</v>
      </c>
      <c r="I42" s="29">
        <v>52.23</v>
      </c>
    </row>
    <row r="43" spans="1:9" ht="15.75" customHeight="1">
      <c r="A43" s="29" t="s">
        <v>640</v>
      </c>
      <c r="B43" s="29">
        <v>962</v>
      </c>
      <c r="C43" s="29">
        <v>2923.6469999999999</v>
      </c>
      <c r="D43" s="6">
        <f t="shared" si="0"/>
        <v>418.01879724579533</v>
      </c>
      <c r="E43" s="7">
        <f t="shared" si="1"/>
        <v>427.64699999999993</v>
      </c>
      <c r="F43" s="8">
        <f t="shared" si="2"/>
        <v>9.628202754204608</v>
      </c>
      <c r="G43" s="29">
        <v>29.81</v>
      </c>
      <c r="H43" s="29">
        <v>1</v>
      </c>
      <c r="I43" s="29">
        <v>52.23</v>
      </c>
    </row>
    <row r="44" spans="1:9" ht="15.75" customHeight="1">
      <c r="A44" s="29" t="s">
        <v>641</v>
      </c>
      <c r="B44" s="29">
        <v>1020</v>
      </c>
      <c r="C44" s="29">
        <v>2496</v>
      </c>
      <c r="D44" s="6">
        <f t="shared" si="0"/>
        <v>444.19896964193907</v>
      </c>
      <c r="E44" s="7">
        <f t="shared" si="1"/>
        <v>426.35300000000007</v>
      </c>
      <c r="F44" s="8">
        <f t="shared" si="2"/>
        <v>-17.845969641939007</v>
      </c>
      <c r="G44" s="29">
        <v>29.19</v>
      </c>
      <c r="H44" s="29">
        <v>0.77800000000000002</v>
      </c>
      <c r="I44" s="29">
        <v>51.66</v>
      </c>
    </row>
    <row r="45" spans="1:9" ht="15.75" customHeight="1">
      <c r="A45" s="29" t="s">
        <v>642</v>
      </c>
      <c r="B45" s="29">
        <v>1002</v>
      </c>
      <c r="C45" s="29">
        <v>2069.6469999999999</v>
      </c>
      <c r="D45" s="6">
        <f t="shared" si="0"/>
        <v>435.87167807978562</v>
      </c>
      <c r="E45" s="7">
        <f t="shared" si="1"/>
        <v>421.64699999999993</v>
      </c>
      <c r="F45" s="8">
        <f t="shared" si="2"/>
        <v>-14.22467807978569</v>
      </c>
      <c r="G45" s="29">
        <v>29.63</v>
      </c>
      <c r="H45" s="29">
        <v>0.55600000000000005</v>
      </c>
      <c r="I45" s="29">
        <v>51.95</v>
      </c>
    </row>
    <row r="46" spans="1:9" ht="15.75" customHeight="1">
      <c r="A46" s="29" t="s">
        <v>643</v>
      </c>
      <c r="B46" s="29">
        <v>1010</v>
      </c>
      <c r="C46" s="29">
        <v>1648</v>
      </c>
      <c r="D46" s="6">
        <f t="shared" si="0"/>
        <v>439.35169147762832</v>
      </c>
      <c r="E46" s="7">
        <f t="shared" si="1"/>
        <v>424</v>
      </c>
      <c r="F46" s="8">
        <f t="shared" si="2"/>
        <v>-15.351691477628322</v>
      </c>
      <c r="G46" s="29">
        <v>28.94</v>
      </c>
      <c r="H46" s="29">
        <v>3.1110000000000002</v>
      </c>
      <c r="I46" s="29">
        <v>51.95</v>
      </c>
    </row>
    <row r="47" spans="1:9" ht="15.75" customHeight="1">
      <c r="A47" s="29" t="s">
        <v>644</v>
      </c>
      <c r="B47" s="29">
        <v>989</v>
      </c>
      <c r="C47" s="29">
        <v>1224</v>
      </c>
      <c r="D47" s="6">
        <f t="shared" si="0"/>
        <v>430.21665630829148</v>
      </c>
      <c r="E47" s="7">
        <f t="shared" si="1"/>
        <v>423.35299999999995</v>
      </c>
      <c r="F47" s="8">
        <f t="shared" si="2"/>
        <v>-6.8636563082915245</v>
      </c>
      <c r="G47" s="29">
        <v>27.81</v>
      </c>
      <c r="H47" s="29">
        <v>0.88900000000000001</v>
      </c>
      <c r="I47" s="29">
        <v>51.95</v>
      </c>
    </row>
    <row r="48" spans="1:9" ht="15.75" customHeight="1">
      <c r="A48" s="29" t="s">
        <v>645</v>
      </c>
      <c r="B48" s="29">
        <v>941</v>
      </c>
      <c r="C48" s="29">
        <v>800.64700000000005</v>
      </c>
      <c r="D48" s="6">
        <f t="shared" si="0"/>
        <v>405.71404835228589</v>
      </c>
      <c r="E48" s="7">
        <f t="shared" si="1"/>
        <v>403.00000000000006</v>
      </c>
      <c r="F48" s="8">
        <f t="shared" si="2"/>
        <v>-2.714048352285829</v>
      </c>
      <c r="G48" s="29">
        <v>28.06</v>
      </c>
      <c r="H48" s="29">
        <v>2.222</v>
      </c>
      <c r="I48" s="29">
        <v>54.24</v>
      </c>
    </row>
    <row r="49" spans="1:9" ht="15.75" customHeight="1">
      <c r="A49" s="29" t="s">
        <v>646</v>
      </c>
      <c r="B49" s="29">
        <v>947</v>
      </c>
      <c r="C49" s="29">
        <v>397.64699999999999</v>
      </c>
      <c r="D49" s="6">
        <f t="shared" si="0"/>
        <v>407.8392873566433</v>
      </c>
      <c r="E49" s="7">
        <f t="shared" si="1"/>
        <v>301</v>
      </c>
      <c r="F49" s="8">
        <f t="shared" si="2"/>
        <v>-106.8392873566433</v>
      </c>
      <c r="G49" s="29">
        <v>28.31</v>
      </c>
      <c r="H49" s="29">
        <v>1.444</v>
      </c>
      <c r="I49" s="29">
        <v>54.53</v>
      </c>
    </row>
    <row r="50" spans="1:9" ht="15.75" customHeight="1">
      <c r="A50" s="29" t="s">
        <v>647</v>
      </c>
      <c r="B50" s="29">
        <v>926</v>
      </c>
      <c r="C50" s="29">
        <v>96.647000000000006</v>
      </c>
      <c r="D50" s="6">
        <f t="shared" si="0"/>
        <v>399.24676809162253</v>
      </c>
      <c r="E50" s="7">
        <f t="shared" si="1"/>
        <v>0</v>
      </c>
      <c r="F50" s="8">
        <f t="shared" si="2"/>
        <v>-399.24676809162253</v>
      </c>
      <c r="G50" s="29">
        <v>28.13</v>
      </c>
      <c r="H50" s="29">
        <v>2.3330000000000002</v>
      </c>
      <c r="I50" s="29">
        <v>54.24</v>
      </c>
    </row>
    <row r="51" spans="1:9" ht="15.75" customHeight="1">
      <c r="A51" s="29" t="s">
        <v>648</v>
      </c>
      <c r="B51" s="29">
        <v>916</v>
      </c>
      <c r="C51" s="29">
        <v>96.647000000000006</v>
      </c>
      <c r="D51" s="6">
        <f t="shared" si="0"/>
        <v>395.36640954135635</v>
      </c>
      <c r="E51" s="7">
        <f t="shared" si="1"/>
        <v>0</v>
      </c>
      <c r="F51" s="8">
        <f t="shared" si="2"/>
        <v>-395.36640954135635</v>
      </c>
      <c r="G51" s="29">
        <v>27.56</v>
      </c>
      <c r="H51" s="29">
        <v>0.88900000000000001</v>
      </c>
      <c r="I51" s="29">
        <v>53.96</v>
      </c>
    </row>
    <row r="52" spans="1:9" ht="15.75" customHeight="1">
      <c r="A52" s="29" t="s">
        <v>649</v>
      </c>
      <c r="B52" s="29">
        <v>749</v>
      </c>
      <c r="C52" s="29">
        <v>96.647000000000006</v>
      </c>
      <c r="D52" s="6">
        <f t="shared" si="0"/>
        <v>323.28541566209157</v>
      </c>
      <c r="E52" s="7">
        <f t="shared" si="1"/>
        <v>0</v>
      </c>
      <c r="F52" s="8">
        <f t="shared" si="2"/>
        <v>-323.28541566209157</v>
      </c>
      <c r="G52" s="29">
        <v>27.38</v>
      </c>
      <c r="H52" s="29">
        <v>1.111</v>
      </c>
      <c r="I52" s="29">
        <v>53.96</v>
      </c>
    </row>
    <row r="53" spans="1:9" ht="15.75" customHeight="1">
      <c r="A53" s="29" t="s">
        <v>650</v>
      </c>
      <c r="B53" s="29">
        <v>612</v>
      </c>
      <c r="C53" s="29">
        <v>96.647000000000006</v>
      </c>
      <c r="D53" s="6">
        <f t="shared" si="0"/>
        <v>264.45146016822861</v>
      </c>
      <c r="E53" s="7">
        <f t="shared" si="1"/>
        <v>0</v>
      </c>
      <c r="F53" s="8">
        <f t="shared" si="2"/>
        <v>-264.45146016822861</v>
      </c>
      <c r="G53" s="29">
        <v>27.75</v>
      </c>
      <c r="H53" s="29">
        <v>0.55600000000000005</v>
      </c>
      <c r="I53" s="29">
        <v>53.67</v>
      </c>
    </row>
    <row r="54" spans="1:9" ht="15.75" customHeight="1">
      <c r="A54" s="29" t="s">
        <v>651</v>
      </c>
      <c r="B54" s="29">
        <v>765</v>
      </c>
      <c r="C54" s="29">
        <v>96.647000000000006</v>
      </c>
      <c r="D54" s="6">
        <f t="shared" si="0"/>
        <v>330.93727127304146</v>
      </c>
      <c r="E54" s="7">
        <f t="shared" si="1"/>
        <v>0</v>
      </c>
      <c r="F54" s="8">
        <f t="shared" si="2"/>
        <v>-330.93727127304146</v>
      </c>
      <c r="G54" s="29">
        <v>27</v>
      </c>
      <c r="H54" s="29">
        <v>1.111</v>
      </c>
      <c r="I54" s="29">
        <v>53.38</v>
      </c>
    </row>
    <row r="55" spans="1:9" ht="15.75" customHeight="1">
      <c r="A55" s="29" t="s">
        <v>652</v>
      </c>
      <c r="B55" s="29">
        <v>785</v>
      </c>
      <c r="C55" s="29">
        <v>96.647000000000006</v>
      </c>
      <c r="D55" s="6">
        <f t="shared" si="0"/>
        <v>340.34142222712603</v>
      </c>
      <c r="E55" s="7">
        <f t="shared" si="1"/>
        <v>0</v>
      </c>
      <c r="F55" s="8">
        <f t="shared" si="2"/>
        <v>-340.34142222712603</v>
      </c>
      <c r="G55" s="29">
        <v>26.63</v>
      </c>
      <c r="H55" s="29">
        <v>2.8889999999999998</v>
      </c>
      <c r="I55" s="29">
        <v>52.81</v>
      </c>
    </row>
    <row r="56" spans="1:9" ht="15.75" customHeight="1">
      <c r="A56" s="29" t="s">
        <v>653</v>
      </c>
      <c r="B56" s="29">
        <v>558</v>
      </c>
      <c r="C56" s="29">
        <v>96.647000000000006</v>
      </c>
      <c r="D56" s="6">
        <f t="shared" si="0"/>
        <v>240.84547655466901</v>
      </c>
      <c r="E56" s="7">
        <f t="shared" si="1"/>
        <v>0</v>
      </c>
      <c r="F56" s="8">
        <f t="shared" si="2"/>
        <v>-240.84547655466901</v>
      </c>
      <c r="G56" s="29">
        <v>26.81</v>
      </c>
      <c r="H56" s="29">
        <v>1.444</v>
      </c>
      <c r="I56" s="29">
        <v>53.96</v>
      </c>
    </row>
    <row r="57" spans="1:9" ht="15.75" customHeight="1">
      <c r="A57" s="29" t="s">
        <v>654</v>
      </c>
      <c r="B57" s="29">
        <v>639</v>
      </c>
      <c r="C57" s="29">
        <v>96.647000000000006</v>
      </c>
      <c r="D57" s="6">
        <f t="shared" si="0"/>
        <v>275.80691669970162</v>
      </c>
      <c r="E57" s="7">
        <f t="shared" si="1"/>
        <v>0</v>
      </c>
      <c r="F57" s="8">
        <f t="shared" si="2"/>
        <v>-275.80691669970162</v>
      </c>
      <c r="G57" s="29">
        <v>26</v>
      </c>
      <c r="H57" s="29">
        <v>2.222</v>
      </c>
      <c r="I57" s="29">
        <v>53.96</v>
      </c>
    </row>
    <row r="58" spans="1:9" ht="15.75" customHeight="1">
      <c r="A58" s="29" t="s">
        <v>655</v>
      </c>
      <c r="B58" s="29">
        <v>735</v>
      </c>
      <c r="C58" s="29">
        <v>96.647000000000006</v>
      </c>
      <c r="D58" s="6">
        <f t="shared" si="0"/>
        <v>316.89673277250813</v>
      </c>
      <c r="E58" s="7">
        <f t="shared" si="1"/>
        <v>0</v>
      </c>
      <c r="F58" s="8">
        <f t="shared" si="2"/>
        <v>-316.89673277250813</v>
      </c>
      <c r="G58" s="29">
        <v>25.81</v>
      </c>
      <c r="H58" s="29">
        <v>0.55600000000000005</v>
      </c>
      <c r="I58" s="29">
        <v>54.24</v>
      </c>
    </row>
    <row r="59" spans="1:9" ht="15.75" customHeight="1">
      <c r="A59" s="29" t="s">
        <v>656</v>
      </c>
      <c r="B59" s="29">
        <v>628</v>
      </c>
      <c r="C59" s="29">
        <v>96.647000000000006</v>
      </c>
      <c r="D59" s="6">
        <f t="shared" si="0"/>
        <v>271.36522383275747</v>
      </c>
      <c r="E59" s="7">
        <f t="shared" si="1"/>
        <v>0</v>
      </c>
      <c r="F59" s="8">
        <f t="shared" si="2"/>
        <v>-271.36522383275747</v>
      </c>
      <c r="G59" s="29">
        <v>25.25</v>
      </c>
      <c r="H59" s="29">
        <v>1.222</v>
      </c>
      <c r="I59" s="29">
        <v>53.67</v>
      </c>
    </row>
    <row r="60" spans="1:9" ht="15.75" customHeight="1">
      <c r="A60" s="29" t="s">
        <v>657</v>
      </c>
      <c r="B60" s="29">
        <v>558</v>
      </c>
      <c r="C60" s="29">
        <v>96.647000000000006</v>
      </c>
      <c r="D60" s="6">
        <f t="shared" si="0"/>
        <v>241.66157029199317</v>
      </c>
      <c r="E60" s="7">
        <f t="shared" si="1"/>
        <v>0</v>
      </c>
      <c r="F60" s="8">
        <f t="shared" si="2"/>
        <v>-241.66157029199317</v>
      </c>
      <c r="G60" s="29">
        <v>24.69</v>
      </c>
      <c r="H60" s="29">
        <v>0.88900000000000001</v>
      </c>
      <c r="I60" s="29">
        <v>53.09</v>
      </c>
    </row>
    <row r="61" spans="1:9" ht="15.75" customHeight="1">
      <c r="A61" s="29" t="s">
        <v>658</v>
      </c>
      <c r="B61" s="29">
        <v>561</v>
      </c>
      <c r="C61" s="29">
        <v>96.647000000000006</v>
      </c>
      <c r="D61" s="6">
        <f t="shared" si="0"/>
        <v>242.41383848754293</v>
      </c>
      <c r="E61" s="7">
        <f t="shared" si="1"/>
        <v>0</v>
      </c>
      <c r="F61" s="8">
        <f t="shared" si="2"/>
        <v>-242.41383848754293</v>
      </c>
      <c r="G61" s="29">
        <v>24.5</v>
      </c>
      <c r="H61" s="29">
        <v>0.55600000000000005</v>
      </c>
      <c r="I61" s="29">
        <v>53.67</v>
      </c>
    </row>
    <row r="62" spans="1:9" ht="15.75" customHeight="1">
      <c r="A62" s="29" t="s">
        <v>659</v>
      </c>
      <c r="B62" s="29">
        <v>324</v>
      </c>
      <c r="C62" s="29">
        <v>96.647000000000006</v>
      </c>
      <c r="D62" s="6">
        <f t="shared" si="0"/>
        <v>140.47212840966728</v>
      </c>
      <c r="E62" s="7">
        <f t="shared" si="1"/>
        <v>0</v>
      </c>
      <c r="F62" s="8">
        <f t="shared" si="2"/>
        <v>-140.47212840966728</v>
      </c>
      <c r="G62" s="29">
        <v>24.63</v>
      </c>
      <c r="H62" s="29">
        <v>1.889</v>
      </c>
      <c r="I62" s="29">
        <v>52.81</v>
      </c>
    </row>
    <row r="63" spans="1:9" ht="15.75" customHeight="1">
      <c r="A63" s="29" t="s">
        <v>660</v>
      </c>
      <c r="B63" s="29">
        <v>405</v>
      </c>
      <c r="C63" s="29">
        <v>96.647000000000006</v>
      </c>
      <c r="D63" s="6">
        <f t="shared" si="0"/>
        <v>175.98504457853127</v>
      </c>
      <c r="E63" s="7">
        <f t="shared" si="1"/>
        <v>0</v>
      </c>
      <c r="F63" s="8">
        <f t="shared" si="2"/>
        <v>-175.98504457853127</v>
      </c>
      <c r="G63" s="29">
        <v>24.31</v>
      </c>
      <c r="H63" s="29">
        <v>1.556</v>
      </c>
      <c r="I63" s="29">
        <v>52.23</v>
      </c>
    </row>
    <row r="64" spans="1:9" ht="15.75" customHeight="1">
      <c r="A64" s="29" t="s">
        <v>661</v>
      </c>
      <c r="B64" s="29">
        <v>205</v>
      </c>
      <c r="C64" s="29">
        <v>96.647000000000006</v>
      </c>
      <c r="D64" s="6">
        <f t="shared" si="0"/>
        <v>90.264342460816977</v>
      </c>
      <c r="E64" s="7">
        <f t="shared" si="1"/>
        <v>0</v>
      </c>
      <c r="F64" s="8">
        <f t="shared" si="2"/>
        <v>-90.264342460816977</v>
      </c>
      <c r="G64" s="29">
        <v>24</v>
      </c>
      <c r="H64" s="29">
        <v>1.111</v>
      </c>
      <c r="I64" s="29">
        <v>48.79</v>
      </c>
    </row>
    <row r="65" spans="1:26" ht="15.75" customHeight="1">
      <c r="A65" s="29" t="s">
        <v>662</v>
      </c>
      <c r="B65" s="29">
        <v>355</v>
      </c>
      <c r="C65" s="29">
        <v>96.647000000000006</v>
      </c>
      <c r="D65" s="6">
        <f t="shared" si="0"/>
        <v>158.36434875525819</v>
      </c>
      <c r="E65" s="7">
        <f t="shared" si="1"/>
        <v>0</v>
      </c>
      <c r="F65" s="8">
        <f t="shared" si="2"/>
        <v>-158.36434875525819</v>
      </c>
      <c r="G65" s="29">
        <v>24.13</v>
      </c>
      <c r="H65" s="29">
        <v>0.55600000000000005</v>
      </c>
      <c r="I65" s="29">
        <v>45.35</v>
      </c>
    </row>
    <row r="66" spans="1:26" ht="15.75" customHeight="1">
      <c r="A66" s="29" t="s">
        <v>663</v>
      </c>
      <c r="B66" s="29">
        <v>137</v>
      </c>
      <c r="C66" s="29">
        <v>96.647000000000006</v>
      </c>
      <c r="D66" s="6">
        <f t="shared" si="0"/>
        <v>62.966924092766121</v>
      </c>
      <c r="E66" s="7">
        <f t="shared" si="1"/>
        <v>0</v>
      </c>
      <c r="F66" s="8">
        <f t="shared" si="2"/>
        <v>-62.966924092766121</v>
      </c>
      <c r="G66" s="29">
        <v>23.81</v>
      </c>
      <c r="H66" s="29">
        <v>0.55600000000000005</v>
      </c>
      <c r="I66" s="29">
        <v>37.31</v>
      </c>
    </row>
    <row r="67" spans="1:26" ht="15.75" customHeight="1">
      <c r="A67" s="29" t="s">
        <v>664</v>
      </c>
      <c r="B67" s="29">
        <v>107</v>
      </c>
      <c r="C67" s="29">
        <v>96.647000000000006</v>
      </c>
      <c r="D67" s="6">
        <f t="shared" si="0"/>
        <v>50.056335673557321</v>
      </c>
      <c r="E67" s="7">
        <f t="shared" si="1"/>
        <v>0</v>
      </c>
      <c r="F67" s="8">
        <f t="shared" si="2"/>
        <v>-50.056335673557321</v>
      </c>
      <c r="G67" s="29">
        <v>23.56</v>
      </c>
      <c r="H67" s="29">
        <v>1.889</v>
      </c>
      <c r="I67" s="29">
        <v>32.43</v>
      </c>
    </row>
    <row r="68" spans="1:26" ht="15.75" customHeight="1">
      <c r="A68" s="29" t="s">
        <v>665</v>
      </c>
      <c r="B68" s="29">
        <v>104</v>
      </c>
      <c r="C68" s="29">
        <v>96.647000000000006</v>
      </c>
      <c r="D68" s="6">
        <f t="shared" si="0"/>
        <v>48.652887009812723</v>
      </c>
      <c r="E68" s="7">
        <f t="shared" si="1"/>
        <v>0</v>
      </c>
      <c r="F68" s="8">
        <f t="shared" si="2"/>
        <v>-48.652887009812723</v>
      </c>
      <c r="G68" s="29">
        <v>23.06</v>
      </c>
      <c r="H68" s="29">
        <v>1.444</v>
      </c>
      <c r="I68" s="29">
        <v>32.43</v>
      </c>
    </row>
    <row r="69" spans="1:26" ht="15.75" customHeight="1">
      <c r="A69" s="29" t="s">
        <v>666</v>
      </c>
      <c r="B69" s="29">
        <v>106</v>
      </c>
      <c r="C69" s="29">
        <v>96.647000000000006</v>
      </c>
      <c r="D69" s="6">
        <f t="shared" si="0"/>
        <v>49.946688882693259</v>
      </c>
      <c r="E69" s="7">
        <f t="shared" si="1"/>
        <v>11</v>
      </c>
      <c r="F69" s="8">
        <f t="shared" si="2"/>
        <v>-38.946688882693259</v>
      </c>
      <c r="G69" s="29">
        <v>22.31</v>
      </c>
      <c r="H69" s="29">
        <v>0.66700000000000004</v>
      </c>
      <c r="I69" s="29">
        <v>30.42</v>
      </c>
    </row>
    <row r="70" spans="1:26" ht="15.75" customHeight="1">
      <c r="A70" s="29" t="s">
        <v>667</v>
      </c>
      <c r="B70" s="29">
        <v>72</v>
      </c>
      <c r="C70" s="29">
        <v>85.647000000000006</v>
      </c>
      <c r="D70" s="6">
        <f t="shared" si="0"/>
        <v>34.09913611027747</v>
      </c>
      <c r="E70" s="7">
        <f t="shared" si="1"/>
        <v>34.000000000000007</v>
      </c>
      <c r="F70" s="8">
        <f t="shared" si="2"/>
        <v>-9.9136110277463274E-2</v>
      </c>
      <c r="G70" s="29">
        <v>22.25</v>
      </c>
      <c r="H70" s="29">
        <v>1.111</v>
      </c>
      <c r="I70" s="29">
        <v>28.99</v>
      </c>
    </row>
    <row r="71" spans="1:26" ht="15.75" customHeight="1">
      <c r="A71" s="29" t="s">
        <v>668</v>
      </c>
      <c r="B71" s="29">
        <v>71</v>
      </c>
      <c r="C71" s="29">
        <v>51.646999999999998</v>
      </c>
      <c r="D71" s="6">
        <f t="shared" si="0"/>
        <v>33.76279661460115</v>
      </c>
      <c r="E71" s="7">
        <f t="shared" si="1"/>
        <v>24</v>
      </c>
      <c r="F71" s="8">
        <f t="shared" si="2"/>
        <v>-9.7627966146011502</v>
      </c>
      <c r="G71" s="29">
        <v>22.25</v>
      </c>
      <c r="H71" s="29">
        <v>0.88900000000000001</v>
      </c>
      <c r="I71" s="29">
        <v>27.84</v>
      </c>
    </row>
    <row r="72" spans="1:26" ht="15.75" customHeight="1">
      <c r="A72" s="29" t="s">
        <v>669</v>
      </c>
      <c r="B72" s="29">
        <v>36</v>
      </c>
      <c r="C72" s="29">
        <v>27.646999999999998</v>
      </c>
      <c r="D72" s="6">
        <f t="shared" si="0"/>
        <v>17.188760906146932</v>
      </c>
      <c r="E72" s="7">
        <f t="shared" si="1"/>
        <v>13.646999999999998</v>
      </c>
      <c r="F72" s="8">
        <f t="shared" si="2"/>
        <v>-3.5417609061469335</v>
      </c>
      <c r="G72" s="29">
        <v>22.38</v>
      </c>
      <c r="H72" s="29">
        <v>1.444</v>
      </c>
      <c r="I72" s="29">
        <v>26.69</v>
      </c>
    </row>
    <row r="73" spans="1:26" ht="15.75" customHeight="1">
      <c r="A73" s="29" t="s">
        <v>670</v>
      </c>
      <c r="B73" s="29">
        <v>29</v>
      </c>
      <c r="C73" s="29">
        <v>14</v>
      </c>
      <c r="D73" s="6">
        <f t="shared" si="0"/>
        <v>13.888427803673247</v>
      </c>
      <c r="E73" s="7">
        <f t="shared" si="1"/>
        <v>9.3529999999999998</v>
      </c>
      <c r="F73" s="8">
        <f t="shared" si="2"/>
        <v>-4.5354278036732474</v>
      </c>
      <c r="G73" s="29">
        <v>22</v>
      </c>
      <c r="H73" s="29">
        <v>1.111</v>
      </c>
      <c r="I73" s="29">
        <v>25.83</v>
      </c>
    </row>
    <row r="74" spans="1:26" ht="15.75" customHeight="1">
      <c r="A74" s="29" t="s">
        <v>671</v>
      </c>
      <c r="B74" s="29">
        <v>17</v>
      </c>
      <c r="C74" s="29">
        <v>4.6470000000000002</v>
      </c>
      <c r="D74" s="6">
        <f t="shared" si="0"/>
        <v>8.1743571394842434</v>
      </c>
      <c r="E74" s="7">
        <f t="shared" si="1"/>
        <v>4.6470000000000002</v>
      </c>
      <c r="F74" s="8">
        <f t="shared" si="2"/>
        <v>-3.5273571394842431</v>
      </c>
      <c r="G74" s="29">
        <v>21.19</v>
      </c>
      <c r="H74" s="29">
        <v>0.55600000000000005</v>
      </c>
      <c r="I74" s="29">
        <v>24.68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7.0979999999999999</v>
      </c>
      <c r="C76" s="11"/>
      <c r="D76" s="16">
        <f>SUM(D2:D75)</f>
        <v>18506.66328631045</v>
      </c>
      <c r="E76" s="15">
        <f>SUM(E1:E74)</f>
        <v>13590</v>
      </c>
      <c r="F76" s="11"/>
      <c r="G76" s="17">
        <f t="shared" ref="G76:I76" si="3">AVERAGE(G1:G74)</f>
        <v>28.893287671232876</v>
      </c>
      <c r="H76" s="17">
        <f t="shared" si="3"/>
        <v>1.508356164383561</v>
      </c>
      <c r="I76" s="17">
        <f t="shared" si="3"/>
        <v>48.687945205479437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13.453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672</v>
      </c>
      <c r="B2" s="5">
        <v>0</v>
      </c>
      <c r="C2" s="5">
        <v>16163.65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30</v>
      </c>
      <c r="H2" s="5">
        <v>1.333</v>
      </c>
      <c r="I2" s="5">
        <v>38.46</v>
      </c>
    </row>
    <row r="3" spans="1:26" ht="15.75" customHeight="1">
      <c r="A3" s="5" t="s">
        <v>673</v>
      </c>
      <c r="B3" s="5">
        <v>0</v>
      </c>
      <c r="C3" s="5">
        <v>16163.65</v>
      </c>
      <c r="D3" s="6">
        <f t="shared" si="0"/>
        <v>0</v>
      </c>
      <c r="E3" s="7">
        <f t="shared" si="1"/>
        <v>2.6499999999996362</v>
      </c>
      <c r="F3" s="8">
        <f t="shared" si="2"/>
        <v>2.6499999999996362</v>
      </c>
      <c r="G3" s="5">
        <v>30.87</v>
      </c>
      <c r="H3" s="5">
        <v>0.88900000000000001</v>
      </c>
      <c r="I3" s="5">
        <v>39.89</v>
      </c>
    </row>
    <row r="4" spans="1:26" ht="15.75" customHeight="1">
      <c r="A4" s="5" t="s">
        <v>674</v>
      </c>
      <c r="B4" s="5">
        <v>5</v>
      </c>
      <c r="C4" s="5">
        <v>16161</v>
      </c>
      <c r="D4" s="6">
        <f t="shared" si="0"/>
        <v>2.2570447399463105</v>
      </c>
      <c r="E4" s="7">
        <f t="shared" si="1"/>
        <v>5.3500000000003638</v>
      </c>
      <c r="F4" s="8">
        <f t="shared" si="2"/>
        <v>3.0929552600540533</v>
      </c>
      <c r="G4" s="5">
        <v>30.87</v>
      </c>
      <c r="H4" s="5">
        <v>0.88900000000000001</v>
      </c>
      <c r="I4" s="5">
        <v>42.19</v>
      </c>
    </row>
    <row r="5" spans="1:26" ht="15.75" customHeight="1">
      <c r="A5" s="5" t="s">
        <v>675</v>
      </c>
      <c r="B5" s="5">
        <v>18</v>
      </c>
      <c r="C5" s="5">
        <v>16155.65</v>
      </c>
      <c r="D5" s="6">
        <f t="shared" si="0"/>
        <v>8.0297416270271746</v>
      </c>
      <c r="E5" s="7">
        <f t="shared" si="1"/>
        <v>14.649999999999636</v>
      </c>
      <c r="F5" s="8">
        <f t="shared" si="2"/>
        <v>6.6202583729724616</v>
      </c>
      <c r="G5" s="5">
        <v>31.5</v>
      </c>
      <c r="H5" s="5">
        <v>2</v>
      </c>
      <c r="I5" s="5">
        <v>45.35</v>
      </c>
    </row>
    <row r="6" spans="1:26" ht="15.75" customHeight="1">
      <c r="A6" s="5" t="s">
        <v>676</v>
      </c>
      <c r="B6" s="5">
        <v>49</v>
      </c>
      <c r="C6" s="5">
        <v>16141</v>
      </c>
      <c r="D6" s="6">
        <f t="shared" si="0"/>
        <v>21.670107885510816</v>
      </c>
      <c r="E6" s="7">
        <f t="shared" si="1"/>
        <v>33</v>
      </c>
      <c r="F6" s="8">
        <f t="shared" si="2"/>
        <v>11.329892114489184</v>
      </c>
      <c r="G6" s="5">
        <v>32.130000000000003</v>
      </c>
      <c r="H6" s="5">
        <v>1</v>
      </c>
      <c r="I6" s="5">
        <v>47.64</v>
      </c>
    </row>
    <row r="7" spans="1:26" ht="15.75" customHeight="1">
      <c r="A7" s="5" t="s">
        <v>677</v>
      </c>
      <c r="B7" s="5">
        <v>92</v>
      </c>
      <c r="C7" s="5">
        <v>16108</v>
      </c>
      <c r="D7" s="6">
        <f t="shared" si="0"/>
        <v>40.375869138877512</v>
      </c>
      <c r="E7" s="7">
        <f t="shared" si="1"/>
        <v>51.350000000000364</v>
      </c>
      <c r="F7" s="8">
        <f t="shared" si="2"/>
        <v>10.974130861122852</v>
      </c>
      <c r="G7" s="5">
        <v>32.5</v>
      </c>
      <c r="H7" s="5">
        <v>1.444</v>
      </c>
      <c r="I7" s="5">
        <v>49.65</v>
      </c>
    </row>
    <row r="8" spans="1:26" ht="15.75" customHeight="1">
      <c r="A8" s="5" t="s">
        <v>678</v>
      </c>
      <c r="B8" s="5">
        <v>103</v>
      </c>
      <c r="C8" s="5">
        <v>16056.65</v>
      </c>
      <c r="D8" s="6">
        <f t="shared" si="0"/>
        <v>45.203418709830252</v>
      </c>
      <c r="E8" s="7">
        <f t="shared" si="1"/>
        <v>56</v>
      </c>
      <c r="F8" s="8">
        <f t="shared" si="2"/>
        <v>10.796581290169748</v>
      </c>
      <c r="G8" s="5">
        <v>32.630000000000003</v>
      </c>
      <c r="H8" s="5">
        <v>0.77800000000000002</v>
      </c>
      <c r="I8" s="5">
        <v>49.65</v>
      </c>
    </row>
    <row r="9" spans="1:26" ht="15.75" customHeight="1">
      <c r="A9" s="5" t="s">
        <v>679</v>
      </c>
      <c r="B9" s="5">
        <v>129</v>
      </c>
      <c r="C9" s="5">
        <v>16000.65</v>
      </c>
      <c r="D9" s="6">
        <f t="shared" si="0"/>
        <v>56.551101479075641</v>
      </c>
      <c r="E9" s="7">
        <f t="shared" si="1"/>
        <v>42</v>
      </c>
      <c r="F9" s="8">
        <f t="shared" si="2"/>
        <v>-14.551101479075641</v>
      </c>
      <c r="G9" s="5">
        <v>32.5</v>
      </c>
      <c r="H9" s="5">
        <v>1.222</v>
      </c>
      <c r="I9" s="5">
        <v>49.94</v>
      </c>
    </row>
    <row r="10" spans="1:26" ht="15.75" customHeight="1">
      <c r="A10" s="5" t="s">
        <v>680</v>
      </c>
      <c r="B10" s="5">
        <v>104</v>
      </c>
      <c r="C10" s="5">
        <v>15958.65</v>
      </c>
      <c r="D10" s="6">
        <f t="shared" si="0"/>
        <v>45.591585688557103</v>
      </c>
      <c r="E10" s="7">
        <f t="shared" si="1"/>
        <v>0</v>
      </c>
      <c r="F10" s="8">
        <f t="shared" si="2"/>
        <v>-45.591585688557103</v>
      </c>
      <c r="G10" s="5">
        <v>32.75</v>
      </c>
      <c r="H10" s="5">
        <v>2.8889999999999998</v>
      </c>
      <c r="I10" s="5">
        <v>49.94</v>
      </c>
    </row>
    <row r="11" spans="1:26" ht="15.75" customHeight="1">
      <c r="A11" s="5" t="s">
        <v>681</v>
      </c>
      <c r="B11" s="5">
        <v>255</v>
      </c>
      <c r="C11" s="5">
        <v>15958.65</v>
      </c>
      <c r="D11" s="6">
        <f t="shared" si="0"/>
        <v>112.03569177179281</v>
      </c>
      <c r="E11" s="7">
        <f t="shared" si="1"/>
        <v>127.64999999999964</v>
      </c>
      <c r="F11" s="8">
        <f t="shared" si="2"/>
        <v>15.614308228206824</v>
      </c>
      <c r="G11" s="5">
        <v>33.31</v>
      </c>
      <c r="H11" s="5">
        <v>1.333</v>
      </c>
      <c r="I11" s="5">
        <v>49.36</v>
      </c>
    </row>
    <row r="12" spans="1:26" ht="15.75" customHeight="1">
      <c r="A12" s="5" t="s">
        <v>682</v>
      </c>
      <c r="B12" s="5">
        <v>241</v>
      </c>
      <c r="C12" s="5">
        <v>15831</v>
      </c>
      <c r="D12" s="6">
        <f t="shared" si="0"/>
        <v>105.76722241814655</v>
      </c>
      <c r="E12" s="7">
        <f t="shared" si="1"/>
        <v>145.35000000000036</v>
      </c>
      <c r="F12" s="8">
        <f t="shared" si="2"/>
        <v>39.582777581853819</v>
      </c>
      <c r="G12" s="5">
        <v>33.56</v>
      </c>
      <c r="H12" s="5">
        <v>0.77800000000000002</v>
      </c>
      <c r="I12" s="5">
        <v>49.65</v>
      </c>
    </row>
    <row r="13" spans="1:26" ht="15.75" customHeight="1">
      <c r="A13" s="5" t="s">
        <v>683</v>
      </c>
      <c r="B13" s="5">
        <v>301</v>
      </c>
      <c r="C13" s="5">
        <v>15685.65</v>
      </c>
      <c r="D13" s="6">
        <f t="shared" si="0"/>
        <v>132.0993109869797</v>
      </c>
      <c r="E13" s="7">
        <f t="shared" si="1"/>
        <v>97</v>
      </c>
      <c r="F13" s="8">
        <f t="shared" si="2"/>
        <v>-35.099310986979702</v>
      </c>
      <c r="G13" s="5">
        <v>32.69</v>
      </c>
      <c r="H13" s="5">
        <v>2.1110000000000002</v>
      </c>
      <c r="I13" s="5">
        <v>49.65</v>
      </c>
    </row>
    <row r="14" spans="1:26" ht="15.75" customHeight="1">
      <c r="A14" s="5" t="s">
        <v>684</v>
      </c>
      <c r="B14" s="5">
        <v>222</v>
      </c>
      <c r="C14" s="5">
        <v>15588.65</v>
      </c>
      <c r="D14" s="6">
        <f t="shared" si="0"/>
        <v>97.320500219804586</v>
      </c>
      <c r="E14" s="7">
        <f t="shared" si="1"/>
        <v>113.64999999999964</v>
      </c>
      <c r="F14" s="8">
        <f t="shared" si="2"/>
        <v>16.32949978019505</v>
      </c>
      <c r="G14" s="5">
        <v>33</v>
      </c>
      <c r="H14" s="5">
        <v>0.55600000000000005</v>
      </c>
      <c r="I14" s="5">
        <v>49.94</v>
      </c>
    </row>
    <row r="15" spans="1:26" ht="15.75" customHeight="1">
      <c r="A15" s="5" t="s">
        <v>685</v>
      </c>
      <c r="B15" s="5">
        <v>270</v>
      </c>
      <c r="C15" s="5">
        <v>15475</v>
      </c>
      <c r="D15" s="6">
        <f t="shared" si="0"/>
        <v>118.49439855974923</v>
      </c>
      <c r="E15" s="7">
        <f t="shared" si="1"/>
        <v>100.35000000000036</v>
      </c>
      <c r="F15" s="8">
        <f t="shared" si="2"/>
        <v>-18.144398559748865</v>
      </c>
      <c r="G15" s="5">
        <v>33</v>
      </c>
      <c r="H15" s="5">
        <v>1.333</v>
      </c>
      <c r="I15" s="5">
        <v>49.65</v>
      </c>
    </row>
    <row r="16" spans="1:26" ht="15.75" customHeight="1">
      <c r="A16" s="5" t="s">
        <v>686</v>
      </c>
      <c r="B16" s="5">
        <v>239</v>
      </c>
      <c r="C16" s="5">
        <v>15374.65</v>
      </c>
      <c r="D16" s="6">
        <f t="shared" si="0"/>
        <v>104.65645578219561</v>
      </c>
      <c r="E16" s="7">
        <f t="shared" si="1"/>
        <v>136</v>
      </c>
      <c r="F16" s="8">
        <f t="shared" si="2"/>
        <v>31.343544217804393</v>
      </c>
      <c r="G16" s="5">
        <v>33.380000000000003</v>
      </c>
      <c r="H16" s="5">
        <v>1</v>
      </c>
      <c r="I16" s="5">
        <v>50.23</v>
      </c>
    </row>
    <row r="17" spans="1:9" ht="15.75" customHeight="1">
      <c r="A17" s="5" t="s">
        <v>687</v>
      </c>
      <c r="B17" s="5">
        <v>358</v>
      </c>
      <c r="C17" s="5">
        <v>15238.65</v>
      </c>
      <c r="D17" s="6">
        <f t="shared" si="0"/>
        <v>156.24816833326796</v>
      </c>
      <c r="E17" s="7">
        <f t="shared" si="1"/>
        <v>258</v>
      </c>
      <c r="F17" s="8">
        <f t="shared" si="2"/>
        <v>101.75183166673204</v>
      </c>
      <c r="G17" s="5">
        <v>34.130000000000003</v>
      </c>
      <c r="H17" s="5">
        <v>1.111</v>
      </c>
      <c r="I17" s="5">
        <v>51.09</v>
      </c>
    </row>
    <row r="18" spans="1:9" ht="15.75" customHeight="1">
      <c r="A18" s="5" t="s">
        <v>688</v>
      </c>
      <c r="B18" s="5">
        <v>641</v>
      </c>
      <c r="C18" s="5">
        <v>14980.65</v>
      </c>
      <c r="D18" s="6">
        <f t="shared" si="0"/>
        <v>279.76278184811395</v>
      </c>
      <c r="E18" s="7">
        <f t="shared" si="1"/>
        <v>256</v>
      </c>
      <c r="F18" s="8">
        <f t="shared" si="2"/>
        <v>-23.762781848113946</v>
      </c>
      <c r="G18" s="5">
        <v>34.130000000000003</v>
      </c>
      <c r="H18" s="5">
        <v>2.556</v>
      </c>
      <c r="I18" s="5">
        <v>51.09</v>
      </c>
    </row>
    <row r="19" spans="1:9" ht="15.75" customHeight="1">
      <c r="A19" s="5" t="s">
        <v>689</v>
      </c>
      <c r="B19" s="5">
        <v>665</v>
      </c>
      <c r="C19" s="5">
        <v>14724.65</v>
      </c>
      <c r="D19" s="6">
        <f t="shared" si="0"/>
        <v>290.56171433345014</v>
      </c>
      <c r="E19" s="7">
        <f t="shared" si="1"/>
        <v>210</v>
      </c>
      <c r="F19" s="8">
        <f t="shared" si="2"/>
        <v>-80.561714333450141</v>
      </c>
      <c r="G19" s="5">
        <v>33.81</v>
      </c>
      <c r="H19" s="5">
        <v>0.55600000000000005</v>
      </c>
      <c r="I19" s="5">
        <v>50.8</v>
      </c>
    </row>
    <row r="20" spans="1:9" ht="15.75" customHeight="1">
      <c r="A20" s="5" t="s">
        <v>690</v>
      </c>
      <c r="B20" s="5">
        <v>266</v>
      </c>
      <c r="C20" s="5">
        <v>14514.65</v>
      </c>
      <c r="D20" s="6">
        <f t="shared" si="0"/>
        <v>116.47957003374074</v>
      </c>
      <c r="E20" s="7">
        <f t="shared" si="1"/>
        <v>113</v>
      </c>
      <c r="F20" s="8">
        <f t="shared" si="2"/>
        <v>-3.4795700337407425</v>
      </c>
      <c r="G20" s="5">
        <v>32.94</v>
      </c>
      <c r="H20" s="5">
        <v>0.55600000000000005</v>
      </c>
      <c r="I20" s="5">
        <v>50.23</v>
      </c>
    </row>
    <row r="21" spans="1:9" ht="15.75" customHeight="1">
      <c r="A21" s="5" t="s">
        <v>691</v>
      </c>
      <c r="B21" s="5">
        <v>284</v>
      </c>
      <c r="C21" s="5">
        <v>14401.65</v>
      </c>
      <c r="D21" s="6">
        <f t="shared" si="0"/>
        <v>124.08951409127795</v>
      </c>
      <c r="E21" s="7">
        <f t="shared" si="1"/>
        <v>246</v>
      </c>
      <c r="F21" s="8">
        <f t="shared" si="2"/>
        <v>121.91048590872205</v>
      </c>
      <c r="G21" s="5">
        <v>33.380000000000003</v>
      </c>
      <c r="H21" s="5">
        <v>0.55600000000000005</v>
      </c>
      <c r="I21" s="5">
        <v>50.8</v>
      </c>
    </row>
    <row r="22" spans="1:9" ht="15.75" customHeight="1">
      <c r="A22" s="5" t="s">
        <v>692</v>
      </c>
      <c r="B22" s="5">
        <v>750</v>
      </c>
      <c r="C22" s="5">
        <v>14155.65</v>
      </c>
      <c r="D22" s="6">
        <f t="shared" si="0"/>
        <v>329.1511071104145</v>
      </c>
      <c r="E22" s="7">
        <f t="shared" si="1"/>
        <v>125</v>
      </c>
      <c r="F22" s="8">
        <f t="shared" si="2"/>
        <v>-204.1511071104145</v>
      </c>
      <c r="G22" s="5">
        <v>32.25</v>
      </c>
      <c r="H22" s="5">
        <v>0.55600000000000005</v>
      </c>
      <c r="I22" s="5">
        <v>49.65</v>
      </c>
    </row>
    <row r="23" spans="1:9" ht="15.75" customHeight="1">
      <c r="A23" s="5" t="s">
        <v>693</v>
      </c>
      <c r="B23" s="5">
        <v>248</v>
      </c>
      <c r="C23" s="5">
        <v>14030.65</v>
      </c>
      <c r="D23" s="6">
        <f t="shared" si="0"/>
        <v>108.83929941784373</v>
      </c>
      <c r="E23" s="7">
        <f t="shared" si="1"/>
        <v>105</v>
      </c>
      <c r="F23" s="8">
        <f t="shared" si="2"/>
        <v>-3.8392994178437334</v>
      </c>
      <c r="G23" s="5">
        <v>32.69</v>
      </c>
      <c r="H23" s="5">
        <v>1.111</v>
      </c>
      <c r="I23" s="5">
        <v>49.65</v>
      </c>
    </row>
    <row r="24" spans="1:9" ht="15.75" customHeight="1">
      <c r="A24" s="5" t="s">
        <v>694</v>
      </c>
      <c r="B24" s="5">
        <v>228</v>
      </c>
      <c r="C24" s="5">
        <v>13925.65</v>
      </c>
      <c r="D24" s="6">
        <f t="shared" si="0"/>
        <v>99.621159200040054</v>
      </c>
      <c r="E24" s="7">
        <f t="shared" si="1"/>
        <v>207</v>
      </c>
      <c r="F24" s="8">
        <f t="shared" si="2"/>
        <v>107.37884079995995</v>
      </c>
      <c r="G24" s="5">
        <v>33.5</v>
      </c>
      <c r="H24" s="5">
        <v>0.55600000000000005</v>
      </c>
      <c r="I24" s="5">
        <v>50.8</v>
      </c>
    </row>
    <row r="25" spans="1:9" ht="15.75" customHeight="1">
      <c r="A25" s="5" t="s">
        <v>695</v>
      </c>
      <c r="B25" s="5">
        <v>650</v>
      </c>
      <c r="C25" s="5">
        <v>13718.65</v>
      </c>
      <c r="D25" s="6">
        <f t="shared" si="0"/>
        <v>284.00769070186863</v>
      </c>
      <c r="E25" s="7">
        <f t="shared" si="1"/>
        <v>285</v>
      </c>
      <c r="F25" s="8">
        <f t="shared" si="2"/>
        <v>0.99230929813137436</v>
      </c>
      <c r="G25" s="5">
        <v>33.69</v>
      </c>
      <c r="H25" s="5">
        <v>0.55600000000000005</v>
      </c>
      <c r="I25" s="5">
        <v>50.8</v>
      </c>
    </row>
    <row r="26" spans="1:9" ht="15.75" customHeight="1">
      <c r="A26" s="5" t="s">
        <v>696</v>
      </c>
      <c r="B26" s="5">
        <v>683</v>
      </c>
      <c r="C26" s="5">
        <v>13433.65</v>
      </c>
      <c r="D26" s="6">
        <f t="shared" si="0"/>
        <v>298.09357254643021</v>
      </c>
      <c r="E26" s="7">
        <f t="shared" si="1"/>
        <v>250.64999999999964</v>
      </c>
      <c r="F26" s="8">
        <f t="shared" si="2"/>
        <v>-47.443572546430573</v>
      </c>
      <c r="G26" s="5">
        <v>33.380000000000003</v>
      </c>
      <c r="H26" s="5">
        <v>0.55600000000000005</v>
      </c>
      <c r="I26" s="5">
        <v>51.09</v>
      </c>
    </row>
    <row r="27" spans="1:9" ht="15.75" customHeight="1">
      <c r="A27" s="5" t="s">
        <v>697</v>
      </c>
      <c r="B27" s="5">
        <v>814</v>
      </c>
      <c r="C27" s="5">
        <v>13183</v>
      </c>
      <c r="D27" s="6">
        <f t="shared" si="0"/>
        <v>355.26818162927412</v>
      </c>
      <c r="E27" s="7">
        <f t="shared" si="1"/>
        <v>318</v>
      </c>
      <c r="F27" s="8">
        <f t="shared" si="2"/>
        <v>-37.268181629274125</v>
      </c>
      <c r="G27" s="5">
        <v>33.44</v>
      </c>
      <c r="H27" s="5">
        <v>1</v>
      </c>
      <c r="I27" s="5">
        <v>51.09</v>
      </c>
    </row>
    <row r="28" spans="1:9" ht="15.75" customHeight="1">
      <c r="A28" s="5" t="s">
        <v>698</v>
      </c>
      <c r="B28" s="5">
        <v>933</v>
      </c>
      <c r="C28" s="5">
        <v>12865</v>
      </c>
      <c r="D28" s="6">
        <f t="shared" si="0"/>
        <v>407.66026988437443</v>
      </c>
      <c r="E28" s="7">
        <f t="shared" si="1"/>
        <v>398.35000000000036</v>
      </c>
      <c r="F28" s="8">
        <f t="shared" si="2"/>
        <v>-9.3102698843740654</v>
      </c>
      <c r="G28" s="5">
        <v>33.880000000000003</v>
      </c>
      <c r="H28" s="5">
        <v>3.222</v>
      </c>
      <c r="I28" s="5">
        <v>50.8</v>
      </c>
    </row>
    <row r="29" spans="1:9" ht="15.75" customHeight="1">
      <c r="A29" s="5" t="s">
        <v>699</v>
      </c>
      <c r="B29" s="5">
        <v>992</v>
      </c>
      <c r="C29" s="5">
        <v>12466.65</v>
      </c>
      <c r="D29" s="6">
        <f t="shared" si="0"/>
        <v>432.9558183983292</v>
      </c>
      <c r="E29" s="7">
        <f t="shared" si="1"/>
        <v>431</v>
      </c>
      <c r="F29" s="8">
        <f t="shared" si="2"/>
        <v>-1.9558183983291997</v>
      </c>
      <c r="G29" s="5">
        <v>33.81</v>
      </c>
      <c r="H29" s="5">
        <v>3.222</v>
      </c>
      <c r="I29" s="5">
        <v>51.09</v>
      </c>
    </row>
    <row r="30" spans="1:9" ht="15.75" customHeight="1">
      <c r="A30" s="5" t="s">
        <v>700</v>
      </c>
      <c r="B30" s="5">
        <v>1021</v>
      </c>
      <c r="C30" s="5">
        <v>12035.65</v>
      </c>
      <c r="D30" s="6">
        <f t="shared" si="0"/>
        <v>447.58662488477694</v>
      </c>
      <c r="E30" s="7">
        <f t="shared" si="1"/>
        <v>185</v>
      </c>
      <c r="F30" s="8">
        <f t="shared" si="2"/>
        <v>-262.58662488477694</v>
      </c>
      <c r="G30" s="5">
        <v>32.31</v>
      </c>
      <c r="H30" s="5">
        <v>1.667</v>
      </c>
      <c r="I30" s="5">
        <v>49.94</v>
      </c>
    </row>
    <row r="31" spans="1:9" ht="15.75" customHeight="1">
      <c r="A31" s="5" t="s">
        <v>701</v>
      </c>
      <c r="B31" s="5">
        <v>283</v>
      </c>
      <c r="C31" s="5">
        <v>11850.65</v>
      </c>
      <c r="D31" s="6">
        <f t="shared" si="0"/>
        <v>123.92375308100989</v>
      </c>
      <c r="E31" s="7">
        <f t="shared" si="1"/>
        <v>236</v>
      </c>
      <c r="F31" s="8">
        <f t="shared" si="2"/>
        <v>112.07624691899011</v>
      </c>
      <c r="G31" s="5">
        <v>32.81</v>
      </c>
      <c r="H31" s="5">
        <v>1.222</v>
      </c>
      <c r="I31" s="5">
        <v>50.23</v>
      </c>
    </row>
    <row r="32" spans="1:9" ht="15.75" customHeight="1">
      <c r="A32" s="5" t="s">
        <v>702</v>
      </c>
      <c r="B32" s="5">
        <v>1091</v>
      </c>
      <c r="C32" s="5">
        <v>11614.65</v>
      </c>
      <c r="D32" s="6">
        <f t="shared" si="0"/>
        <v>479.33701852167042</v>
      </c>
      <c r="E32" s="7">
        <f t="shared" si="1"/>
        <v>150</v>
      </c>
      <c r="F32" s="8">
        <f t="shared" si="2"/>
        <v>-329.33701852167042</v>
      </c>
      <c r="G32" s="5">
        <v>32</v>
      </c>
      <c r="H32" s="5">
        <v>3.1110000000000002</v>
      </c>
      <c r="I32" s="5">
        <v>49.36</v>
      </c>
    </row>
    <row r="33" spans="1:9" ht="15.75" customHeight="1">
      <c r="A33" s="5" t="s">
        <v>703</v>
      </c>
      <c r="B33" s="5">
        <v>247</v>
      </c>
      <c r="C33" s="5">
        <v>11464.65</v>
      </c>
      <c r="D33" s="6">
        <f t="shared" si="0"/>
        <v>108.28001601032311</v>
      </c>
      <c r="E33" s="7">
        <f t="shared" si="1"/>
        <v>166.64999999999964</v>
      </c>
      <c r="F33" s="8">
        <f t="shared" si="2"/>
        <v>58.369983989676527</v>
      </c>
      <c r="G33" s="5">
        <v>32.630000000000003</v>
      </c>
      <c r="H33" s="5">
        <v>3</v>
      </c>
      <c r="I33" s="5">
        <v>49.94</v>
      </c>
    </row>
    <row r="34" spans="1:9" ht="15.75" customHeight="1">
      <c r="A34" s="5" t="s">
        <v>704</v>
      </c>
      <c r="B34" s="5">
        <v>1129</v>
      </c>
      <c r="C34" s="5">
        <v>11298</v>
      </c>
      <c r="D34" s="6">
        <f t="shared" si="0"/>
        <v>492.74911186664673</v>
      </c>
      <c r="E34" s="7">
        <f t="shared" si="1"/>
        <v>467.35000000000036</v>
      </c>
      <c r="F34" s="8">
        <f t="shared" si="2"/>
        <v>-25.399111866646365</v>
      </c>
      <c r="G34" s="5">
        <v>32.94</v>
      </c>
      <c r="H34" s="5">
        <v>0.77800000000000002</v>
      </c>
      <c r="I34" s="5">
        <v>51.09</v>
      </c>
    </row>
    <row r="35" spans="1:9" ht="15.75" customHeight="1">
      <c r="A35" s="5" t="s">
        <v>705</v>
      </c>
      <c r="B35" s="5">
        <v>1211</v>
      </c>
      <c r="C35" s="5">
        <v>10830.65</v>
      </c>
      <c r="D35" s="6">
        <f t="shared" si="0"/>
        <v>529.12817452301977</v>
      </c>
      <c r="E35" s="7">
        <f t="shared" si="1"/>
        <v>449</v>
      </c>
      <c r="F35" s="8">
        <f t="shared" si="2"/>
        <v>-80.128174523019766</v>
      </c>
      <c r="G35" s="5">
        <v>32.81</v>
      </c>
      <c r="H35" s="5">
        <v>3</v>
      </c>
      <c r="I35" s="5">
        <v>50.8</v>
      </c>
    </row>
    <row r="36" spans="1:9" ht="15.75" customHeight="1">
      <c r="A36" s="5" t="s">
        <v>706</v>
      </c>
      <c r="B36" s="5">
        <v>595</v>
      </c>
      <c r="C36" s="5">
        <v>10381.65</v>
      </c>
      <c r="D36" s="6">
        <f t="shared" si="0"/>
        <v>260.8364758143411</v>
      </c>
      <c r="E36" s="7">
        <f t="shared" si="1"/>
        <v>210</v>
      </c>
      <c r="F36" s="8">
        <f t="shared" si="2"/>
        <v>-50.8364758143411</v>
      </c>
      <c r="G36" s="5">
        <v>32.25</v>
      </c>
      <c r="H36" s="5">
        <v>0.88900000000000001</v>
      </c>
      <c r="I36" s="5">
        <v>49.94</v>
      </c>
    </row>
    <row r="37" spans="1:9" ht="15.75" customHeight="1">
      <c r="A37" s="5" t="s">
        <v>707</v>
      </c>
      <c r="B37" s="5">
        <v>610</v>
      </c>
      <c r="C37" s="5">
        <v>10171.65</v>
      </c>
      <c r="D37" s="6">
        <f t="shared" si="0"/>
        <v>266.82767617880256</v>
      </c>
      <c r="E37" s="7">
        <f t="shared" si="1"/>
        <v>336.64999999999964</v>
      </c>
      <c r="F37" s="8">
        <f t="shared" si="2"/>
        <v>69.822323821197074</v>
      </c>
      <c r="G37" s="5">
        <v>32.81</v>
      </c>
      <c r="H37" s="5">
        <v>0.66700000000000004</v>
      </c>
      <c r="I37" s="5">
        <v>50.51</v>
      </c>
    </row>
    <row r="38" spans="1:9" ht="15.75" customHeight="1">
      <c r="A38" s="5" t="s">
        <v>708</v>
      </c>
      <c r="B38" s="5">
        <v>922</v>
      </c>
      <c r="C38" s="5">
        <v>9835</v>
      </c>
      <c r="D38" s="6">
        <f t="shared" si="0"/>
        <v>402.85398588788132</v>
      </c>
      <c r="E38" s="7">
        <f t="shared" si="1"/>
        <v>435.35299999999916</v>
      </c>
      <c r="F38" s="8">
        <f t="shared" si="2"/>
        <v>32.499014112117834</v>
      </c>
      <c r="G38" s="5">
        <v>32.880000000000003</v>
      </c>
      <c r="H38" s="5">
        <v>2.222</v>
      </c>
      <c r="I38" s="5">
        <v>50.8</v>
      </c>
    </row>
    <row r="39" spans="1:9" ht="15.75" customHeight="1">
      <c r="A39" s="5" t="s">
        <v>709</v>
      </c>
      <c r="B39" s="5">
        <v>1092</v>
      </c>
      <c r="C39" s="5">
        <v>9399.6470000000008</v>
      </c>
      <c r="D39" s="6">
        <f t="shared" si="0"/>
        <v>474.5078239006325</v>
      </c>
      <c r="E39" s="7">
        <f t="shared" si="1"/>
        <v>453.64700000000084</v>
      </c>
      <c r="F39" s="8">
        <f t="shared" si="2"/>
        <v>-20.860823900631658</v>
      </c>
      <c r="G39" s="5">
        <v>32.25</v>
      </c>
      <c r="H39" s="5">
        <v>1</v>
      </c>
      <c r="I39" s="5">
        <v>52.23</v>
      </c>
    </row>
    <row r="40" spans="1:9" ht="15.75" customHeight="1">
      <c r="A40" s="5" t="s">
        <v>710</v>
      </c>
      <c r="B40" s="5">
        <v>1111</v>
      </c>
      <c r="C40" s="5">
        <v>8946</v>
      </c>
      <c r="D40" s="6">
        <f t="shared" si="0"/>
        <v>483.28686062539094</v>
      </c>
      <c r="E40" s="7">
        <f t="shared" si="1"/>
        <v>460.35299999999916</v>
      </c>
      <c r="F40" s="8">
        <f t="shared" si="2"/>
        <v>-22.933860625391787</v>
      </c>
      <c r="G40" s="5">
        <v>32.31</v>
      </c>
      <c r="H40" s="5">
        <v>2.6669999999999998</v>
      </c>
      <c r="I40" s="5">
        <v>51.95</v>
      </c>
    </row>
    <row r="41" spans="1:9" ht="15.75" customHeight="1">
      <c r="A41" s="5" t="s">
        <v>711</v>
      </c>
      <c r="B41" s="5">
        <v>1143</v>
      </c>
      <c r="C41" s="5">
        <v>8485.6470000000008</v>
      </c>
      <c r="D41" s="6">
        <f t="shared" si="0"/>
        <v>494.45921707854427</v>
      </c>
      <c r="E41" s="7">
        <f t="shared" si="1"/>
        <v>454.64700000000084</v>
      </c>
      <c r="F41" s="8">
        <f t="shared" si="2"/>
        <v>-39.812217078543426</v>
      </c>
      <c r="G41" s="5">
        <v>32.25</v>
      </c>
      <c r="H41" s="5">
        <v>0.88900000000000001</v>
      </c>
      <c r="I41" s="5">
        <v>53.38</v>
      </c>
    </row>
    <row r="42" spans="1:9" ht="15.75" customHeight="1">
      <c r="A42" s="5" t="s">
        <v>712</v>
      </c>
      <c r="B42" s="5">
        <v>1090</v>
      </c>
      <c r="C42" s="5">
        <v>8031</v>
      </c>
      <c r="D42" s="6">
        <f t="shared" si="0"/>
        <v>473.63876195209656</v>
      </c>
      <c r="E42" s="7">
        <f t="shared" si="1"/>
        <v>265.35300000000007</v>
      </c>
      <c r="F42" s="8">
        <f t="shared" si="2"/>
        <v>-208.28576195209649</v>
      </c>
      <c r="G42" s="5">
        <v>31.94</v>
      </c>
      <c r="H42" s="5">
        <v>1.778</v>
      </c>
      <c r="I42" s="5">
        <v>52.23</v>
      </c>
    </row>
    <row r="43" spans="1:9" ht="15.75" customHeight="1">
      <c r="A43" s="5" t="s">
        <v>713</v>
      </c>
      <c r="B43" s="5">
        <v>1033</v>
      </c>
      <c r="C43" s="5">
        <v>7765.6469999999999</v>
      </c>
      <c r="D43" s="6">
        <f t="shared" si="0"/>
        <v>448.3668973563033</v>
      </c>
      <c r="E43" s="7">
        <f t="shared" si="1"/>
        <v>357</v>
      </c>
      <c r="F43" s="8">
        <f t="shared" si="2"/>
        <v>-91.366897356303298</v>
      </c>
      <c r="G43" s="5">
        <v>32.19</v>
      </c>
      <c r="H43" s="5">
        <v>0.55600000000000005</v>
      </c>
      <c r="I43" s="5">
        <v>52.52</v>
      </c>
    </row>
    <row r="44" spans="1:9" ht="15.75" customHeight="1">
      <c r="A44" s="5" t="s">
        <v>714</v>
      </c>
      <c r="B44" s="5">
        <v>1032</v>
      </c>
      <c r="C44" s="5">
        <v>7408.6469999999999</v>
      </c>
      <c r="D44" s="6">
        <f t="shared" si="0"/>
        <v>450.41371430148757</v>
      </c>
      <c r="E44" s="7">
        <f t="shared" si="1"/>
        <v>409</v>
      </c>
      <c r="F44" s="8">
        <f t="shared" si="2"/>
        <v>-41.413714301487573</v>
      </c>
      <c r="G44" s="5">
        <v>31.44</v>
      </c>
      <c r="H44" s="5">
        <v>1.111</v>
      </c>
      <c r="I44" s="5">
        <v>51.09</v>
      </c>
    </row>
    <row r="45" spans="1:9" ht="15.75" customHeight="1">
      <c r="A45" s="5" t="s">
        <v>715</v>
      </c>
      <c r="B45" s="5">
        <v>1040</v>
      </c>
      <c r="C45" s="5">
        <v>6999.6469999999999</v>
      </c>
      <c r="D45" s="6">
        <f t="shared" si="0"/>
        <v>453.90529348211925</v>
      </c>
      <c r="E45" s="7">
        <f t="shared" si="1"/>
        <v>422</v>
      </c>
      <c r="F45" s="8">
        <f t="shared" si="2"/>
        <v>-31.905293482119248</v>
      </c>
      <c r="G45" s="5">
        <v>31.75</v>
      </c>
      <c r="H45" s="5">
        <v>2.1110000000000002</v>
      </c>
      <c r="I45" s="5">
        <v>51.09</v>
      </c>
    </row>
    <row r="46" spans="1:9" ht="15.75" customHeight="1">
      <c r="A46" s="5" t="s">
        <v>716</v>
      </c>
      <c r="B46" s="5">
        <v>1003</v>
      </c>
      <c r="C46" s="5">
        <v>6577.6469999999999</v>
      </c>
      <c r="D46" s="6">
        <f t="shared" si="0"/>
        <v>437.75673977169771</v>
      </c>
      <c r="E46" s="7">
        <f t="shared" si="1"/>
        <v>395.64699999999993</v>
      </c>
      <c r="F46" s="8">
        <f t="shared" si="2"/>
        <v>-42.109739771697775</v>
      </c>
      <c r="G46" s="5">
        <v>31.13</v>
      </c>
      <c r="H46" s="5">
        <v>2.3330000000000002</v>
      </c>
      <c r="I46" s="5">
        <v>51.09</v>
      </c>
    </row>
    <row r="47" spans="1:9" ht="15.75" customHeight="1">
      <c r="A47" s="5" t="s">
        <v>717</v>
      </c>
      <c r="B47" s="5">
        <v>987</v>
      </c>
      <c r="C47" s="5">
        <v>6182</v>
      </c>
      <c r="D47" s="6">
        <f t="shared" si="0"/>
        <v>430.30900005409831</v>
      </c>
      <c r="E47" s="7">
        <f t="shared" si="1"/>
        <v>295.35300000000007</v>
      </c>
      <c r="F47" s="8">
        <f t="shared" si="2"/>
        <v>-134.95600005409824</v>
      </c>
      <c r="G47" s="5">
        <v>31.5</v>
      </c>
      <c r="H47" s="5">
        <v>2.8889999999999998</v>
      </c>
      <c r="I47" s="5">
        <v>51.37</v>
      </c>
    </row>
    <row r="48" spans="1:9" ht="15.75" customHeight="1">
      <c r="A48" s="5" t="s">
        <v>718</v>
      </c>
      <c r="B48" s="5">
        <v>998</v>
      </c>
      <c r="C48" s="5">
        <v>5886.6469999999999</v>
      </c>
      <c r="D48" s="6">
        <f t="shared" si="0"/>
        <v>435.57450278380298</v>
      </c>
      <c r="E48" s="7">
        <f t="shared" si="1"/>
        <v>299.64699999999993</v>
      </c>
      <c r="F48" s="8">
        <f t="shared" si="2"/>
        <v>-135.92750278380305</v>
      </c>
      <c r="G48" s="5">
        <v>31.13</v>
      </c>
      <c r="H48" s="5">
        <v>1.111</v>
      </c>
      <c r="I48" s="5">
        <v>51.09</v>
      </c>
    </row>
    <row r="49" spans="1:9" ht="15.75" customHeight="1">
      <c r="A49" s="5" t="s">
        <v>719</v>
      </c>
      <c r="B49" s="5">
        <v>991</v>
      </c>
      <c r="C49" s="5">
        <v>5587</v>
      </c>
      <c r="D49" s="6">
        <f t="shared" si="0"/>
        <v>432.51937100075025</v>
      </c>
      <c r="E49" s="7">
        <f t="shared" si="1"/>
        <v>405.35300000000007</v>
      </c>
      <c r="F49" s="8">
        <f t="shared" si="2"/>
        <v>-27.166371000750189</v>
      </c>
      <c r="G49" s="5">
        <v>30.19</v>
      </c>
      <c r="H49" s="5">
        <v>0.55600000000000005</v>
      </c>
      <c r="I49" s="5">
        <v>51.09</v>
      </c>
    </row>
    <row r="50" spans="1:9" ht="15.75" customHeight="1">
      <c r="A50" s="5" t="s">
        <v>720</v>
      </c>
      <c r="B50" s="5">
        <v>1027</v>
      </c>
      <c r="C50" s="5">
        <v>5181.6469999999999</v>
      </c>
      <c r="D50" s="6">
        <f t="shared" si="0"/>
        <v>448.23147731359268</v>
      </c>
      <c r="E50" s="7">
        <f t="shared" si="1"/>
        <v>348.64699999999993</v>
      </c>
      <c r="F50" s="8">
        <f t="shared" si="2"/>
        <v>-99.584477313592743</v>
      </c>
      <c r="G50" s="5">
        <v>30.56</v>
      </c>
      <c r="H50" s="5">
        <v>2</v>
      </c>
      <c r="I50" s="5">
        <v>51.09</v>
      </c>
    </row>
    <row r="51" spans="1:9" ht="15.75" customHeight="1">
      <c r="A51" s="5" t="s">
        <v>721</v>
      </c>
      <c r="B51" s="5">
        <v>984</v>
      </c>
      <c r="C51" s="5">
        <v>4833</v>
      </c>
      <c r="D51" s="6">
        <f t="shared" si="0"/>
        <v>412.85631307595429</v>
      </c>
      <c r="E51" s="7">
        <f t="shared" si="1"/>
        <v>419</v>
      </c>
      <c r="F51" s="8">
        <f t="shared" si="2"/>
        <v>6.1436869240457099</v>
      </c>
      <c r="G51" s="5">
        <v>29.75</v>
      </c>
      <c r="H51" s="5">
        <v>0.55600000000000005</v>
      </c>
      <c r="I51" s="5">
        <v>61.13</v>
      </c>
    </row>
    <row r="52" spans="1:9" ht="15.75" customHeight="1">
      <c r="A52" s="5" t="s">
        <v>722</v>
      </c>
      <c r="B52" s="5">
        <v>959</v>
      </c>
      <c r="C52" s="5">
        <v>4414</v>
      </c>
      <c r="D52" s="6">
        <f t="shared" si="0"/>
        <v>414.86123287692379</v>
      </c>
      <c r="E52" s="7">
        <f t="shared" si="1"/>
        <v>397</v>
      </c>
      <c r="F52" s="8">
        <f t="shared" si="2"/>
        <v>-17.861232876923793</v>
      </c>
      <c r="G52" s="5">
        <v>30.06</v>
      </c>
      <c r="H52" s="5">
        <v>0.88900000000000001</v>
      </c>
      <c r="I52" s="5">
        <v>53.38</v>
      </c>
    </row>
    <row r="53" spans="1:9" ht="15.75" customHeight="1">
      <c r="A53" s="5" t="s">
        <v>723</v>
      </c>
      <c r="B53" s="5">
        <v>936</v>
      </c>
      <c r="C53" s="5">
        <v>4017</v>
      </c>
      <c r="D53" s="6">
        <f t="shared" si="0"/>
        <v>403.55828826539812</v>
      </c>
      <c r="E53" s="7">
        <f t="shared" si="1"/>
        <v>387.35300000000007</v>
      </c>
      <c r="F53" s="8">
        <f t="shared" si="2"/>
        <v>-16.205288265398053</v>
      </c>
      <c r="G53" s="5">
        <v>29.81</v>
      </c>
      <c r="H53" s="5">
        <v>1</v>
      </c>
      <c r="I53" s="5">
        <v>54.24</v>
      </c>
    </row>
    <row r="54" spans="1:9" ht="15.75" customHeight="1">
      <c r="A54" s="5" t="s">
        <v>724</v>
      </c>
      <c r="B54" s="5">
        <v>891</v>
      </c>
      <c r="C54" s="5">
        <v>3629.6469999999999</v>
      </c>
      <c r="D54" s="6">
        <f t="shared" si="0"/>
        <v>385.87895901463418</v>
      </c>
      <c r="E54" s="7">
        <f t="shared" si="1"/>
        <v>369</v>
      </c>
      <c r="F54" s="8">
        <f t="shared" si="2"/>
        <v>-16.878959014634177</v>
      </c>
      <c r="G54" s="5">
        <v>28.37</v>
      </c>
      <c r="H54" s="5">
        <v>0.55600000000000005</v>
      </c>
      <c r="I54" s="5">
        <v>53.09</v>
      </c>
    </row>
    <row r="55" spans="1:9" ht="15.75" customHeight="1">
      <c r="A55" s="5" t="s">
        <v>725</v>
      </c>
      <c r="B55" s="5">
        <v>808</v>
      </c>
      <c r="C55" s="5">
        <v>3260.6469999999999</v>
      </c>
      <c r="D55" s="6">
        <f t="shared" si="0"/>
        <v>350.31320912040485</v>
      </c>
      <c r="E55" s="7">
        <f t="shared" si="1"/>
        <v>288</v>
      </c>
      <c r="F55" s="8">
        <f t="shared" si="2"/>
        <v>-62.313209120404849</v>
      </c>
      <c r="G55" s="5">
        <v>28.56</v>
      </c>
      <c r="H55" s="5">
        <v>0.55600000000000005</v>
      </c>
      <c r="I55" s="5">
        <v>52.81</v>
      </c>
    </row>
    <row r="56" spans="1:9" ht="15.75" customHeight="1">
      <c r="A56" s="5" t="s">
        <v>726</v>
      </c>
      <c r="B56" s="5">
        <v>590</v>
      </c>
      <c r="C56" s="5">
        <v>2972.6469999999999</v>
      </c>
      <c r="D56" s="6">
        <f t="shared" si="0"/>
        <v>255.79801161019654</v>
      </c>
      <c r="E56" s="7">
        <f t="shared" si="1"/>
        <v>334.64699999999993</v>
      </c>
      <c r="F56" s="8">
        <f t="shared" si="2"/>
        <v>78.848988389803395</v>
      </c>
      <c r="G56" s="5">
        <v>28.31</v>
      </c>
      <c r="H56" s="5">
        <v>0.88900000000000001</v>
      </c>
      <c r="I56" s="5">
        <v>52.81</v>
      </c>
    </row>
    <row r="57" spans="1:9" ht="15.75" customHeight="1">
      <c r="A57" s="5" t="s">
        <v>727</v>
      </c>
      <c r="B57" s="5">
        <v>899</v>
      </c>
      <c r="C57" s="5">
        <v>2638</v>
      </c>
      <c r="D57" s="6">
        <f t="shared" si="0"/>
        <v>388.90536846335192</v>
      </c>
      <c r="E57" s="7">
        <f t="shared" si="1"/>
        <v>363</v>
      </c>
      <c r="F57" s="8">
        <f t="shared" si="2"/>
        <v>-25.90536846335192</v>
      </c>
      <c r="G57" s="5">
        <v>28.25</v>
      </c>
      <c r="H57" s="5">
        <v>0.55600000000000005</v>
      </c>
      <c r="I57" s="5">
        <v>53.38</v>
      </c>
    </row>
    <row r="58" spans="1:9" ht="15.75" customHeight="1">
      <c r="A58" s="5" t="s">
        <v>728</v>
      </c>
      <c r="B58" s="5">
        <v>859</v>
      </c>
      <c r="C58" s="5">
        <v>2275</v>
      </c>
      <c r="D58" s="6">
        <f t="shared" si="0"/>
        <v>372.02023096921533</v>
      </c>
      <c r="E58" s="7">
        <f t="shared" si="1"/>
        <v>318.35300000000007</v>
      </c>
      <c r="F58" s="8">
        <f t="shared" si="2"/>
        <v>-53.667230969215268</v>
      </c>
      <c r="G58" s="5">
        <v>27.5</v>
      </c>
      <c r="H58" s="5">
        <v>0.77800000000000002</v>
      </c>
      <c r="I58" s="5">
        <v>53.09</v>
      </c>
    </row>
    <row r="59" spans="1:9" ht="15.75" customHeight="1">
      <c r="A59" s="5" t="s">
        <v>729</v>
      </c>
      <c r="B59" s="5">
        <v>866</v>
      </c>
      <c r="C59" s="5">
        <v>1956.6469999999999</v>
      </c>
      <c r="D59" s="6">
        <f t="shared" si="0"/>
        <v>374.62964303588745</v>
      </c>
      <c r="E59" s="7">
        <f t="shared" si="1"/>
        <v>346.64699999999993</v>
      </c>
      <c r="F59" s="8">
        <f t="shared" si="2"/>
        <v>-27.98264303588752</v>
      </c>
      <c r="G59" s="5">
        <v>26.94</v>
      </c>
      <c r="H59" s="5">
        <v>1.556</v>
      </c>
      <c r="I59" s="5">
        <v>53.38</v>
      </c>
    </row>
    <row r="60" spans="1:9" ht="15.75" customHeight="1">
      <c r="A60" s="5" t="s">
        <v>730</v>
      </c>
      <c r="B60" s="5">
        <v>759</v>
      </c>
      <c r="C60" s="5">
        <v>1610</v>
      </c>
      <c r="D60" s="6">
        <f t="shared" si="0"/>
        <v>329.43898847379887</v>
      </c>
      <c r="E60" s="7">
        <f t="shared" si="1"/>
        <v>188.35300000000007</v>
      </c>
      <c r="F60" s="8">
        <f t="shared" si="2"/>
        <v>-141.08598847379881</v>
      </c>
      <c r="G60" s="5">
        <v>26.25</v>
      </c>
      <c r="H60" s="5">
        <v>0.55600000000000005</v>
      </c>
      <c r="I60" s="5">
        <v>52.52</v>
      </c>
    </row>
    <row r="61" spans="1:9" ht="15.75" customHeight="1">
      <c r="A61" s="5" t="s">
        <v>731</v>
      </c>
      <c r="B61" s="5">
        <v>371</v>
      </c>
      <c r="C61" s="5">
        <v>1421.6469999999999</v>
      </c>
      <c r="D61" s="6">
        <f t="shared" si="0"/>
        <v>160.84925814810671</v>
      </c>
      <c r="E61" s="7">
        <f t="shared" si="1"/>
        <v>205.64699999999993</v>
      </c>
      <c r="F61" s="8">
        <f t="shared" si="2"/>
        <v>44.797741851893221</v>
      </c>
      <c r="G61" s="5">
        <v>25.75</v>
      </c>
      <c r="H61" s="5">
        <v>0.55600000000000005</v>
      </c>
      <c r="I61" s="5">
        <v>52.81</v>
      </c>
    </row>
    <row r="62" spans="1:9" ht="15.75" customHeight="1">
      <c r="A62" s="5" t="s">
        <v>732</v>
      </c>
      <c r="B62" s="5">
        <v>530</v>
      </c>
      <c r="C62" s="5">
        <v>1216</v>
      </c>
      <c r="D62" s="6">
        <f t="shared" si="0"/>
        <v>230.04303542966193</v>
      </c>
      <c r="E62" s="7">
        <f t="shared" si="1"/>
        <v>183.35300000000007</v>
      </c>
      <c r="F62" s="8">
        <f t="shared" si="2"/>
        <v>-46.690035429661862</v>
      </c>
      <c r="G62" s="5">
        <v>24.94</v>
      </c>
      <c r="H62" s="5">
        <v>0.55600000000000005</v>
      </c>
      <c r="I62" s="5">
        <v>52.52</v>
      </c>
    </row>
    <row r="63" spans="1:9" ht="15.75" customHeight="1">
      <c r="A63" s="5" t="s">
        <v>733</v>
      </c>
      <c r="B63" s="5">
        <v>493</v>
      </c>
      <c r="C63" s="5">
        <v>1032.6469999999999</v>
      </c>
      <c r="D63" s="6">
        <f t="shared" si="0"/>
        <v>215.40891002464804</v>
      </c>
      <c r="E63" s="7">
        <f t="shared" si="1"/>
        <v>169.64699999999993</v>
      </c>
      <c r="F63" s="8">
        <f t="shared" si="2"/>
        <v>-45.761910024648103</v>
      </c>
      <c r="G63" s="5">
        <v>24.56</v>
      </c>
      <c r="H63" s="5">
        <v>0.55600000000000005</v>
      </c>
      <c r="I63" s="5">
        <v>50.8</v>
      </c>
    </row>
    <row r="64" spans="1:9" ht="15.75" customHeight="1">
      <c r="A64" s="5" t="s">
        <v>734</v>
      </c>
      <c r="B64" s="5">
        <v>247</v>
      </c>
      <c r="C64" s="5">
        <v>863</v>
      </c>
      <c r="D64" s="6">
        <f t="shared" si="0"/>
        <v>109.23503362696269</v>
      </c>
      <c r="E64" s="7">
        <f t="shared" si="1"/>
        <v>112</v>
      </c>
      <c r="F64" s="8">
        <f t="shared" si="2"/>
        <v>2.7649663730373106</v>
      </c>
      <c r="G64" s="5">
        <v>24.44</v>
      </c>
      <c r="H64" s="5">
        <v>0.55600000000000005</v>
      </c>
      <c r="I64" s="5">
        <v>47.64</v>
      </c>
    </row>
    <row r="65" spans="1:26" ht="15.75" customHeight="1">
      <c r="A65" s="5" t="s">
        <v>735</v>
      </c>
      <c r="B65" s="5">
        <v>313</v>
      </c>
      <c r="C65" s="5">
        <v>751</v>
      </c>
      <c r="D65" s="6">
        <f t="shared" si="0"/>
        <v>137.36572870074636</v>
      </c>
      <c r="E65" s="7">
        <f t="shared" si="1"/>
        <v>155.35299999999995</v>
      </c>
      <c r="F65" s="8">
        <f t="shared" si="2"/>
        <v>17.987271299253592</v>
      </c>
      <c r="G65" s="5">
        <v>24.19</v>
      </c>
      <c r="H65" s="5">
        <v>0.55600000000000005</v>
      </c>
      <c r="I65" s="5">
        <v>49.65</v>
      </c>
    </row>
    <row r="66" spans="1:26" ht="15.75" customHeight="1">
      <c r="A66" s="5" t="s">
        <v>736</v>
      </c>
      <c r="B66" s="5">
        <v>409</v>
      </c>
      <c r="C66" s="5">
        <v>595.64700000000005</v>
      </c>
      <c r="D66" s="6">
        <f t="shared" si="0"/>
        <v>182.06166506924376</v>
      </c>
      <c r="E66" s="7">
        <f t="shared" si="1"/>
        <v>157.00000000000006</v>
      </c>
      <c r="F66" s="8">
        <f t="shared" si="2"/>
        <v>-25.061665069243702</v>
      </c>
      <c r="G66" s="5">
        <v>24.31</v>
      </c>
      <c r="H66" s="5">
        <v>0.55600000000000005</v>
      </c>
      <c r="I66" s="5">
        <v>45.92</v>
      </c>
    </row>
    <row r="67" spans="1:26" ht="15.75" customHeight="1">
      <c r="A67" s="5" t="s">
        <v>737</v>
      </c>
      <c r="B67" s="5">
        <v>319</v>
      </c>
      <c r="C67" s="5">
        <v>438.64699999999999</v>
      </c>
      <c r="D67" s="6">
        <f t="shared" si="0"/>
        <v>144.31048654980088</v>
      </c>
      <c r="E67" s="7">
        <f t="shared" si="1"/>
        <v>123</v>
      </c>
      <c r="F67" s="8">
        <f t="shared" si="2"/>
        <v>-21.310486549800885</v>
      </c>
      <c r="G67" s="5">
        <v>23.13</v>
      </c>
      <c r="H67" s="5">
        <v>0.88900000000000001</v>
      </c>
      <c r="I67" s="5">
        <v>41.61</v>
      </c>
    </row>
    <row r="68" spans="1:26" ht="15.75" customHeight="1">
      <c r="A68" s="5" t="s">
        <v>738</v>
      </c>
      <c r="B68" s="5">
        <v>228</v>
      </c>
      <c r="C68" s="5">
        <v>315.64699999999999</v>
      </c>
      <c r="D68" s="6">
        <f t="shared" si="0"/>
        <v>105.56207146408553</v>
      </c>
      <c r="E68" s="7">
        <f t="shared" si="1"/>
        <v>91</v>
      </c>
      <c r="F68" s="8">
        <f t="shared" si="2"/>
        <v>-14.562071464085534</v>
      </c>
      <c r="G68" s="5">
        <v>22.13</v>
      </c>
      <c r="H68" s="5">
        <v>0.88900000000000001</v>
      </c>
      <c r="I68" s="5">
        <v>35.299999999999997</v>
      </c>
    </row>
    <row r="69" spans="1:26" ht="15.75" customHeight="1">
      <c r="A69" s="5" t="s">
        <v>739</v>
      </c>
      <c r="B69" s="5">
        <v>205</v>
      </c>
      <c r="C69" s="5">
        <v>224.64699999999999</v>
      </c>
      <c r="D69" s="6">
        <f t="shared" si="0"/>
        <v>97.584070864921927</v>
      </c>
      <c r="E69" s="7">
        <f t="shared" si="1"/>
        <v>77</v>
      </c>
      <c r="F69" s="8">
        <f t="shared" si="2"/>
        <v>-20.584070864921927</v>
      </c>
      <c r="G69" s="5">
        <v>21.25</v>
      </c>
      <c r="H69" s="5">
        <v>0.55600000000000005</v>
      </c>
      <c r="I69" s="5">
        <v>27.55</v>
      </c>
    </row>
    <row r="70" spans="1:26" ht="15.75" customHeight="1">
      <c r="A70" s="5" t="s">
        <v>740</v>
      </c>
      <c r="B70" s="5">
        <v>163</v>
      </c>
      <c r="C70" s="5">
        <v>147.64699999999999</v>
      </c>
      <c r="D70" s="6">
        <f t="shared" si="0"/>
        <v>78.769500955698078</v>
      </c>
      <c r="E70" s="7">
        <f t="shared" si="1"/>
        <v>56.999999999999986</v>
      </c>
      <c r="F70" s="8">
        <f t="shared" si="2"/>
        <v>-21.769500955698092</v>
      </c>
      <c r="G70" s="5">
        <v>20.5</v>
      </c>
      <c r="H70" s="5">
        <v>0.88900000000000001</v>
      </c>
      <c r="I70" s="5">
        <v>23.25</v>
      </c>
    </row>
    <row r="71" spans="1:26" ht="15.75" customHeight="1">
      <c r="A71" s="5" t="s">
        <v>741</v>
      </c>
      <c r="B71" s="5">
        <v>122</v>
      </c>
      <c r="C71" s="5">
        <v>90.647000000000006</v>
      </c>
      <c r="D71" s="6">
        <f t="shared" si="0"/>
        <v>59.311120882967863</v>
      </c>
      <c r="E71" s="7">
        <f t="shared" si="1"/>
        <v>40.000000000000007</v>
      </c>
      <c r="F71" s="8">
        <f t="shared" si="2"/>
        <v>-19.311120882967856</v>
      </c>
      <c r="G71" s="5">
        <v>19.559999999999999</v>
      </c>
      <c r="H71" s="5">
        <v>0.55600000000000005</v>
      </c>
      <c r="I71" s="5">
        <v>21.52</v>
      </c>
    </row>
    <row r="72" spans="1:26" ht="15.75" customHeight="1">
      <c r="A72" s="5" t="s">
        <v>742</v>
      </c>
      <c r="B72" s="5">
        <v>85</v>
      </c>
      <c r="C72" s="5">
        <v>50.646999999999998</v>
      </c>
      <c r="D72" s="6">
        <f t="shared" si="0"/>
        <v>41.446208368792</v>
      </c>
      <c r="E72" s="7">
        <f t="shared" si="1"/>
        <v>27</v>
      </c>
      <c r="F72" s="8">
        <f t="shared" si="2"/>
        <v>-14.446208368792</v>
      </c>
      <c r="G72" s="5">
        <v>19.059999999999999</v>
      </c>
      <c r="H72" s="5">
        <v>0.55600000000000005</v>
      </c>
      <c r="I72" s="5">
        <v>20.66</v>
      </c>
    </row>
    <row r="73" spans="1:26" ht="15.75" customHeight="1">
      <c r="A73" s="5" t="s">
        <v>743</v>
      </c>
      <c r="B73" s="5">
        <v>40</v>
      </c>
      <c r="C73" s="5">
        <v>23.646999999999998</v>
      </c>
      <c r="D73" s="6">
        <f t="shared" si="0"/>
        <v>19.600255436067194</v>
      </c>
      <c r="E73" s="7">
        <f t="shared" si="1"/>
        <v>15.999999999999998</v>
      </c>
      <c r="F73" s="8">
        <f t="shared" si="2"/>
        <v>-3.6002554360671954</v>
      </c>
      <c r="G73" s="5">
        <v>18.690000000000001</v>
      </c>
      <c r="H73" s="5">
        <v>0.55600000000000005</v>
      </c>
      <c r="I73" s="5">
        <v>19.23</v>
      </c>
    </row>
    <row r="74" spans="1:26" ht="15.75" customHeight="1">
      <c r="A74" s="5" t="s">
        <v>744</v>
      </c>
      <c r="B74" s="5">
        <v>23</v>
      </c>
      <c r="C74" s="5">
        <v>7.6470000000000002</v>
      </c>
      <c r="D74" s="6">
        <f t="shared" si="0"/>
        <v>11.303398501257261</v>
      </c>
      <c r="E74" s="7">
        <f t="shared" si="1"/>
        <v>7.6470000000000002</v>
      </c>
      <c r="F74" s="8">
        <f t="shared" si="2"/>
        <v>-3.6563985012572608</v>
      </c>
      <c r="G74" s="5">
        <v>18.309999999999999</v>
      </c>
      <c r="H74" s="5">
        <v>0.55600000000000005</v>
      </c>
      <c r="I74" s="5">
        <v>18.37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6.8825000000000003</v>
      </c>
      <c r="C76" s="11"/>
      <c r="D76" s="16">
        <f>SUM(D2:D75)</f>
        <v>18028.39478185364</v>
      </c>
      <c r="E76" s="15">
        <f>SUM(E1:E74)</f>
        <v>16163.650000000001</v>
      </c>
      <c r="F76" s="11"/>
      <c r="G76" s="17">
        <f t="shared" ref="G76:I76" si="3">AVERAGE(G1:G74)</f>
        <v>29.950958904109591</v>
      </c>
      <c r="H76" s="17">
        <f t="shared" si="3"/>
        <v>1.2041232876712322</v>
      </c>
      <c r="I76" s="17">
        <f t="shared" si="3"/>
        <v>47.803561643835636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745</v>
      </c>
      <c r="B2" s="4">
        <v>0</v>
      </c>
      <c r="C2" s="5">
        <v>15637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30.69</v>
      </c>
      <c r="H2" s="5">
        <v>2.444</v>
      </c>
      <c r="I2" s="5">
        <v>39.61</v>
      </c>
    </row>
    <row r="3" spans="1:26" ht="15.75" customHeight="1">
      <c r="A3" s="5" t="s">
        <v>746</v>
      </c>
      <c r="B3" s="5">
        <v>1</v>
      </c>
      <c r="C3" s="5">
        <v>15637</v>
      </c>
      <c r="D3" s="6">
        <f t="shared" si="0"/>
        <v>0.45430039368653385</v>
      </c>
      <c r="E3" s="7">
        <f t="shared" si="1"/>
        <v>3</v>
      </c>
      <c r="F3" s="8">
        <f t="shared" si="2"/>
        <v>2.545699606313466</v>
      </c>
      <c r="G3" s="5">
        <v>31</v>
      </c>
      <c r="H3" s="5">
        <v>0.88900000000000001</v>
      </c>
      <c r="I3" s="5">
        <v>40.47</v>
      </c>
    </row>
    <row r="4" spans="1:26" ht="15.75" customHeight="1">
      <c r="A4" s="5" t="s">
        <v>747</v>
      </c>
      <c r="B4" s="5">
        <v>8</v>
      </c>
      <c r="C4" s="5">
        <v>15634</v>
      </c>
      <c r="D4" s="6">
        <f t="shared" si="0"/>
        <v>3.6151716734592547</v>
      </c>
      <c r="E4" s="7">
        <f t="shared" si="1"/>
        <v>7</v>
      </c>
      <c r="F4" s="8">
        <f t="shared" si="2"/>
        <v>3.3848283265407453</v>
      </c>
      <c r="G4" s="5">
        <v>31.31</v>
      </c>
      <c r="H4" s="5">
        <v>2.444</v>
      </c>
      <c r="I4" s="5">
        <v>41.9</v>
      </c>
    </row>
    <row r="5" spans="1:26" ht="15.75" customHeight="1">
      <c r="A5" s="5" t="s">
        <v>748</v>
      </c>
      <c r="B5" s="5">
        <v>20</v>
      </c>
      <c r="C5" s="5">
        <v>15627</v>
      </c>
      <c r="D5" s="6">
        <f t="shared" si="0"/>
        <v>8.97035004583981</v>
      </c>
      <c r="E5" s="7">
        <f t="shared" si="1"/>
        <v>14.649999999999636</v>
      </c>
      <c r="F5" s="8">
        <f t="shared" si="2"/>
        <v>5.6796499541598262</v>
      </c>
      <c r="G5" s="5">
        <v>31.94</v>
      </c>
      <c r="H5" s="5">
        <v>1.444</v>
      </c>
      <c r="I5" s="5">
        <v>43.91</v>
      </c>
    </row>
    <row r="6" spans="1:26" ht="15.75" customHeight="1">
      <c r="A6" s="5" t="s">
        <v>749</v>
      </c>
      <c r="B6" s="5">
        <v>33</v>
      </c>
      <c r="C6" s="5">
        <v>15612.35</v>
      </c>
      <c r="D6" s="6">
        <f t="shared" si="0"/>
        <v>14.673484128878167</v>
      </c>
      <c r="E6" s="7">
        <f t="shared" si="1"/>
        <v>25</v>
      </c>
      <c r="F6" s="8">
        <f t="shared" si="2"/>
        <v>10.326515871121833</v>
      </c>
      <c r="G6" s="5">
        <v>32.31</v>
      </c>
      <c r="H6" s="5">
        <v>1.889</v>
      </c>
      <c r="I6" s="5">
        <v>46.21</v>
      </c>
    </row>
    <row r="7" spans="1:26" ht="15.75" customHeight="1">
      <c r="A7" s="5" t="s">
        <v>750</v>
      </c>
      <c r="B7" s="5">
        <v>47</v>
      </c>
      <c r="C7" s="5">
        <v>15587.35</v>
      </c>
      <c r="D7" s="6">
        <f t="shared" si="0"/>
        <v>20.717664712216326</v>
      </c>
      <c r="E7" s="7">
        <f t="shared" si="1"/>
        <v>40.350000000000364</v>
      </c>
      <c r="F7" s="8">
        <f t="shared" si="2"/>
        <v>19.632335287784038</v>
      </c>
      <c r="G7" s="5">
        <v>32.69</v>
      </c>
      <c r="H7" s="5">
        <v>0.66700000000000004</v>
      </c>
      <c r="I7" s="5">
        <v>48.5</v>
      </c>
    </row>
    <row r="8" spans="1:26" ht="15.75" customHeight="1">
      <c r="A8" s="5" t="s">
        <v>751</v>
      </c>
      <c r="B8" s="5">
        <v>62</v>
      </c>
      <c r="C8" s="5">
        <v>15547</v>
      </c>
      <c r="D8" s="6">
        <f t="shared" si="0"/>
        <v>27.209824854460933</v>
      </c>
      <c r="E8" s="7">
        <f t="shared" si="1"/>
        <v>56</v>
      </c>
      <c r="F8" s="8">
        <f t="shared" si="2"/>
        <v>28.790175145539067</v>
      </c>
      <c r="G8" s="5">
        <v>32.880000000000003</v>
      </c>
      <c r="H8" s="5">
        <v>2</v>
      </c>
      <c r="I8" s="5">
        <v>49.65</v>
      </c>
    </row>
    <row r="9" spans="1:26" ht="15.75" customHeight="1">
      <c r="A9" s="5" t="s">
        <v>752</v>
      </c>
      <c r="B9" s="5">
        <v>140</v>
      </c>
      <c r="C9" s="5">
        <v>15491</v>
      </c>
      <c r="D9" s="6">
        <f t="shared" si="0"/>
        <v>61.305036859863549</v>
      </c>
      <c r="E9" s="7">
        <f t="shared" si="1"/>
        <v>65</v>
      </c>
      <c r="F9" s="8">
        <f t="shared" si="2"/>
        <v>3.6949631401364513</v>
      </c>
      <c r="G9" s="5">
        <v>32.880000000000003</v>
      </c>
      <c r="H9" s="5">
        <v>4.556</v>
      </c>
      <c r="I9" s="5">
        <v>50.23</v>
      </c>
    </row>
    <row r="10" spans="1:26" ht="15.75" customHeight="1">
      <c r="A10" s="5" t="s">
        <v>753</v>
      </c>
      <c r="B10" s="5">
        <v>159</v>
      </c>
      <c r="C10" s="5">
        <v>15426</v>
      </c>
      <c r="D10" s="6">
        <f t="shared" si="0"/>
        <v>69.550164774474794</v>
      </c>
      <c r="E10" s="7">
        <f t="shared" si="1"/>
        <v>87.649999999999636</v>
      </c>
      <c r="F10" s="8">
        <f t="shared" si="2"/>
        <v>18.099835225524842</v>
      </c>
      <c r="G10" s="5">
        <v>32.94</v>
      </c>
      <c r="H10" s="5">
        <v>2.8889999999999998</v>
      </c>
      <c r="I10" s="5">
        <v>50.51</v>
      </c>
    </row>
    <row r="11" spans="1:26" ht="15.75" customHeight="1">
      <c r="A11" s="5" t="s">
        <v>754</v>
      </c>
      <c r="B11" s="5">
        <v>259</v>
      </c>
      <c r="C11" s="5">
        <v>15338.35</v>
      </c>
      <c r="D11" s="6">
        <f t="shared" si="0"/>
        <v>113.16614137197534</v>
      </c>
      <c r="E11" s="7">
        <f t="shared" si="1"/>
        <v>115.35000000000036</v>
      </c>
      <c r="F11" s="8">
        <f t="shared" si="2"/>
        <v>2.1838586280250212</v>
      </c>
      <c r="G11" s="5">
        <v>33.25</v>
      </c>
      <c r="H11" s="5">
        <v>4</v>
      </c>
      <c r="I11" s="5">
        <v>50.8</v>
      </c>
    </row>
    <row r="12" spans="1:26" ht="15.75" customHeight="1">
      <c r="A12" s="5" t="s">
        <v>755</v>
      </c>
      <c r="B12" s="5">
        <v>301</v>
      </c>
      <c r="C12" s="5">
        <v>15223</v>
      </c>
      <c r="D12" s="6">
        <f t="shared" si="0"/>
        <v>131.6641484095403</v>
      </c>
      <c r="E12" s="7">
        <f t="shared" si="1"/>
        <v>135.64999999999964</v>
      </c>
      <c r="F12" s="8">
        <f t="shared" si="2"/>
        <v>3.9858515904593332</v>
      </c>
      <c r="G12" s="5">
        <v>33.56</v>
      </c>
      <c r="H12" s="5">
        <v>2.6669999999999998</v>
      </c>
      <c r="I12" s="5">
        <v>50.51</v>
      </c>
    </row>
    <row r="13" spans="1:26" ht="15.75" customHeight="1">
      <c r="A13" s="5" t="s">
        <v>756</v>
      </c>
      <c r="B13" s="5">
        <v>341</v>
      </c>
      <c r="C13" s="5">
        <v>15087.35</v>
      </c>
      <c r="D13" s="6">
        <f t="shared" si="0"/>
        <v>149.32155406581049</v>
      </c>
      <c r="E13" s="7">
        <f t="shared" si="1"/>
        <v>154</v>
      </c>
      <c r="F13" s="8">
        <f t="shared" si="2"/>
        <v>4.6784459341895115</v>
      </c>
      <c r="G13" s="5">
        <v>33.56</v>
      </c>
      <c r="H13" s="5">
        <v>3.1110000000000002</v>
      </c>
      <c r="I13" s="5">
        <v>50.23</v>
      </c>
    </row>
    <row r="14" spans="1:26" ht="15.75" customHeight="1">
      <c r="A14" s="5" t="s">
        <v>757</v>
      </c>
      <c r="B14" s="5">
        <v>392</v>
      </c>
      <c r="C14" s="5">
        <v>14933.35</v>
      </c>
      <c r="D14" s="6">
        <f t="shared" si="0"/>
        <v>171.27848423866533</v>
      </c>
      <c r="E14" s="7">
        <f t="shared" si="1"/>
        <v>179</v>
      </c>
      <c r="F14" s="8">
        <f t="shared" si="2"/>
        <v>7.7215157613346719</v>
      </c>
      <c r="G14" s="5">
        <v>34.130000000000003</v>
      </c>
      <c r="H14" s="5">
        <v>1.667</v>
      </c>
      <c r="I14" s="5">
        <v>50.8</v>
      </c>
    </row>
    <row r="15" spans="1:26" ht="15.75" customHeight="1">
      <c r="A15" s="5" t="s">
        <v>758</v>
      </c>
      <c r="B15" s="5">
        <v>435</v>
      </c>
      <c r="C15" s="5">
        <v>14754.35</v>
      </c>
      <c r="D15" s="6">
        <f t="shared" si="0"/>
        <v>189.85461794684795</v>
      </c>
      <c r="E15" s="7">
        <f t="shared" si="1"/>
        <v>199.35000000000036</v>
      </c>
      <c r="F15" s="8">
        <f t="shared" si="2"/>
        <v>9.4953820531524116</v>
      </c>
      <c r="G15" s="5">
        <v>33.880000000000003</v>
      </c>
      <c r="H15" s="5">
        <v>3.1110000000000002</v>
      </c>
      <c r="I15" s="5">
        <v>51.09</v>
      </c>
    </row>
    <row r="16" spans="1:26" ht="15.75" customHeight="1">
      <c r="A16" s="5" t="s">
        <v>759</v>
      </c>
      <c r="B16" s="5">
        <v>485</v>
      </c>
      <c r="C16" s="5">
        <v>14555</v>
      </c>
      <c r="D16" s="6">
        <f t="shared" si="0"/>
        <v>211.676987825796</v>
      </c>
      <c r="E16" s="7">
        <f t="shared" si="1"/>
        <v>219.64999999999964</v>
      </c>
      <c r="F16" s="8">
        <f t="shared" si="2"/>
        <v>7.9730121742036317</v>
      </c>
      <c r="G16" s="5">
        <v>34.25</v>
      </c>
      <c r="H16" s="5">
        <v>5.444</v>
      </c>
      <c r="I16" s="5">
        <v>51.09</v>
      </c>
    </row>
    <row r="17" spans="1:9" ht="15.75" customHeight="1">
      <c r="A17" s="5" t="s">
        <v>760</v>
      </c>
      <c r="B17" s="5">
        <v>447</v>
      </c>
      <c r="C17" s="5">
        <v>14335.35</v>
      </c>
      <c r="D17" s="6">
        <f t="shared" si="0"/>
        <v>195.09198671779549</v>
      </c>
      <c r="E17" s="7">
        <f t="shared" si="1"/>
        <v>205</v>
      </c>
      <c r="F17" s="8">
        <f t="shared" si="2"/>
        <v>9.9080132822045073</v>
      </c>
      <c r="G17" s="5">
        <v>33.880000000000003</v>
      </c>
      <c r="H17" s="5">
        <v>2</v>
      </c>
      <c r="I17" s="5">
        <v>51.09</v>
      </c>
    </row>
    <row r="18" spans="1:9" ht="15.75" customHeight="1">
      <c r="A18" s="5" t="s">
        <v>761</v>
      </c>
      <c r="B18" s="5">
        <v>461</v>
      </c>
      <c r="C18" s="5">
        <v>14130.35</v>
      </c>
      <c r="D18" s="6">
        <f t="shared" si="0"/>
        <v>201.86872851712212</v>
      </c>
      <c r="E18" s="7">
        <f t="shared" si="1"/>
        <v>229.35000000000036</v>
      </c>
      <c r="F18" s="8">
        <f t="shared" si="2"/>
        <v>27.481271482878242</v>
      </c>
      <c r="G18" s="5">
        <v>34</v>
      </c>
      <c r="H18" s="5">
        <v>4.1109999999999998</v>
      </c>
      <c r="I18" s="5">
        <v>50.23</v>
      </c>
    </row>
    <row r="19" spans="1:9" ht="15.75" customHeight="1">
      <c r="A19" s="5" t="s">
        <v>762</v>
      </c>
      <c r="B19" s="5">
        <v>624</v>
      </c>
      <c r="C19" s="5">
        <v>13901</v>
      </c>
      <c r="D19" s="6">
        <f t="shared" si="0"/>
        <v>272.64738307379383</v>
      </c>
      <c r="E19" s="7">
        <f t="shared" si="1"/>
        <v>282</v>
      </c>
      <c r="F19" s="8">
        <f t="shared" si="2"/>
        <v>9.3526169262061671</v>
      </c>
      <c r="G19" s="5">
        <v>34.19</v>
      </c>
      <c r="H19" s="5">
        <v>2.6669999999999998</v>
      </c>
      <c r="I19" s="5">
        <v>50.8</v>
      </c>
    </row>
    <row r="20" spans="1:9" ht="15.75" customHeight="1">
      <c r="A20" s="5" t="s">
        <v>763</v>
      </c>
      <c r="B20" s="5">
        <v>622</v>
      </c>
      <c r="C20" s="5">
        <v>13619</v>
      </c>
      <c r="D20" s="6">
        <f t="shared" si="0"/>
        <v>271.77351325624966</v>
      </c>
      <c r="E20" s="7">
        <f t="shared" si="1"/>
        <v>308.64999999999964</v>
      </c>
      <c r="F20" s="8">
        <f t="shared" si="2"/>
        <v>36.876486743749979</v>
      </c>
      <c r="G20" s="5">
        <v>34.25</v>
      </c>
      <c r="H20" s="5">
        <v>5.8890000000000002</v>
      </c>
      <c r="I20" s="5">
        <v>50.8</v>
      </c>
    </row>
    <row r="21" spans="1:9" ht="15.75" customHeight="1">
      <c r="A21" s="5" t="s">
        <v>764</v>
      </c>
      <c r="B21" s="5">
        <v>581</v>
      </c>
      <c r="C21" s="5">
        <v>13310.35</v>
      </c>
      <c r="D21" s="6">
        <f t="shared" si="0"/>
        <v>254.69914697165072</v>
      </c>
      <c r="E21" s="7">
        <f t="shared" si="1"/>
        <v>172.35000000000036</v>
      </c>
      <c r="F21" s="8">
        <f t="shared" si="2"/>
        <v>-82.349146971650356</v>
      </c>
      <c r="G21" s="5">
        <v>33.56</v>
      </c>
      <c r="H21" s="5">
        <v>3.556</v>
      </c>
      <c r="I21" s="5">
        <v>49.94</v>
      </c>
    </row>
    <row r="22" spans="1:9" ht="15.75" customHeight="1">
      <c r="A22" s="5" t="s">
        <v>765</v>
      </c>
      <c r="B22" s="5">
        <v>378</v>
      </c>
      <c r="C22" s="5">
        <v>13138</v>
      </c>
      <c r="D22" s="6">
        <f t="shared" si="0"/>
        <v>165.52359952163158</v>
      </c>
      <c r="E22" s="7">
        <f t="shared" si="1"/>
        <v>155.64999999999964</v>
      </c>
      <c r="F22" s="8">
        <f t="shared" si="2"/>
        <v>-9.8735995216319452</v>
      </c>
      <c r="G22" s="5">
        <v>34</v>
      </c>
      <c r="H22" s="5">
        <v>4</v>
      </c>
      <c r="I22" s="5">
        <v>50.23</v>
      </c>
    </row>
    <row r="23" spans="1:9" ht="15.75" customHeight="1">
      <c r="A23" s="5" t="s">
        <v>766</v>
      </c>
      <c r="B23" s="5">
        <v>483</v>
      </c>
      <c r="C23" s="5">
        <v>12982.35</v>
      </c>
      <c r="D23" s="6">
        <f t="shared" si="0"/>
        <v>210.80409303063806</v>
      </c>
      <c r="E23" s="7">
        <f t="shared" si="1"/>
        <v>324.35000000000036</v>
      </c>
      <c r="F23" s="8">
        <f t="shared" si="2"/>
        <v>113.54590696936231</v>
      </c>
      <c r="G23" s="5">
        <v>34.619999999999997</v>
      </c>
      <c r="H23" s="5">
        <v>3.6669999999999998</v>
      </c>
      <c r="I23" s="5">
        <v>51.09</v>
      </c>
    </row>
    <row r="24" spans="1:9" ht="15.75" customHeight="1">
      <c r="A24" s="5" t="s">
        <v>767</v>
      </c>
      <c r="B24" s="5">
        <v>804</v>
      </c>
      <c r="C24" s="5">
        <v>12658</v>
      </c>
      <c r="D24" s="6">
        <f t="shared" si="0"/>
        <v>351.29566665277287</v>
      </c>
      <c r="E24" s="7">
        <f t="shared" si="1"/>
        <v>342.64999999999964</v>
      </c>
      <c r="F24" s="8">
        <f t="shared" si="2"/>
        <v>-8.6456666527732295</v>
      </c>
      <c r="G24" s="5">
        <v>34.380000000000003</v>
      </c>
      <c r="H24" s="5">
        <v>1.333</v>
      </c>
      <c r="I24" s="5">
        <v>50.8</v>
      </c>
    </row>
    <row r="25" spans="1:9" ht="15.75" customHeight="1">
      <c r="A25" s="5" t="s">
        <v>768</v>
      </c>
      <c r="B25" s="5">
        <v>816</v>
      </c>
      <c r="C25" s="5">
        <v>12315.35</v>
      </c>
      <c r="D25" s="6">
        <f t="shared" si="0"/>
        <v>354.1794658690643</v>
      </c>
      <c r="E25" s="7">
        <f t="shared" si="1"/>
        <v>356</v>
      </c>
      <c r="F25" s="8">
        <f t="shared" si="2"/>
        <v>1.8205341309356982</v>
      </c>
      <c r="G25" s="5">
        <v>34.130000000000003</v>
      </c>
      <c r="H25" s="5">
        <v>2.8889999999999998</v>
      </c>
      <c r="I25" s="5">
        <v>52.52</v>
      </c>
    </row>
    <row r="26" spans="1:9" ht="15.75" customHeight="1">
      <c r="A26" s="5" t="s">
        <v>769</v>
      </c>
      <c r="B26" s="5">
        <v>860</v>
      </c>
      <c r="C26" s="5">
        <v>11959.35</v>
      </c>
      <c r="D26" s="6">
        <f t="shared" si="0"/>
        <v>373.69663787046142</v>
      </c>
      <c r="E26" s="7">
        <f t="shared" si="1"/>
        <v>362</v>
      </c>
      <c r="F26" s="8">
        <f t="shared" si="2"/>
        <v>-11.696637870461416</v>
      </c>
      <c r="G26" s="5">
        <v>34.25</v>
      </c>
      <c r="H26" s="5">
        <v>0.88900000000000001</v>
      </c>
      <c r="I26" s="5">
        <v>52.23</v>
      </c>
    </row>
    <row r="27" spans="1:9" ht="15.75" customHeight="1">
      <c r="A27" s="5" t="s">
        <v>770</v>
      </c>
      <c r="B27" s="5">
        <v>864</v>
      </c>
      <c r="C27" s="5">
        <v>11597.35</v>
      </c>
      <c r="D27" s="6">
        <f t="shared" si="0"/>
        <v>372.51534301421356</v>
      </c>
      <c r="E27" s="7">
        <f t="shared" si="1"/>
        <v>368.35000000000036</v>
      </c>
      <c r="F27" s="8">
        <f t="shared" si="2"/>
        <v>-4.1653430142131924</v>
      </c>
      <c r="G27" s="5">
        <v>34.380000000000003</v>
      </c>
      <c r="H27" s="5">
        <v>0.55600000000000005</v>
      </c>
      <c r="I27" s="5">
        <v>54.24</v>
      </c>
    </row>
    <row r="28" spans="1:9" ht="15.75" customHeight="1">
      <c r="A28" s="5" t="s">
        <v>771</v>
      </c>
      <c r="B28" s="5">
        <v>898</v>
      </c>
      <c r="C28" s="5">
        <v>11229</v>
      </c>
      <c r="D28" s="6">
        <f t="shared" si="0"/>
        <v>388.03498567168185</v>
      </c>
      <c r="E28" s="7">
        <f t="shared" si="1"/>
        <v>382.64999999999964</v>
      </c>
      <c r="F28" s="8">
        <f t="shared" si="2"/>
        <v>-5.384985671682216</v>
      </c>
      <c r="G28" s="5">
        <v>34.380000000000003</v>
      </c>
      <c r="H28" s="5">
        <v>1.667</v>
      </c>
      <c r="I28" s="5">
        <v>53.67</v>
      </c>
    </row>
    <row r="29" spans="1:9" ht="15.75" customHeight="1">
      <c r="A29" s="5" t="s">
        <v>772</v>
      </c>
      <c r="B29" s="5">
        <v>930</v>
      </c>
      <c r="C29" s="5">
        <v>10846.35</v>
      </c>
      <c r="D29" s="6">
        <f t="shared" si="0"/>
        <v>401.40912759111507</v>
      </c>
      <c r="E29" s="7">
        <f t="shared" si="1"/>
        <v>392</v>
      </c>
      <c r="F29" s="8">
        <f t="shared" si="2"/>
        <v>-9.409127591115066</v>
      </c>
      <c r="G29" s="5">
        <v>34.56</v>
      </c>
      <c r="H29" s="5">
        <v>2.222</v>
      </c>
      <c r="I29" s="5">
        <v>53.96</v>
      </c>
    </row>
    <row r="30" spans="1:9" ht="15.75" customHeight="1">
      <c r="A30" s="5" t="s">
        <v>773</v>
      </c>
      <c r="B30" s="5">
        <v>940</v>
      </c>
      <c r="C30" s="5">
        <v>10454.35</v>
      </c>
      <c r="D30" s="6">
        <f t="shared" si="0"/>
        <v>406.64187581262598</v>
      </c>
      <c r="E30" s="7">
        <f t="shared" si="1"/>
        <v>396.35000000000036</v>
      </c>
      <c r="F30" s="8">
        <f t="shared" si="2"/>
        <v>-10.291875812625619</v>
      </c>
      <c r="G30" s="5">
        <v>34.25</v>
      </c>
      <c r="H30" s="5">
        <v>3.444</v>
      </c>
      <c r="I30" s="5">
        <v>53.38</v>
      </c>
    </row>
    <row r="31" spans="1:9" ht="15.75" customHeight="1">
      <c r="A31" s="5" t="s">
        <v>774</v>
      </c>
      <c r="B31" s="5">
        <v>953</v>
      </c>
      <c r="C31" s="5">
        <v>10058</v>
      </c>
      <c r="D31" s="6">
        <f t="shared" si="0"/>
        <v>413.17882214324976</v>
      </c>
      <c r="E31" s="7">
        <f t="shared" si="1"/>
        <v>404</v>
      </c>
      <c r="F31" s="8">
        <f t="shared" si="2"/>
        <v>-9.1788221432497608</v>
      </c>
      <c r="G31" s="5">
        <v>33.75</v>
      </c>
      <c r="H31" s="5">
        <v>1.444</v>
      </c>
      <c r="I31" s="5">
        <v>52.81</v>
      </c>
    </row>
    <row r="32" spans="1:9" ht="15.75" customHeight="1">
      <c r="A32" s="5" t="s">
        <v>775</v>
      </c>
      <c r="B32" s="5">
        <v>992</v>
      </c>
      <c r="C32" s="5">
        <v>9654</v>
      </c>
      <c r="D32" s="6">
        <f t="shared" si="0"/>
        <v>429.13695830438843</v>
      </c>
      <c r="E32" s="7">
        <f t="shared" si="1"/>
        <v>419</v>
      </c>
      <c r="F32" s="8">
        <f t="shared" si="2"/>
        <v>-10.136958304388429</v>
      </c>
      <c r="G32" s="5">
        <v>33.5</v>
      </c>
      <c r="H32" s="5">
        <v>0.55600000000000005</v>
      </c>
      <c r="I32" s="5">
        <v>53.38</v>
      </c>
    </row>
    <row r="33" spans="1:9" ht="15.75" customHeight="1">
      <c r="A33" s="5" t="s">
        <v>776</v>
      </c>
      <c r="B33" s="5">
        <v>1036</v>
      </c>
      <c r="C33" s="5">
        <v>9235</v>
      </c>
      <c r="D33" s="6">
        <f t="shared" si="0"/>
        <v>448.17125887434111</v>
      </c>
      <c r="E33" s="7">
        <f t="shared" si="1"/>
        <v>453.64700000000084</v>
      </c>
      <c r="F33" s="8">
        <f t="shared" si="2"/>
        <v>5.4757411256597379</v>
      </c>
      <c r="G33" s="5">
        <v>33.56</v>
      </c>
      <c r="H33" s="5">
        <v>1.111</v>
      </c>
      <c r="I33" s="5">
        <v>53.38</v>
      </c>
    </row>
    <row r="34" spans="1:9" ht="15.75" customHeight="1">
      <c r="A34" s="5" t="s">
        <v>777</v>
      </c>
      <c r="B34" s="5">
        <v>1181</v>
      </c>
      <c r="C34" s="5">
        <v>8781.3529999999992</v>
      </c>
      <c r="D34" s="6">
        <f t="shared" si="0"/>
        <v>512.60532989137891</v>
      </c>
      <c r="E34" s="7">
        <f t="shared" si="1"/>
        <v>268.35299999999916</v>
      </c>
      <c r="F34" s="8">
        <f t="shared" si="2"/>
        <v>-244.25232989137976</v>
      </c>
      <c r="G34" s="5">
        <v>33</v>
      </c>
      <c r="H34" s="5">
        <v>2</v>
      </c>
      <c r="I34" s="5">
        <v>52.52</v>
      </c>
    </row>
    <row r="35" spans="1:9" ht="15.75" customHeight="1">
      <c r="A35" s="5" t="s">
        <v>778</v>
      </c>
      <c r="B35" s="5">
        <v>515</v>
      </c>
      <c r="C35" s="5">
        <v>8513</v>
      </c>
      <c r="D35" s="6">
        <f t="shared" si="0"/>
        <v>223.53238348353941</v>
      </c>
      <c r="E35" s="7">
        <f t="shared" si="1"/>
        <v>262</v>
      </c>
      <c r="F35" s="8">
        <f t="shared" si="2"/>
        <v>38.467616516460595</v>
      </c>
      <c r="G35" s="5">
        <v>32.81</v>
      </c>
      <c r="H35" s="5">
        <v>1.778</v>
      </c>
      <c r="I35" s="5">
        <v>52.52</v>
      </c>
    </row>
    <row r="36" spans="1:9" ht="15.75" customHeight="1">
      <c r="A36" s="5" t="s">
        <v>779</v>
      </c>
      <c r="B36" s="5">
        <v>872</v>
      </c>
      <c r="C36" s="5">
        <v>8251</v>
      </c>
      <c r="D36" s="6">
        <f t="shared" si="0"/>
        <v>377.22522947724457</v>
      </c>
      <c r="E36" s="7">
        <f t="shared" si="1"/>
        <v>353</v>
      </c>
      <c r="F36" s="8">
        <f t="shared" si="2"/>
        <v>-24.225229477244568</v>
      </c>
      <c r="G36" s="5">
        <v>33</v>
      </c>
      <c r="H36" s="5">
        <v>0.55600000000000005</v>
      </c>
      <c r="I36" s="5">
        <v>53.38</v>
      </c>
    </row>
    <row r="37" spans="1:9" ht="15.75" customHeight="1">
      <c r="A37" s="5" t="s">
        <v>780</v>
      </c>
      <c r="B37" s="5">
        <v>704</v>
      </c>
      <c r="C37" s="5">
        <v>7898</v>
      </c>
      <c r="D37" s="6">
        <f t="shared" si="0"/>
        <v>305.90980588465681</v>
      </c>
      <c r="E37" s="7">
        <f t="shared" si="1"/>
        <v>260</v>
      </c>
      <c r="F37" s="8">
        <f t="shared" si="2"/>
        <v>-45.909805884656805</v>
      </c>
      <c r="G37" s="5">
        <v>32.81</v>
      </c>
      <c r="H37" s="5">
        <v>1.222</v>
      </c>
      <c r="I37" s="5">
        <v>52.23</v>
      </c>
    </row>
    <row r="38" spans="1:9" ht="15.75" customHeight="1">
      <c r="A38" s="5" t="s">
        <v>781</v>
      </c>
      <c r="B38" s="5">
        <v>466</v>
      </c>
      <c r="C38" s="5">
        <v>7638</v>
      </c>
      <c r="D38" s="6">
        <f t="shared" si="0"/>
        <v>200.91684009794392</v>
      </c>
      <c r="E38" s="7">
        <f t="shared" si="1"/>
        <v>217</v>
      </c>
      <c r="F38" s="8">
        <f t="shared" si="2"/>
        <v>16.083159902056082</v>
      </c>
      <c r="G38" s="5">
        <v>32.19</v>
      </c>
      <c r="H38" s="5">
        <v>0.55600000000000005</v>
      </c>
      <c r="I38" s="5">
        <v>54.24</v>
      </c>
    </row>
    <row r="39" spans="1:9" ht="15.75" customHeight="1">
      <c r="A39" s="5" t="s">
        <v>782</v>
      </c>
      <c r="B39" s="5">
        <v>473</v>
      </c>
      <c r="C39" s="5">
        <v>7421</v>
      </c>
      <c r="D39" s="6">
        <f t="shared" si="0"/>
        <v>205.5331508287538</v>
      </c>
      <c r="E39" s="7">
        <f t="shared" si="1"/>
        <v>239</v>
      </c>
      <c r="F39" s="8">
        <f t="shared" si="2"/>
        <v>33.466849171246196</v>
      </c>
      <c r="G39" s="5">
        <v>32.630000000000003</v>
      </c>
      <c r="H39" s="5">
        <v>0.55600000000000005</v>
      </c>
      <c r="I39" s="5">
        <v>52.23</v>
      </c>
    </row>
    <row r="40" spans="1:9" ht="15.75" customHeight="1">
      <c r="A40" s="5" t="s">
        <v>783</v>
      </c>
      <c r="B40" s="5">
        <v>471</v>
      </c>
      <c r="C40" s="5">
        <v>7182</v>
      </c>
      <c r="D40" s="6">
        <f t="shared" si="0"/>
        <v>205.11540656995419</v>
      </c>
      <c r="E40" s="7">
        <f t="shared" si="1"/>
        <v>228</v>
      </c>
      <c r="F40" s="8">
        <f t="shared" si="2"/>
        <v>22.884593430045811</v>
      </c>
      <c r="G40" s="5">
        <v>32.25</v>
      </c>
      <c r="H40" s="5">
        <v>0.55600000000000005</v>
      </c>
      <c r="I40" s="5">
        <v>51.66</v>
      </c>
    </row>
    <row r="41" spans="1:9" ht="15.75" customHeight="1">
      <c r="A41" s="5" t="s">
        <v>784</v>
      </c>
      <c r="B41" s="5">
        <v>626</v>
      </c>
      <c r="C41" s="5">
        <v>6954</v>
      </c>
      <c r="D41" s="6">
        <f t="shared" si="0"/>
        <v>272.31104838118347</v>
      </c>
      <c r="E41" s="7">
        <f t="shared" si="1"/>
        <v>351</v>
      </c>
      <c r="F41" s="8">
        <f t="shared" si="2"/>
        <v>78.688951618816532</v>
      </c>
      <c r="G41" s="5">
        <v>31.87</v>
      </c>
      <c r="H41" s="5">
        <v>1.556</v>
      </c>
      <c r="I41" s="5">
        <v>51.95</v>
      </c>
    </row>
    <row r="42" spans="1:9" ht="15.75" customHeight="1">
      <c r="A42" s="5" t="s">
        <v>785</v>
      </c>
      <c r="B42" s="5">
        <v>559</v>
      </c>
      <c r="C42" s="5">
        <v>6603</v>
      </c>
      <c r="D42" s="6">
        <f t="shared" si="0"/>
        <v>243.97409524663919</v>
      </c>
      <c r="E42" s="7">
        <f t="shared" si="1"/>
        <v>237.64699999999993</v>
      </c>
      <c r="F42" s="8">
        <f t="shared" si="2"/>
        <v>-6.32709524663926</v>
      </c>
      <c r="G42" s="5">
        <v>31.69</v>
      </c>
      <c r="H42" s="5">
        <v>0.55600000000000005</v>
      </c>
      <c r="I42" s="5">
        <v>51.09</v>
      </c>
    </row>
    <row r="43" spans="1:9" ht="15.75" customHeight="1">
      <c r="A43" s="5" t="s">
        <v>786</v>
      </c>
      <c r="B43" s="5">
        <v>632</v>
      </c>
      <c r="C43" s="5">
        <v>6365.3530000000001</v>
      </c>
      <c r="D43" s="6">
        <f t="shared" si="0"/>
        <v>275.83475526990327</v>
      </c>
      <c r="E43" s="7">
        <f t="shared" si="1"/>
        <v>331.35300000000007</v>
      </c>
      <c r="F43" s="8">
        <f t="shared" si="2"/>
        <v>55.518244730096797</v>
      </c>
      <c r="G43" s="5">
        <v>31.56</v>
      </c>
      <c r="H43" s="5">
        <v>0.88900000000000001</v>
      </c>
      <c r="I43" s="5">
        <v>51.09</v>
      </c>
    </row>
    <row r="44" spans="1:9" ht="15.75" customHeight="1">
      <c r="A44" s="5" t="s">
        <v>787</v>
      </c>
      <c r="B44" s="5">
        <v>916</v>
      </c>
      <c r="C44" s="5">
        <v>6034</v>
      </c>
      <c r="D44" s="6">
        <f t="shared" si="0"/>
        <v>399.78581618232812</v>
      </c>
      <c r="E44" s="7">
        <f t="shared" si="1"/>
        <v>310</v>
      </c>
      <c r="F44" s="8">
        <f t="shared" si="2"/>
        <v>-89.785816182328119</v>
      </c>
      <c r="G44" s="5">
        <v>31.13</v>
      </c>
      <c r="H44" s="5">
        <v>0.55600000000000005</v>
      </c>
      <c r="I44" s="5">
        <v>51.09</v>
      </c>
    </row>
    <row r="45" spans="1:9" ht="15.75" customHeight="1">
      <c r="A45" s="5" t="s">
        <v>788</v>
      </c>
      <c r="B45" s="5">
        <v>693</v>
      </c>
      <c r="C45" s="5">
        <v>5724</v>
      </c>
      <c r="D45" s="6">
        <f t="shared" si="0"/>
        <v>302.13185110181365</v>
      </c>
      <c r="E45" s="7">
        <f t="shared" si="1"/>
        <v>315.64699999999993</v>
      </c>
      <c r="F45" s="8">
        <f t="shared" si="2"/>
        <v>13.515148898186283</v>
      </c>
      <c r="G45" s="5">
        <v>31.19</v>
      </c>
      <c r="H45" s="5">
        <v>0.88900000000000001</v>
      </c>
      <c r="I45" s="5">
        <v>51.37</v>
      </c>
    </row>
    <row r="46" spans="1:9" ht="15.75" customHeight="1">
      <c r="A46" s="5" t="s">
        <v>789</v>
      </c>
      <c r="B46" s="5">
        <v>610</v>
      </c>
      <c r="C46" s="5">
        <v>5408.3530000000001</v>
      </c>
      <c r="D46" s="6">
        <f t="shared" si="0"/>
        <v>266.23291252316608</v>
      </c>
      <c r="E46" s="7">
        <f t="shared" si="1"/>
        <v>307</v>
      </c>
      <c r="F46" s="8">
        <f t="shared" si="2"/>
        <v>40.767087476833922</v>
      </c>
      <c r="G46" s="5">
        <v>31.31</v>
      </c>
      <c r="H46" s="5">
        <v>1.222</v>
      </c>
      <c r="I46" s="5">
        <v>51.09</v>
      </c>
    </row>
    <row r="47" spans="1:9" ht="15.75" customHeight="1">
      <c r="A47" s="5" t="s">
        <v>790</v>
      </c>
      <c r="B47" s="5">
        <v>609</v>
      </c>
      <c r="C47" s="5">
        <v>5101.3530000000001</v>
      </c>
      <c r="D47" s="6">
        <f t="shared" si="0"/>
        <v>265.21291422739301</v>
      </c>
      <c r="E47" s="7">
        <f t="shared" si="1"/>
        <v>348.35300000000007</v>
      </c>
      <c r="F47" s="8">
        <f t="shared" si="2"/>
        <v>83.140085772607051</v>
      </c>
      <c r="G47" s="5">
        <v>31</v>
      </c>
      <c r="H47" s="5">
        <v>1.333</v>
      </c>
      <c r="I47" s="5">
        <v>51.66</v>
      </c>
    </row>
    <row r="48" spans="1:9" ht="15.75" customHeight="1">
      <c r="A48" s="5" t="s">
        <v>791</v>
      </c>
      <c r="B48" s="5">
        <v>801</v>
      </c>
      <c r="C48" s="5">
        <v>4753</v>
      </c>
      <c r="D48" s="6">
        <f t="shared" si="0"/>
        <v>349.21733439040804</v>
      </c>
      <c r="E48" s="7">
        <f t="shared" si="1"/>
        <v>277</v>
      </c>
      <c r="F48" s="8">
        <f t="shared" si="2"/>
        <v>-72.217334390408041</v>
      </c>
      <c r="G48" s="5">
        <v>30.31</v>
      </c>
      <c r="H48" s="5">
        <v>1.333</v>
      </c>
      <c r="I48" s="5">
        <v>51.37</v>
      </c>
    </row>
    <row r="49" spans="1:9" ht="15.75" customHeight="1">
      <c r="A49" s="5" t="s">
        <v>792</v>
      </c>
      <c r="B49" s="5">
        <v>1012</v>
      </c>
      <c r="C49" s="5">
        <v>4476</v>
      </c>
      <c r="D49" s="6">
        <f t="shared" si="0"/>
        <v>441.20841748201366</v>
      </c>
      <c r="E49" s="7">
        <f t="shared" si="1"/>
        <v>425</v>
      </c>
      <c r="F49" s="8">
        <f t="shared" si="2"/>
        <v>-16.208417482013658</v>
      </c>
      <c r="G49" s="5">
        <v>30.63</v>
      </c>
      <c r="H49" s="5">
        <v>0.55600000000000005</v>
      </c>
      <c r="I49" s="5">
        <v>51.37</v>
      </c>
    </row>
    <row r="50" spans="1:9" ht="15.75" customHeight="1">
      <c r="A50" s="5" t="s">
        <v>793</v>
      </c>
      <c r="B50" s="5">
        <v>1048</v>
      </c>
      <c r="C50" s="5">
        <v>4051</v>
      </c>
      <c r="D50" s="6">
        <f t="shared" si="0"/>
        <v>456.39266684779619</v>
      </c>
      <c r="E50" s="7">
        <f t="shared" si="1"/>
        <v>429</v>
      </c>
      <c r="F50" s="8">
        <f t="shared" si="2"/>
        <v>-27.392666847796193</v>
      </c>
      <c r="G50" s="5">
        <v>29.5</v>
      </c>
      <c r="H50" s="5">
        <v>0.55600000000000005</v>
      </c>
      <c r="I50" s="5">
        <v>51.66</v>
      </c>
    </row>
    <row r="51" spans="1:9" ht="15.75" customHeight="1">
      <c r="A51" s="5" t="s">
        <v>794</v>
      </c>
      <c r="B51" s="5">
        <v>959</v>
      </c>
      <c r="C51" s="5">
        <v>3622</v>
      </c>
      <c r="D51" s="6">
        <f t="shared" si="0"/>
        <v>418.10165253483308</v>
      </c>
      <c r="E51" s="7">
        <f t="shared" si="1"/>
        <v>305</v>
      </c>
      <c r="F51" s="8">
        <f t="shared" si="2"/>
        <v>-113.10165253483308</v>
      </c>
      <c r="G51" s="5">
        <v>29.5</v>
      </c>
      <c r="H51" s="5">
        <v>1.556</v>
      </c>
      <c r="I51" s="5">
        <v>51.37</v>
      </c>
    </row>
    <row r="52" spans="1:9" ht="15.75" customHeight="1">
      <c r="A52" s="5" t="s">
        <v>795</v>
      </c>
      <c r="B52" s="5">
        <v>447</v>
      </c>
      <c r="C52" s="5">
        <v>3317</v>
      </c>
      <c r="D52" s="6">
        <f t="shared" si="0"/>
        <v>195.09198671779549</v>
      </c>
      <c r="E52" s="7">
        <f t="shared" si="1"/>
        <v>273</v>
      </c>
      <c r="F52" s="8">
        <f t="shared" si="2"/>
        <v>77.908013282204507</v>
      </c>
      <c r="G52" s="5">
        <v>28.56</v>
      </c>
      <c r="H52" s="5">
        <v>1.889</v>
      </c>
      <c r="I52" s="5">
        <v>51.09</v>
      </c>
    </row>
    <row r="53" spans="1:9" ht="15.75" customHeight="1">
      <c r="A53" s="5" t="s">
        <v>796</v>
      </c>
      <c r="B53" s="5">
        <v>496</v>
      </c>
      <c r="C53" s="5">
        <v>3044</v>
      </c>
      <c r="D53" s="6">
        <f t="shared" si="0"/>
        <v>216.71971475096436</v>
      </c>
      <c r="E53" s="7">
        <f t="shared" si="1"/>
        <v>258</v>
      </c>
      <c r="F53" s="8">
        <f t="shared" si="2"/>
        <v>41.280285249035643</v>
      </c>
      <c r="G53" s="5">
        <v>28.19</v>
      </c>
      <c r="H53" s="5">
        <v>0.88900000000000001</v>
      </c>
      <c r="I53" s="5">
        <v>50.8</v>
      </c>
    </row>
    <row r="54" spans="1:9" ht="15.75" customHeight="1">
      <c r="A54" s="5" t="s">
        <v>797</v>
      </c>
      <c r="B54" s="5">
        <v>306</v>
      </c>
      <c r="C54" s="5">
        <v>2786</v>
      </c>
      <c r="D54" s="6">
        <f t="shared" si="0"/>
        <v>133.85126050936654</v>
      </c>
      <c r="E54" s="7">
        <f t="shared" si="1"/>
        <v>141</v>
      </c>
      <c r="F54" s="8">
        <f t="shared" si="2"/>
        <v>7.14873949063346</v>
      </c>
      <c r="G54" s="5">
        <v>28.19</v>
      </c>
      <c r="H54" s="5">
        <v>0.55600000000000005</v>
      </c>
      <c r="I54" s="5">
        <v>50.51</v>
      </c>
    </row>
    <row r="55" spans="1:9" ht="15.75" customHeight="1">
      <c r="A55" s="5" t="s">
        <v>798</v>
      </c>
      <c r="B55" s="5">
        <v>295</v>
      </c>
      <c r="C55" s="5">
        <v>2645</v>
      </c>
      <c r="D55" s="6">
        <f t="shared" si="0"/>
        <v>129.17847052614104</v>
      </c>
      <c r="E55" s="7">
        <f t="shared" si="1"/>
        <v>137.64699999999993</v>
      </c>
      <c r="F55" s="8">
        <f t="shared" si="2"/>
        <v>8.4685294738588937</v>
      </c>
      <c r="G55" s="5">
        <v>28.56</v>
      </c>
      <c r="H55" s="5">
        <v>2.778</v>
      </c>
      <c r="I55" s="5">
        <v>50.23</v>
      </c>
    </row>
    <row r="56" spans="1:9" ht="15.75" customHeight="1">
      <c r="A56" s="5" t="s">
        <v>799</v>
      </c>
      <c r="B56" s="5">
        <v>305</v>
      </c>
      <c r="C56" s="5">
        <v>2507.3530000000001</v>
      </c>
      <c r="D56" s="6">
        <f t="shared" si="0"/>
        <v>133.41383808940128</v>
      </c>
      <c r="E56" s="7">
        <f t="shared" si="1"/>
        <v>151.35300000000007</v>
      </c>
      <c r="F56" s="8">
        <f t="shared" si="2"/>
        <v>17.939161910598784</v>
      </c>
      <c r="G56" s="5">
        <v>27.94</v>
      </c>
      <c r="H56" s="5">
        <v>2.222</v>
      </c>
      <c r="I56" s="5">
        <v>50.51</v>
      </c>
    </row>
    <row r="57" spans="1:9" ht="15.75" customHeight="1">
      <c r="A57" s="5" t="s">
        <v>800</v>
      </c>
      <c r="B57" s="5">
        <v>318</v>
      </c>
      <c r="C57" s="5">
        <v>2356</v>
      </c>
      <c r="D57" s="6">
        <f t="shared" si="0"/>
        <v>139.25001229597578</v>
      </c>
      <c r="E57" s="7">
        <f t="shared" si="1"/>
        <v>189.64699999999993</v>
      </c>
      <c r="F57" s="8">
        <f t="shared" si="2"/>
        <v>50.396987704024156</v>
      </c>
      <c r="G57" s="5">
        <v>28.56</v>
      </c>
      <c r="H57" s="5">
        <v>2</v>
      </c>
      <c r="I57" s="5">
        <v>50.23</v>
      </c>
    </row>
    <row r="58" spans="1:9" ht="15.75" customHeight="1">
      <c r="A58" s="5" t="s">
        <v>801</v>
      </c>
      <c r="B58" s="5">
        <v>633</v>
      </c>
      <c r="C58" s="5">
        <v>2166.3530000000001</v>
      </c>
      <c r="D58" s="6">
        <f t="shared" si="0"/>
        <v>276.57979725274271</v>
      </c>
      <c r="E58" s="7">
        <f t="shared" si="1"/>
        <v>250.35300000000007</v>
      </c>
      <c r="F58" s="8">
        <f t="shared" si="2"/>
        <v>-26.226797252742642</v>
      </c>
      <c r="G58" s="5">
        <v>28.06</v>
      </c>
      <c r="H58" s="5">
        <v>2.3330000000000002</v>
      </c>
      <c r="I58" s="5">
        <v>50.8</v>
      </c>
    </row>
    <row r="59" spans="1:9" ht="15.75" customHeight="1">
      <c r="A59" s="5" t="s">
        <v>802</v>
      </c>
      <c r="B59" s="5">
        <v>686</v>
      </c>
      <c r="C59" s="5">
        <v>1916</v>
      </c>
      <c r="D59" s="6">
        <f t="shared" si="0"/>
        <v>299.73734741766447</v>
      </c>
      <c r="E59" s="7">
        <f t="shared" si="1"/>
        <v>239.64699999999993</v>
      </c>
      <c r="F59" s="8">
        <f t="shared" si="2"/>
        <v>-60.090347417664532</v>
      </c>
      <c r="G59" s="5">
        <v>27.69</v>
      </c>
      <c r="H59" s="5">
        <v>4.2220000000000004</v>
      </c>
      <c r="I59" s="5">
        <v>50.8</v>
      </c>
    </row>
    <row r="60" spans="1:9" ht="15.75" customHeight="1">
      <c r="A60" s="5" t="s">
        <v>803</v>
      </c>
      <c r="B60" s="5">
        <v>715</v>
      </c>
      <c r="C60" s="5">
        <v>1676.3530000000001</v>
      </c>
      <c r="D60" s="6">
        <f t="shared" si="0"/>
        <v>312.40845977205544</v>
      </c>
      <c r="E60" s="7">
        <f t="shared" si="1"/>
        <v>232.35300000000007</v>
      </c>
      <c r="F60" s="8">
        <f t="shared" si="2"/>
        <v>-80.055459772055372</v>
      </c>
      <c r="G60" s="5">
        <v>27.56</v>
      </c>
      <c r="H60" s="5">
        <v>3.3330000000000002</v>
      </c>
      <c r="I60" s="5">
        <v>50.8</v>
      </c>
    </row>
    <row r="61" spans="1:9" ht="15.75" customHeight="1">
      <c r="A61" s="5" t="s">
        <v>804</v>
      </c>
      <c r="B61" s="5">
        <v>678</v>
      </c>
      <c r="C61" s="5">
        <v>1444</v>
      </c>
      <c r="D61" s="6">
        <f t="shared" si="0"/>
        <v>296.24186814748759</v>
      </c>
      <c r="E61" s="7">
        <f t="shared" si="1"/>
        <v>213</v>
      </c>
      <c r="F61" s="8">
        <f t="shared" si="2"/>
        <v>-83.241868147487594</v>
      </c>
      <c r="G61" s="5">
        <v>27.88</v>
      </c>
      <c r="H61" s="5">
        <v>2.222</v>
      </c>
      <c r="I61" s="5">
        <v>50.8</v>
      </c>
    </row>
    <row r="62" spans="1:9" ht="15.75" customHeight="1">
      <c r="A62" s="5" t="s">
        <v>805</v>
      </c>
      <c r="B62" s="5">
        <v>416</v>
      </c>
      <c r="C62" s="5">
        <v>1231</v>
      </c>
      <c r="D62" s="6">
        <f t="shared" si="0"/>
        <v>182.56914741057659</v>
      </c>
      <c r="E62" s="7">
        <f t="shared" si="1"/>
        <v>141</v>
      </c>
      <c r="F62" s="8">
        <f t="shared" si="2"/>
        <v>-41.569147410576591</v>
      </c>
      <c r="G62" s="5">
        <v>27.63</v>
      </c>
      <c r="H62" s="5">
        <v>1.889</v>
      </c>
      <c r="I62" s="5">
        <v>49.65</v>
      </c>
    </row>
    <row r="63" spans="1:9" ht="15.75" customHeight="1">
      <c r="A63" s="5" t="s">
        <v>806</v>
      </c>
      <c r="B63" s="5">
        <v>316</v>
      </c>
      <c r="C63" s="5">
        <v>1090</v>
      </c>
      <c r="D63" s="6">
        <f t="shared" si="0"/>
        <v>138.52827959215426</v>
      </c>
      <c r="E63" s="7">
        <f t="shared" si="1"/>
        <v>185</v>
      </c>
      <c r="F63" s="8">
        <f t="shared" si="2"/>
        <v>46.471720407845737</v>
      </c>
      <c r="G63" s="5">
        <v>27.56</v>
      </c>
      <c r="H63" s="5">
        <v>2.556</v>
      </c>
      <c r="I63" s="5">
        <v>49.94</v>
      </c>
    </row>
    <row r="64" spans="1:9" ht="15.75" customHeight="1">
      <c r="A64" s="5" t="s">
        <v>807</v>
      </c>
      <c r="B64" s="5">
        <v>453</v>
      </c>
      <c r="C64" s="5">
        <v>905</v>
      </c>
      <c r="D64" s="6">
        <f t="shared" si="0"/>
        <v>200.11709359555448</v>
      </c>
      <c r="E64" s="7">
        <f t="shared" si="1"/>
        <v>124</v>
      </c>
      <c r="F64" s="8">
        <f t="shared" si="2"/>
        <v>-76.117093595554479</v>
      </c>
      <c r="G64" s="5">
        <v>27</v>
      </c>
      <c r="H64" s="5">
        <v>2.222</v>
      </c>
      <c r="I64" s="5">
        <v>47.93</v>
      </c>
    </row>
    <row r="65" spans="1:26" ht="15.75" customHeight="1">
      <c r="A65" s="5" t="s">
        <v>808</v>
      </c>
      <c r="B65" s="5">
        <v>329</v>
      </c>
      <c r="C65" s="5">
        <v>781</v>
      </c>
      <c r="D65" s="6">
        <f t="shared" si="0"/>
        <v>144.7028706204251</v>
      </c>
      <c r="E65" s="7">
        <f t="shared" si="1"/>
        <v>186</v>
      </c>
      <c r="F65" s="8">
        <f t="shared" si="2"/>
        <v>41.297129379574898</v>
      </c>
      <c r="G65" s="5">
        <v>27.19</v>
      </c>
      <c r="H65" s="5">
        <v>3.444</v>
      </c>
      <c r="I65" s="5">
        <v>49.08</v>
      </c>
    </row>
    <row r="66" spans="1:26" ht="15.75" customHeight="1">
      <c r="A66" s="5" t="s">
        <v>809</v>
      </c>
      <c r="B66" s="5">
        <v>398</v>
      </c>
      <c r="C66" s="5">
        <v>595</v>
      </c>
      <c r="D66" s="6">
        <f t="shared" si="0"/>
        <v>177.9345682184551</v>
      </c>
      <c r="E66" s="7">
        <f t="shared" si="1"/>
        <v>150</v>
      </c>
      <c r="F66" s="8">
        <f t="shared" si="2"/>
        <v>-27.934568218455098</v>
      </c>
      <c r="G66" s="5">
        <v>27</v>
      </c>
      <c r="H66" s="5">
        <v>0.66700000000000004</v>
      </c>
      <c r="I66" s="5">
        <v>44.77</v>
      </c>
    </row>
    <row r="67" spans="1:26" ht="15.75" customHeight="1">
      <c r="A67" s="5" t="s">
        <v>810</v>
      </c>
      <c r="B67" s="5">
        <v>306</v>
      </c>
      <c r="C67" s="5">
        <v>445</v>
      </c>
      <c r="D67" s="6">
        <f t="shared" si="0"/>
        <v>138.13113808471422</v>
      </c>
      <c r="E67" s="7">
        <f t="shared" si="1"/>
        <v>121</v>
      </c>
      <c r="F67" s="8">
        <f t="shared" si="2"/>
        <v>-17.131138084714223</v>
      </c>
      <c r="G67" s="5">
        <v>26.56</v>
      </c>
      <c r="H67" s="5">
        <v>2.8889999999999998</v>
      </c>
      <c r="I67" s="5">
        <v>42.19</v>
      </c>
    </row>
    <row r="68" spans="1:26" ht="15.75" customHeight="1">
      <c r="A68" s="5" t="s">
        <v>811</v>
      </c>
      <c r="B68" s="5">
        <v>255</v>
      </c>
      <c r="C68" s="5">
        <v>324</v>
      </c>
      <c r="D68" s="6">
        <f t="shared" si="0"/>
        <v>116.7082343971223</v>
      </c>
      <c r="E68" s="7">
        <f t="shared" si="1"/>
        <v>99.646999999999991</v>
      </c>
      <c r="F68" s="8">
        <f t="shared" si="2"/>
        <v>-17.061234397122305</v>
      </c>
      <c r="G68" s="5">
        <v>26</v>
      </c>
      <c r="H68" s="5">
        <v>0.55600000000000005</v>
      </c>
      <c r="I68" s="5">
        <v>38.46</v>
      </c>
    </row>
    <row r="69" spans="1:26" ht="15.75" customHeight="1">
      <c r="A69" s="5" t="s">
        <v>812</v>
      </c>
      <c r="B69" s="5">
        <v>218</v>
      </c>
      <c r="C69" s="5">
        <v>224.35300000000001</v>
      </c>
      <c r="D69" s="6">
        <f t="shared" si="0"/>
        <v>103.03571641522083</v>
      </c>
      <c r="E69" s="7">
        <f t="shared" si="1"/>
        <v>81</v>
      </c>
      <c r="F69" s="8">
        <f t="shared" si="2"/>
        <v>-22.035716415220833</v>
      </c>
      <c r="G69" s="5">
        <v>25.31</v>
      </c>
      <c r="H69" s="5">
        <v>0.55600000000000005</v>
      </c>
      <c r="I69" s="5">
        <v>29.56</v>
      </c>
    </row>
    <row r="70" spans="1:26" ht="15.75" customHeight="1">
      <c r="A70" s="5" t="s">
        <v>813</v>
      </c>
      <c r="B70" s="5">
        <v>176</v>
      </c>
      <c r="C70" s="5">
        <v>143.35300000000001</v>
      </c>
      <c r="D70" s="6">
        <f t="shared" si="0"/>
        <v>83.525047765109633</v>
      </c>
      <c r="E70" s="7">
        <f t="shared" si="1"/>
        <v>60.353000000000009</v>
      </c>
      <c r="F70" s="8">
        <f t="shared" si="2"/>
        <v>-23.172047765109625</v>
      </c>
      <c r="G70" s="5">
        <v>24.56</v>
      </c>
      <c r="H70" s="5">
        <v>1</v>
      </c>
      <c r="I70" s="5">
        <v>28.41</v>
      </c>
    </row>
    <row r="71" spans="1:26" ht="15.75" customHeight="1">
      <c r="A71" s="5" t="s">
        <v>814</v>
      </c>
      <c r="B71" s="5">
        <v>130</v>
      </c>
      <c r="C71" s="5">
        <v>83</v>
      </c>
      <c r="D71" s="6">
        <f t="shared" si="0"/>
        <v>62.321845919850951</v>
      </c>
      <c r="E71" s="7">
        <f t="shared" si="1"/>
        <v>39</v>
      </c>
      <c r="F71" s="8">
        <f t="shared" si="2"/>
        <v>-23.321845919850951</v>
      </c>
      <c r="G71" s="5">
        <v>24.06</v>
      </c>
      <c r="H71" s="5">
        <v>0.55600000000000005</v>
      </c>
      <c r="I71" s="5">
        <v>25.54</v>
      </c>
    </row>
    <row r="72" spans="1:26" ht="15.75" customHeight="1">
      <c r="A72" s="5" t="s">
        <v>815</v>
      </c>
      <c r="B72" s="5">
        <v>80</v>
      </c>
      <c r="C72" s="5">
        <v>44</v>
      </c>
      <c r="D72" s="6">
        <f t="shared" si="0"/>
        <v>38.622221732680039</v>
      </c>
      <c r="E72" s="7">
        <f t="shared" si="1"/>
        <v>22</v>
      </c>
      <c r="F72" s="8">
        <f t="shared" si="2"/>
        <v>-16.622221732680039</v>
      </c>
      <c r="G72" s="5">
        <v>23.94</v>
      </c>
      <c r="H72" s="5">
        <v>0.55600000000000005</v>
      </c>
      <c r="I72" s="5">
        <v>23.53</v>
      </c>
    </row>
    <row r="73" spans="1:26" ht="15.75" customHeight="1">
      <c r="A73" s="5" t="s">
        <v>816</v>
      </c>
      <c r="B73" s="5">
        <v>32</v>
      </c>
      <c r="C73" s="5">
        <v>22</v>
      </c>
      <c r="D73" s="6">
        <f t="shared" si="0"/>
        <v>15.510214239023457</v>
      </c>
      <c r="E73" s="7">
        <f t="shared" si="1"/>
        <v>14</v>
      </c>
      <c r="F73" s="8">
        <f t="shared" si="2"/>
        <v>-1.5102142390234565</v>
      </c>
      <c r="G73" s="5">
        <v>24.25</v>
      </c>
      <c r="H73" s="5">
        <v>1.333</v>
      </c>
      <c r="I73" s="5">
        <v>22.39</v>
      </c>
    </row>
    <row r="74" spans="1:26" ht="15.75" customHeight="1">
      <c r="A74" s="5" t="s">
        <v>817</v>
      </c>
      <c r="B74" s="5">
        <v>22</v>
      </c>
      <c r="C74" s="5">
        <v>8</v>
      </c>
      <c r="D74" s="6">
        <f t="shared" si="0"/>
        <v>10.663272289328624</v>
      </c>
      <c r="E74" s="7">
        <f t="shared" si="1"/>
        <v>8</v>
      </c>
      <c r="F74" s="8">
        <f t="shared" si="2"/>
        <v>-2.6632722893286243</v>
      </c>
      <c r="G74" s="5">
        <v>24.5</v>
      </c>
      <c r="H74" s="5">
        <v>1.778</v>
      </c>
      <c r="I74" s="5">
        <v>22.39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6.0881666666666669</v>
      </c>
      <c r="C76" s="11"/>
      <c r="D76" s="16">
        <f>SUM(D2:D75)</f>
        <v>15950.210540375077</v>
      </c>
      <c r="E76" s="15">
        <f>SUM(E1:E74)</f>
        <v>15637</v>
      </c>
      <c r="F76" s="11"/>
      <c r="G76" s="17">
        <f t="shared" ref="G76:I76" si="3">AVERAGE(G1:G74)</f>
        <v>30.904657534246574</v>
      </c>
      <c r="H76" s="17">
        <f t="shared" si="3"/>
        <v>1.9437671232876705</v>
      </c>
      <c r="I76" s="17">
        <f t="shared" si="3"/>
        <v>48.141917808219198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818</v>
      </c>
      <c r="B2" s="5">
        <v>0</v>
      </c>
      <c r="C2" s="5">
        <v>17852.349999999999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24.56</v>
      </c>
      <c r="H2" s="5">
        <v>1.111</v>
      </c>
      <c r="I2" s="5">
        <v>43.05</v>
      </c>
    </row>
    <row r="3" spans="1:26" ht="15.75" customHeight="1">
      <c r="A3" s="5" t="s">
        <v>819</v>
      </c>
      <c r="B3" s="5">
        <v>7</v>
      </c>
      <c r="C3" s="5">
        <v>17852.349999999999</v>
      </c>
      <c r="D3" s="6">
        <f t="shared" si="0"/>
        <v>3.1396225160439331</v>
      </c>
      <c r="E3" s="7">
        <f t="shared" si="1"/>
        <v>0</v>
      </c>
      <c r="F3" s="8">
        <f t="shared" si="2"/>
        <v>-3.1396225160439331</v>
      </c>
      <c r="G3" s="5">
        <v>23.81</v>
      </c>
      <c r="H3" s="5">
        <v>0.55600000000000005</v>
      </c>
      <c r="I3" s="5">
        <v>43.91</v>
      </c>
    </row>
    <row r="4" spans="1:26" ht="15.75" customHeight="1">
      <c r="A4" s="5" t="s">
        <v>820</v>
      </c>
      <c r="B4" s="5">
        <v>10</v>
      </c>
      <c r="C4" s="5">
        <v>17852.349999999999</v>
      </c>
      <c r="D4" s="6">
        <f t="shared" si="0"/>
        <v>4.4707177944335461</v>
      </c>
      <c r="E4" s="7">
        <f t="shared" si="1"/>
        <v>0</v>
      </c>
      <c r="F4" s="8">
        <f t="shared" si="2"/>
        <v>-4.4707177944335461</v>
      </c>
      <c r="G4" s="5">
        <v>23.5</v>
      </c>
      <c r="H4" s="5">
        <v>0.88900000000000001</v>
      </c>
      <c r="I4" s="5">
        <v>44.77</v>
      </c>
    </row>
    <row r="5" spans="1:26" ht="15.75" customHeight="1">
      <c r="A5" s="5" t="s">
        <v>821</v>
      </c>
      <c r="B5" s="5">
        <v>12</v>
      </c>
      <c r="C5" s="5">
        <v>17852.349999999999</v>
      </c>
      <c r="D5" s="6">
        <f t="shared" si="0"/>
        <v>5.3531610846847837</v>
      </c>
      <c r="E5" s="7">
        <f t="shared" si="1"/>
        <v>0</v>
      </c>
      <c r="F5" s="8">
        <f t="shared" si="2"/>
        <v>-5.3531610846847837</v>
      </c>
      <c r="G5" s="5">
        <v>23.25</v>
      </c>
      <c r="H5" s="5">
        <v>1.444</v>
      </c>
      <c r="I5" s="5">
        <v>45.35</v>
      </c>
    </row>
    <row r="6" spans="1:26" ht="15.75" customHeight="1">
      <c r="A6" s="5" t="s">
        <v>822</v>
      </c>
      <c r="B6" s="5">
        <v>27</v>
      </c>
      <c r="C6" s="5">
        <v>17852.349999999999</v>
      </c>
      <c r="D6" s="6">
        <f t="shared" si="0"/>
        <v>11.979706208929333</v>
      </c>
      <c r="E6" s="7">
        <f t="shared" si="1"/>
        <v>0</v>
      </c>
      <c r="F6" s="8">
        <f t="shared" si="2"/>
        <v>-11.979706208929333</v>
      </c>
      <c r="G6" s="5">
        <v>22.5</v>
      </c>
      <c r="H6" s="5">
        <v>3</v>
      </c>
      <c r="I6" s="5">
        <v>46.78</v>
      </c>
    </row>
    <row r="7" spans="1:26" ht="15.75" customHeight="1">
      <c r="A7" s="5" t="s">
        <v>823</v>
      </c>
      <c r="B7" s="5">
        <v>51</v>
      </c>
      <c r="C7" s="5">
        <v>17852.349999999999</v>
      </c>
      <c r="D7" s="6">
        <f t="shared" si="0"/>
        <v>22.504875943218668</v>
      </c>
      <c r="E7" s="7">
        <f t="shared" si="1"/>
        <v>0</v>
      </c>
      <c r="F7" s="8">
        <f t="shared" si="2"/>
        <v>-22.504875943218668</v>
      </c>
      <c r="G7" s="5">
        <v>21.88</v>
      </c>
      <c r="H7" s="5">
        <v>3.222</v>
      </c>
      <c r="I7" s="5">
        <v>48.22</v>
      </c>
    </row>
    <row r="8" spans="1:26" ht="15.75" customHeight="1">
      <c r="A8" s="5" t="s">
        <v>824</v>
      </c>
      <c r="B8" s="5">
        <v>60</v>
      </c>
      <c r="C8" s="5">
        <v>17852.349999999999</v>
      </c>
      <c r="D8" s="6">
        <f t="shared" si="0"/>
        <v>26.448082611339988</v>
      </c>
      <c r="E8" s="7">
        <f t="shared" si="1"/>
        <v>30.349999999998545</v>
      </c>
      <c r="F8" s="8">
        <f t="shared" si="2"/>
        <v>3.901917388658557</v>
      </c>
      <c r="G8" s="5">
        <v>20.309999999999999</v>
      </c>
      <c r="H8" s="5">
        <v>1.333</v>
      </c>
      <c r="I8" s="5">
        <v>48.5</v>
      </c>
    </row>
    <row r="9" spans="1:26" ht="15.75" customHeight="1">
      <c r="A9" s="5" t="s">
        <v>825</v>
      </c>
      <c r="B9" s="5">
        <v>81</v>
      </c>
      <c r="C9" s="5">
        <v>17822</v>
      </c>
      <c r="D9" s="6">
        <f t="shared" si="0"/>
        <v>35.704911525308987</v>
      </c>
      <c r="E9" s="7">
        <f t="shared" si="1"/>
        <v>41</v>
      </c>
      <c r="F9" s="8">
        <f t="shared" si="2"/>
        <v>5.2950884746910134</v>
      </c>
      <c r="G9" s="5">
        <v>19.190000000000001</v>
      </c>
      <c r="H9" s="5">
        <v>2.556</v>
      </c>
      <c r="I9" s="5">
        <v>48.5</v>
      </c>
    </row>
    <row r="10" spans="1:26" ht="15.75" customHeight="1">
      <c r="A10" s="5" t="s">
        <v>826</v>
      </c>
      <c r="B10" s="5">
        <v>83</v>
      </c>
      <c r="C10" s="5">
        <v>17781</v>
      </c>
      <c r="D10" s="6">
        <f t="shared" si="0"/>
        <v>36.586514279020321</v>
      </c>
      <c r="E10" s="7">
        <f t="shared" si="1"/>
        <v>36</v>
      </c>
      <c r="F10" s="8">
        <f t="shared" si="2"/>
        <v>-0.58651427902032083</v>
      </c>
      <c r="G10" s="5">
        <v>32.56</v>
      </c>
      <c r="H10" s="5">
        <v>2.222</v>
      </c>
      <c r="I10" s="5">
        <v>48.5</v>
      </c>
    </row>
    <row r="11" spans="1:26" ht="15.75" customHeight="1">
      <c r="A11" s="5" t="s">
        <v>827</v>
      </c>
      <c r="B11" s="5">
        <v>77</v>
      </c>
      <c r="C11" s="5">
        <v>17745</v>
      </c>
      <c r="D11" s="6">
        <f t="shared" si="0"/>
        <v>33.904167656014181</v>
      </c>
      <c r="E11" s="7">
        <f t="shared" si="1"/>
        <v>35.650000000001455</v>
      </c>
      <c r="F11" s="8">
        <f t="shared" si="2"/>
        <v>1.7458323439872743</v>
      </c>
      <c r="G11" s="5">
        <v>32.380000000000003</v>
      </c>
      <c r="H11" s="5">
        <v>1.889</v>
      </c>
      <c r="I11" s="5">
        <v>48.79</v>
      </c>
    </row>
    <row r="12" spans="1:26" ht="15.75" customHeight="1">
      <c r="A12" s="5" t="s">
        <v>828</v>
      </c>
      <c r="B12" s="5">
        <v>73</v>
      </c>
      <c r="C12" s="5">
        <v>17709.349999999999</v>
      </c>
      <c r="D12" s="6">
        <f t="shared" si="0"/>
        <v>32.142912193364097</v>
      </c>
      <c r="E12" s="7">
        <f t="shared" si="1"/>
        <v>40</v>
      </c>
      <c r="F12" s="8">
        <f t="shared" si="2"/>
        <v>7.8570878066359029</v>
      </c>
      <c r="G12" s="5">
        <v>32.69</v>
      </c>
      <c r="H12" s="5">
        <v>2.222</v>
      </c>
      <c r="I12" s="5">
        <v>48.79</v>
      </c>
    </row>
    <row r="13" spans="1:26" ht="15.75" customHeight="1">
      <c r="A13" s="5" t="s">
        <v>829</v>
      </c>
      <c r="B13" s="5">
        <v>109</v>
      </c>
      <c r="C13" s="5">
        <v>17669.349999999999</v>
      </c>
      <c r="D13" s="6">
        <f t="shared" si="0"/>
        <v>47.99421135721488</v>
      </c>
      <c r="E13" s="7">
        <f t="shared" si="1"/>
        <v>67</v>
      </c>
      <c r="F13" s="8">
        <f t="shared" si="2"/>
        <v>19.00578864278512</v>
      </c>
      <c r="G13" s="5">
        <v>33</v>
      </c>
      <c r="H13" s="5">
        <v>2.8889999999999998</v>
      </c>
      <c r="I13" s="5">
        <v>48.79</v>
      </c>
    </row>
    <row r="14" spans="1:26" ht="15.75" customHeight="1">
      <c r="A14" s="5" t="s">
        <v>830</v>
      </c>
      <c r="B14" s="5">
        <v>198</v>
      </c>
      <c r="C14" s="5">
        <v>17602.349999999999</v>
      </c>
      <c r="D14" s="6">
        <f t="shared" si="0"/>
        <v>87.182145401179326</v>
      </c>
      <c r="E14" s="7">
        <f t="shared" si="1"/>
        <v>123</v>
      </c>
      <c r="F14" s="8">
        <f t="shared" si="2"/>
        <v>35.817854598820674</v>
      </c>
      <c r="G14" s="5">
        <v>33.380000000000003</v>
      </c>
      <c r="H14" s="5">
        <v>3</v>
      </c>
      <c r="I14" s="5">
        <v>48.79</v>
      </c>
    </row>
    <row r="15" spans="1:26" ht="15.75" customHeight="1">
      <c r="A15" s="5" t="s">
        <v>831</v>
      </c>
      <c r="B15" s="5">
        <v>383</v>
      </c>
      <c r="C15" s="5">
        <v>17479.349999999999</v>
      </c>
      <c r="D15" s="6">
        <f t="shared" si="0"/>
        <v>168.27321548469274</v>
      </c>
      <c r="E15" s="7">
        <f t="shared" si="1"/>
        <v>180</v>
      </c>
      <c r="F15" s="8">
        <f t="shared" si="2"/>
        <v>11.726784515307259</v>
      </c>
      <c r="G15" s="5">
        <v>33.880000000000003</v>
      </c>
      <c r="H15" s="5">
        <v>1.444</v>
      </c>
      <c r="I15" s="5">
        <v>49.36</v>
      </c>
    </row>
    <row r="16" spans="1:26" ht="15.75" customHeight="1">
      <c r="A16" s="5" t="s">
        <v>832</v>
      </c>
      <c r="B16" s="5">
        <v>275</v>
      </c>
      <c r="C16" s="5">
        <v>17299.349999999999</v>
      </c>
      <c r="D16" s="6">
        <f t="shared" si="0"/>
        <v>120.95224747907876</v>
      </c>
      <c r="E16" s="7">
        <f t="shared" si="1"/>
        <v>139</v>
      </c>
      <c r="F16" s="8">
        <f t="shared" si="2"/>
        <v>18.047752520921236</v>
      </c>
      <c r="G16" s="5">
        <v>33.69</v>
      </c>
      <c r="H16" s="5">
        <v>3.222</v>
      </c>
      <c r="I16" s="5">
        <v>49.08</v>
      </c>
    </row>
    <row r="17" spans="1:9" ht="15.75" customHeight="1">
      <c r="A17" s="5" t="s">
        <v>833</v>
      </c>
      <c r="B17" s="5">
        <v>442</v>
      </c>
      <c r="C17" s="5">
        <v>17160.349999999999</v>
      </c>
      <c r="D17" s="6">
        <f t="shared" si="0"/>
        <v>194.19519907110754</v>
      </c>
      <c r="E17" s="7">
        <f t="shared" si="1"/>
        <v>200.34999999999854</v>
      </c>
      <c r="F17" s="8">
        <f t="shared" si="2"/>
        <v>6.1548009288910066</v>
      </c>
      <c r="G17" s="5">
        <v>33.69</v>
      </c>
      <c r="H17" s="5">
        <v>2.778</v>
      </c>
      <c r="I17" s="5">
        <v>49.36</v>
      </c>
    </row>
    <row r="18" spans="1:9" ht="15.75" customHeight="1">
      <c r="A18" s="5" t="s">
        <v>834</v>
      </c>
      <c r="B18" s="5">
        <v>447</v>
      </c>
      <c r="C18" s="5">
        <v>16960</v>
      </c>
      <c r="D18" s="6">
        <f t="shared" si="0"/>
        <v>196.39197734114273</v>
      </c>
      <c r="E18" s="7">
        <f t="shared" si="1"/>
        <v>222.65000000000146</v>
      </c>
      <c r="F18" s="8">
        <f t="shared" si="2"/>
        <v>26.258022658858721</v>
      </c>
      <c r="G18" s="5">
        <v>33.94</v>
      </c>
      <c r="H18" s="5">
        <v>3.6669999999999998</v>
      </c>
      <c r="I18" s="5">
        <v>49.36</v>
      </c>
    </row>
    <row r="19" spans="1:9" ht="15.75" customHeight="1">
      <c r="A19" s="5" t="s">
        <v>835</v>
      </c>
      <c r="B19" s="5">
        <v>325</v>
      </c>
      <c r="C19" s="5">
        <v>16737.349999999999</v>
      </c>
      <c r="D19" s="6">
        <f t="shared" si="0"/>
        <v>142.63214641451299</v>
      </c>
      <c r="E19" s="7">
        <f t="shared" si="1"/>
        <v>206.34999999999854</v>
      </c>
      <c r="F19" s="8">
        <f t="shared" si="2"/>
        <v>63.717853585485557</v>
      </c>
      <c r="G19" s="5">
        <v>33.69</v>
      </c>
      <c r="H19" s="5">
        <v>2.778</v>
      </c>
      <c r="I19" s="5">
        <v>49.65</v>
      </c>
    </row>
    <row r="20" spans="1:9" ht="15.75" customHeight="1">
      <c r="A20" s="5" t="s">
        <v>836</v>
      </c>
      <c r="B20" s="5">
        <v>594</v>
      </c>
      <c r="C20" s="5">
        <v>16531</v>
      </c>
      <c r="D20" s="6">
        <f t="shared" si="0"/>
        <v>260.6876768314483</v>
      </c>
      <c r="E20" s="7">
        <f t="shared" si="1"/>
        <v>269</v>
      </c>
      <c r="F20" s="8">
        <f t="shared" si="2"/>
        <v>8.3123231685516998</v>
      </c>
      <c r="G20" s="5">
        <v>34.44</v>
      </c>
      <c r="H20" s="5">
        <v>4.1109999999999998</v>
      </c>
      <c r="I20" s="5">
        <v>49.65</v>
      </c>
    </row>
    <row r="21" spans="1:9" ht="15.75" customHeight="1">
      <c r="A21" s="5" t="s">
        <v>837</v>
      </c>
      <c r="B21" s="5">
        <v>417</v>
      </c>
      <c r="C21" s="5">
        <v>16262</v>
      </c>
      <c r="D21" s="6">
        <f t="shared" si="0"/>
        <v>183.00801555339046</v>
      </c>
      <c r="E21" s="7">
        <f t="shared" si="1"/>
        <v>277.64999999999964</v>
      </c>
      <c r="F21" s="8">
        <f t="shared" si="2"/>
        <v>94.641984446609172</v>
      </c>
      <c r="G21" s="5">
        <v>34.31</v>
      </c>
      <c r="H21" s="5">
        <v>4.556</v>
      </c>
      <c r="I21" s="5">
        <v>49.65</v>
      </c>
    </row>
    <row r="22" spans="1:9" ht="15.75" customHeight="1">
      <c r="A22" s="5" t="s">
        <v>838</v>
      </c>
      <c r="B22" s="5">
        <v>731</v>
      </c>
      <c r="C22" s="5">
        <v>15984.35</v>
      </c>
      <c r="D22" s="6">
        <f t="shared" si="0"/>
        <v>320.09987103257322</v>
      </c>
      <c r="E22" s="7">
        <f t="shared" si="1"/>
        <v>325.35000000000036</v>
      </c>
      <c r="F22" s="8">
        <f t="shared" si="2"/>
        <v>5.2501289674271447</v>
      </c>
      <c r="G22" s="5">
        <v>34.5</v>
      </c>
      <c r="H22" s="5">
        <v>3.778</v>
      </c>
      <c r="I22" s="5">
        <v>50.23</v>
      </c>
    </row>
    <row r="23" spans="1:9" ht="15.75" customHeight="1">
      <c r="A23" s="5" t="s">
        <v>839</v>
      </c>
      <c r="B23" s="5">
        <v>766</v>
      </c>
      <c r="C23" s="5">
        <v>15659</v>
      </c>
      <c r="D23" s="6">
        <f t="shared" si="0"/>
        <v>335.79956382148788</v>
      </c>
      <c r="E23" s="7">
        <f t="shared" si="1"/>
        <v>334.64999999999964</v>
      </c>
      <c r="F23" s="8">
        <f t="shared" si="2"/>
        <v>-1.1495638214882433</v>
      </c>
      <c r="G23" s="5">
        <v>34.19</v>
      </c>
      <c r="H23" s="5">
        <v>3.778</v>
      </c>
      <c r="I23" s="5">
        <v>49.94</v>
      </c>
    </row>
    <row r="24" spans="1:9" ht="15.75" customHeight="1">
      <c r="A24" s="5" t="s">
        <v>840</v>
      </c>
      <c r="B24" s="5">
        <v>786</v>
      </c>
      <c r="C24" s="5">
        <v>15324.35</v>
      </c>
      <c r="D24" s="6">
        <f t="shared" si="0"/>
        <v>344.18399265609105</v>
      </c>
      <c r="E24" s="7">
        <f t="shared" si="1"/>
        <v>348.35000000000036</v>
      </c>
      <c r="F24" s="8">
        <f t="shared" si="2"/>
        <v>4.1660073439093139</v>
      </c>
      <c r="G24" s="5">
        <v>34.19</v>
      </c>
      <c r="H24" s="5">
        <v>4.556</v>
      </c>
      <c r="I24" s="5">
        <v>50.23</v>
      </c>
    </row>
    <row r="25" spans="1:9" ht="15.75" customHeight="1">
      <c r="A25" s="5" t="s">
        <v>841</v>
      </c>
      <c r="B25" s="5">
        <v>842</v>
      </c>
      <c r="C25" s="5">
        <v>14976</v>
      </c>
      <c r="D25" s="6">
        <f t="shared" si="0"/>
        <v>368.70600740003641</v>
      </c>
      <c r="E25" s="7">
        <f t="shared" si="1"/>
        <v>362.64999999999964</v>
      </c>
      <c r="F25" s="8">
        <f t="shared" si="2"/>
        <v>-6.0560074000367763</v>
      </c>
      <c r="G25" s="5">
        <v>34.619999999999997</v>
      </c>
      <c r="H25" s="5">
        <v>3.556</v>
      </c>
      <c r="I25" s="5">
        <v>50.23</v>
      </c>
    </row>
    <row r="26" spans="1:9" ht="15.75" customHeight="1">
      <c r="A26" s="5" t="s">
        <v>842</v>
      </c>
      <c r="B26" s="5">
        <v>843</v>
      </c>
      <c r="C26" s="5">
        <v>14613.35</v>
      </c>
      <c r="D26" s="6">
        <f t="shared" si="0"/>
        <v>369.55487245628495</v>
      </c>
      <c r="E26" s="7">
        <f t="shared" si="1"/>
        <v>369</v>
      </c>
      <c r="F26" s="8">
        <f t="shared" si="2"/>
        <v>-0.5548724562849543</v>
      </c>
      <c r="G26" s="5">
        <v>34.19</v>
      </c>
      <c r="H26" s="5">
        <v>3.778</v>
      </c>
      <c r="I26" s="5">
        <v>49.94</v>
      </c>
    </row>
    <row r="27" spans="1:9" ht="15.75" customHeight="1">
      <c r="A27" s="5" t="s">
        <v>843</v>
      </c>
      <c r="B27" s="5">
        <v>882</v>
      </c>
      <c r="C27" s="5">
        <v>14244.35</v>
      </c>
      <c r="D27" s="6">
        <f t="shared" si="0"/>
        <v>386.2217322171403</v>
      </c>
      <c r="E27" s="7">
        <f t="shared" si="1"/>
        <v>387.35000000000036</v>
      </c>
      <c r="F27" s="8">
        <f t="shared" si="2"/>
        <v>1.128267782860064</v>
      </c>
      <c r="G27" s="5">
        <v>34.619999999999997</v>
      </c>
      <c r="H27" s="5">
        <v>3.6669999999999998</v>
      </c>
      <c r="I27" s="5">
        <v>50.23</v>
      </c>
    </row>
    <row r="28" spans="1:9" ht="15.75" customHeight="1">
      <c r="A28" s="5" t="s">
        <v>844</v>
      </c>
      <c r="B28" s="5">
        <v>969</v>
      </c>
      <c r="C28" s="5">
        <v>13857</v>
      </c>
      <c r="D28" s="6">
        <f t="shared" si="0"/>
        <v>424.79083204049834</v>
      </c>
      <c r="E28" s="7">
        <f t="shared" si="1"/>
        <v>412</v>
      </c>
      <c r="F28" s="8">
        <f t="shared" si="2"/>
        <v>-12.790832040498344</v>
      </c>
      <c r="G28" s="5">
        <v>34</v>
      </c>
      <c r="H28" s="5">
        <v>4.8890000000000002</v>
      </c>
      <c r="I28" s="5">
        <v>49.94</v>
      </c>
    </row>
    <row r="29" spans="1:9" ht="15.75" customHeight="1">
      <c r="A29" s="5" t="s">
        <v>845</v>
      </c>
      <c r="B29" s="5">
        <v>952</v>
      </c>
      <c r="C29" s="5">
        <v>13445</v>
      </c>
      <c r="D29" s="6">
        <f t="shared" si="0"/>
        <v>417.33836130294577</v>
      </c>
      <c r="E29" s="7">
        <f t="shared" si="1"/>
        <v>379.64999999999964</v>
      </c>
      <c r="F29" s="8">
        <f t="shared" si="2"/>
        <v>-37.688361302946134</v>
      </c>
      <c r="G29" s="5">
        <v>34.19</v>
      </c>
      <c r="H29" s="5">
        <v>3.1110000000000002</v>
      </c>
      <c r="I29" s="5">
        <v>49.94</v>
      </c>
    </row>
    <row r="30" spans="1:9" ht="15.75" customHeight="1">
      <c r="A30" s="5" t="s">
        <v>846</v>
      </c>
      <c r="B30" s="5">
        <v>1122</v>
      </c>
      <c r="C30" s="5">
        <v>13065.35</v>
      </c>
      <c r="D30" s="6">
        <f t="shared" si="0"/>
        <v>492.41005623718013</v>
      </c>
      <c r="E30" s="7">
        <f t="shared" si="1"/>
        <v>333</v>
      </c>
      <c r="F30" s="8">
        <f t="shared" si="2"/>
        <v>-159.41005623718013</v>
      </c>
      <c r="G30" s="5">
        <v>33.5</v>
      </c>
      <c r="H30" s="5">
        <v>2.6669999999999998</v>
      </c>
      <c r="I30" s="5">
        <v>49.65</v>
      </c>
    </row>
    <row r="31" spans="1:9" ht="15.75" customHeight="1">
      <c r="A31" s="5" t="s">
        <v>847</v>
      </c>
      <c r="B31" s="5">
        <v>956</v>
      </c>
      <c r="C31" s="5">
        <v>12732.35</v>
      </c>
      <c r="D31" s="6">
        <f t="shared" si="0"/>
        <v>419.09188382942875</v>
      </c>
      <c r="E31" s="7">
        <f t="shared" si="1"/>
        <v>307.35000000000036</v>
      </c>
      <c r="F31" s="8">
        <f t="shared" si="2"/>
        <v>-111.74188382942839</v>
      </c>
      <c r="G31" s="5">
        <v>33.56</v>
      </c>
      <c r="H31" s="5">
        <v>1.889</v>
      </c>
      <c r="I31" s="5">
        <v>49.94</v>
      </c>
    </row>
    <row r="32" spans="1:9" ht="15.75" customHeight="1">
      <c r="A32" s="5" t="s">
        <v>848</v>
      </c>
      <c r="B32" s="5">
        <v>654</v>
      </c>
      <c r="C32" s="5">
        <v>12425</v>
      </c>
      <c r="D32" s="6">
        <f t="shared" si="0"/>
        <v>287.01976540028153</v>
      </c>
      <c r="E32" s="7">
        <f t="shared" si="1"/>
        <v>355.64999999999964</v>
      </c>
      <c r="F32" s="8">
        <f t="shared" si="2"/>
        <v>68.630234599718108</v>
      </c>
      <c r="G32" s="5">
        <v>33.69</v>
      </c>
      <c r="H32" s="5">
        <v>3.778</v>
      </c>
      <c r="I32" s="5">
        <v>49.65</v>
      </c>
    </row>
    <row r="33" spans="1:9" ht="15.75" customHeight="1">
      <c r="A33" s="5" t="s">
        <v>849</v>
      </c>
      <c r="B33" s="5">
        <v>658</v>
      </c>
      <c r="C33" s="5">
        <v>12069.35</v>
      </c>
      <c r="D33" s="6">
        <f t="shared" si="0"/>
        <v>288.45445560644777</v>
      </c>
      <c r="E33" s="7">
        <f t="shared" si="1"/>
        <v>346.35000000000036</v>
      </c>
      <c r="F33" s="8">
        <f t="shared" si="2"/>
        <v>57.895544393552598</v>
      </c>
      <c r="G33" s="5">
        <v>33.69</v>
      </c>
      <c r="H33" s="5">
        <v>3.222</v>
      </c>
      <c r="I33" s="5">
        <v>49.94</v>
      </c>
    </row>
    <row r="34" spans="1:9" ht="15.75" customHeight="1">
      <c r="A34" s="5" t="s">
        <v>850</v>
      </c>
      <c r="B34" s="5">
        <v>896</v>
      </c>
      <c r="C34" s="5">
        <v>11723</v>
      </c>
      <c r="D34" s="6">
        <f t="shared" si="0"/>
        <v>392.78904593218431</v>
      </c>
      <c r="E34" s="7">
        <f t="shared" si="1"/>
        <v>384</v>
      </c>
      <c r="F34" s="8">
        <f t="shared" si="2"/>
        <v>-8.7890459321843082</v>
      </c>
      <c r="G34" s="5">
        <v>33.81</v>
      </c>
      <c r="H34" s="5">
        <v>4</v>
      </c>
      <c r="I34" s="5">
        <v>49.94</v>
      </c>
    </row>
    <row r="35" spans="1:9" ht="15.75" customHeight="1">
      <c r="A35" s="5" t="s">
        <v>851</v>
      </c>
      <c r="B35" s="5">
        <v>921</v>
      </c>
      <c r="C35" s="5">
        <v>11339</v>
      </c>
      <c r="D35" s="6">
        <f t="shared" si="0"/>
        <v>403.2995639138166</v>
      </c>
      <c r="E35" s="7">
        <f t="shared" si="1"/>
        <v>428</v>
      </c>
      <c r="F35" s="8">
        <f t="shared" si="2"/>
        <v>24.700436086183402</v>
      </c>
      <c r="G35" s="5">
        <v>33.5</v>
      </c>
      <c r="H35" s="5">
        <v>2.778</v>
      </c>
      <c r="I35" s="5">
        <v>50.23</v>
      </c>
    </row>
    <row r="36" spans="1:9" ht="15.75" customHeight="1">
      <c r="A36" s="5" t="s">
        <v>852</v>
      </c>
      <c r="B36" s="5">
        <v>867</v>
      </c>
      <c r="C36" s="5">
        <v>10911</v>
      </c>
      <c r="D36" s="6">
        <f t="shared" si="0"/>
        <v>379.65333541072636</v>
      </c>
      <c r="E36" s="7">
        <f t="shared" si="1"/>
        <v>417</v>
      </c>
      <c r="F36" s="8">
        <f t="shared" si="2"/>
        <v>37.346664589273644</v>
      </c>
      <c r="G36" s="5">
        <v>33.130000000000003</v>
      </c>
      <c r="H36" s="5">
        <v>3.222</v>
      </c>
      <c r="I36" s="5">
        <v>50.23</v>
      </c>
    </row>
    <row r="37" spans="1:9" ht="15.75" customHeight="1">
      <c r="A37" s="5" t="s">
        <v>853</v>
      </c>
      <c r="B37" s="5">
        <v>1096</v>
      </c>
      <c r="C37" s="5">
        <v>10494</v>
      </c>
      <c r="D37" s="6">
        <f t="shared" si="0"/>
        <v>480.46517225633266</v>
      </c>
      <c r="E37" s="7">
        <f t="shared" si="1"/>
        <v>407.64999999999964</v>
      </c>
      <c r="F37" s="8">
        <f t="shared" si="2"/>
        <v>-72.815172256333028</v>
      </c>
      <c r="G37" s="5">
        <v>33.25</v>
      </c>
      <c r="H37" s="5">
        <v>3.6669999999999998</v>
      </c>
      <c r="I37" s="5">
        <v>49.94</v>
      </c>
    </row>
    <row r="38" spans="1:9" ht="15.75" customHeight="1">
      <c r="A38" s="5" t="s">
        <v>854</v>
      </c>
      <c r="B38" s="5">
        <v>632</v>
      </c>
      <c r="C38" s="5">
        <v>10086.35</v>
      </c>
      <c r="D38" s="6">
        <f t="shared" si="0"/>
        <v>277.36466625837596</v>
      </c>
      <c r="E38" s="7">
        <f t="shared" si="1"/>
        <v>424.99700000000121</v>
      </c>
      <c r="F38" s="8">
        <f t="shared" si="2"/>
        <v>147.63233374162525</v>
      </c>
      <c r="G38" s="5">
        <v>33.380000000000003</v>
      </c>
      <c r="H38" s="5">
        <v>2</v>
      </c>
      <c r="I38" s="5">
        <v>49.65</v>
      </c>
    </row>
    <row r="39" spans="1:9" ht="15.75" customHeight="1">
      <c r="A39" s="5" t="s">
        <v>855</v>
      </c>
      <c r="B39" s="5">
        <v>1066</v>
      </c>
      <c r="C39" s="5">
        <v>9661.3529999999992</v>
      </c>
      <c r="D39" s="6">
        <f t="shared" si="0"/>
        <v>467.83344023960245</v>
      </c>
      <c r="E39" s="7">
        <f t="shared" si="1"/>
        <v>444</v>
      </c>
      <c r="F39" s="8">
        <f t="shared" si="2"/>
        <v>-23.833440239602453</v>
      </c>
      <c r="G39" s="5">
        <v>33.130000000000003</v>
      </c>
      <c r="H39" s="5">
        <v>3.1110000000000002</v>
      </c>
      <c r="I39" s="5">
        <v>49.65</v>
      </c>
    </row>
    <row r="40" spans="1:9" ht="15.75" customHeight="1">
      <c r="A40" s="5" t="s">
        <v>856</v>
      </c>
      <c r="B40" s="5">
        <v>1061</v>
      </c>
      <c r="C40" s="5">
        <v>9217.3529999999992</v>
      </c>
      <c r="D40" s="6">
        <f t="shared" si="0"/>
        <v>465.12185014960659</v>
      </c>
      <c r="E40" s="7">
        <f t="shared" si="1"/>
        <v>443.35299999999916</v>
      </c>
      <c r="F40" s="8">
        <f t="shared" si="2"/>
        <v>-21.768850149607431</v>
      </c>
      <c r="G40" s="5">
        <v>33.25</v>
      </c>
      <c r="H40" s="5">
        <v>5</v>
      </c>
      <c r="I40" s="5">
        <v>49.94</v>
      </c>
    </row>
    <row r="41" spans="1:9" ht="15.75" customHeight="1">
      <c r="A41" s="5" t="s">
        <v>857</v>
      </c>
      <c r="B41" s="5">
        <v>1061</v>
      </c>
      <c r="C41" s="5">
        <v>8774</v>
      </c>
      <c r="D41" s="6">
        <f t="shared" si="0"/>
        <v>465.12185014960659</v>
      </c>
      <c r="E41" s="7">
        <f t="shared" si="1"/>
        <v>439</v>
      </c>
      <c r="F41" s="8">
        <f t="shared" si="2"/>
        <v>-26.121850149606587</v>
      </c>
      <c r="G41" s="5">
        <v>33.380000000000003</v>
      </c>
      <c r="H41" s="5">
        <v>5.6669999999999998</v>
      </c>
      <c r="I41" s="5">
        <v>49.94</v>
      </c>
    </row>
    <row r="42" spans="1:9" ht="15.75" customHeight="1">
      <c r="A42" s="5" t="s">
        <v>858</v>
      </c>
      <c r="B42" s="5">
        <v>1057</v>
      </c>
      <c r="C42" s="5">
        <v>8335</v>
      </c>
      <c r="D42" s="6">
        <f t="shared" si="0"/>
        <v>463.88362695427747</v>
      </c>
      <c r="E42" s="7">
        <f t="shared" si="1"/>
        <v>434</v>
      </c>
      <c r="F42" s="8">
        <f t="shared" si="2"/>
        <v>-29.883626954277474</v>
      </c>
      <c r="G42" s="5">
        <v>33.06</v>
      </c>
      <c r="H42" s="5">
        <v>6</v>
      </c>
      <c r="I42" s="5">
        <v>49.65</v>
      </c>
    </row>
    <row r="43" spans="1:9" ht="15.75" customHeight="1">
      <c r="A43" s="5" t="s">
        <v>859</v>
      </c>
      <c r="B43" s="5">
        <v>1055</v>
      </c>
      <c r="C43" s="5">
        <v>7901</v>
      </c>
      <c r="D43" s="6">
        <f t="shared" si="0"/>
        <v>463.00589066864978</v>
      </c>
      <c r="E43" s="7">
        <f t="shared" si="1"/>
        <v>433</v>
      </c>
      <c r="F43" s="8">
        <f t="shared" si="2"/>
        <v>-30.005890668649783</v>
      </c>
      <c r="G43" s="5">
        <v>32.75</v>
      </c>
      <c r="H43" s="5">
        <v>3.1110000000000002</v>
      </c>
      <c r="I43" s="5">
        <v>49.65</v>
      </c>
    </row>
    <row r="44" spans="1:9" ht="15.75" customHeight="1">
      <c r="A44" s="5" t="s">
        <v>860</v>
      </c>
      <c r="B44" s="5">
        <v>997</v>
      </c>
      <c r="C44" s="5">
        <v>7468</v>
      </c>
      <c r="D44" s="6">
        <f t="shared" si="0"/>
        <v>437.5515383854443</v>
      </c>
      <c r="E44" s="7">
        <f t="shared" si="1"/>
        <v>420</v>
      </c>
      <c r="F44" s="8">
        <f t="shared" si="2"/>
        <v>-17.551538385444303</v>
      </c>
      <c r="G44" s="5">
        <v>32.31</v>
      </c>
      <c r="H44" s="5">
        <v>0.66700000000000004</v>
      </c>
      <c r="I44" s="5">
        <v>49.65</v>
      </c>
    </row>
    <row r="45" spans="1:9" ht="15.75" customHeight="1">
      <c r="A45" s="5" t="s">
        <v>861</v>
      </c>
      <c r="B45" s="5">
        <v>1035</v>
      </c>
      <c r="C45" s="5">
        <v>7048</v>
      </c>
      <c r="D45" s="6">
        <f t="shared" si="0"/>
        <v>454.22852781237191</v>
      </c>
      <c r="E45" s="7">
        <f t="shared" si="1"/>
        <v>432.64699999999993</v>
      </c>
      <c r="F45" s="8">
        <f t="shared" si="2"/>
        <v>-21.581527812371974</v>
      </c>
      <c r="G45" s="5">
        <v>32.44</v>
      </c>
      <c r="H45" s="5">
        <v>2.6669999999999998</v>
      </c>
      <c r="I45" s="5">
        <v>49.65</v>
      </c>
    </row>
    <row r="46" spans="1:9" ht="15.75" customHeight="1">
      <c r="A46" s="5" t="s">
        <v>862</v>
      </c>
      <c r="B46" s="5">
        <v>1013</v>
      </c>
      <c r="C46" s="5">
        <v>6615.3530000000001</v>
      </c>
      <c r="D46" s="6">
        <f t="shared" si="0"/>
        <v>444.07957983181092</v>
      </c>
      <c r="E46" s="7">
        <f t="shared" si="1"/>
        <v>421.35300000000007</v>
      </c>
      <c r="F46" s="8">
        <f t="shared" si="2"/>
        <v>-22.726579831810852</v>
      </c>
      <c r="G46" s="5">
        <v>31.94</v>
      </c>
      <c r="H46" s="5">
        <v>1.333</v>
      </c>
      <c r="I46" s="5">
        <v>49.94</v>
      </c>
    </row>
    <row r="47" spans="1:9" ht="15.75" customHeight="1">
      <c r="A47" s="5" t="s">
        <v>863</v>
      </c>
      <c r="B47" s="5">
        <v>905</v>
      </c>
      <c r="C47" s="5">
        <v>6194</v>
      </c>
      <c r="D47" s="6">
        <f t="shared" si="0"/>
        <v>397.17566924656688</v>
      </c>
      <c r="E47" s="7">
        <f t="shared" si="1"/>
        <v>422</v>
      </c>
      <c r="F47" s="8">
        <f t="shared" si="2"/>
        <v>24.824330753433117</v>
      </c>
      <c r="G47" s="5">
        <v>31.25</v>
      </c>
      <c r="H47" s="5">
        <v>2</v>
      </c>
      <c r="I47" s="5">
        <v>49.65</v>
      </c>
    </row>
    <row r="48" spans="1:9" ht="15.75" customHeight="1">
      <c r="A48" s="5" t="s">
        <v>864</v>
      </c>
      <c r="B48" s="5">
        <v>1000</v>
      </c>
      <c r="C48" s="5">
        <v>5772</v>
      </c>
      <c r="D48" s="6">
        <f t="shared" si="0"/>
        <v>438.8681428138861</v>
      </c>
      <c r="E48" s="7">
        <f t="shared" si="1"/>
        <v>386.64699999999993</v>
      </c>
      <c r="F48" s="8">
        <f t="shared" si="2"/>
        <v>-52.221142813886161</v>
      </c>
      <c r="G48" s="5">
        <v>31.25</v>
      </c>
      <c r="H48" s="5">
        <v>2.222</v>
      </c>
      <c r="I48" s="5">
        <v>49.65</v>
      </c>
    </row>
    <row r="49" spans="1:9" ht="15.75" customHeight="1">
      <c r="A49" s="5" t="s">
        <v>865</v>
      </c>
      <c r="B49" s="5">
        <v>842</v>
      </c>
      <c r="C49" s="5">
        <v>5385.3530000000001</v>
      </c>
      <c r="D49" s="6">
        <f t="shared" si="0"/>
        <v>369.93746067391976</v>
      </c>
      <c r="E49" s="7">
        <f t="shared" si="1"/>
        <v>277.35300000000007</v>
      </c>
      <c r="F49" s="8">
        <f t="shared" si="2"/>
        <v>-92.584460673919693</v>
      </c>
      <c r="G49" s="5">
        <v>30.75</v>
      </c>
      <c r="H49" s="5">
        <v>1.667</v>
      </c>
      <c r="I49" s="5">
        <v>49.36</v>
      </c>
    </row>
    <row r="50" spans="1:9" ht="15.75" customHeight="1">
      <c r="A50" s="5" t="s">
        <v>866</v>
      </c>
      <c r="B50" s="5">
        <v>482</v>
      </c>
      <c r="C50" s="5">
        <v>5108</v>
      </c>
      <c r="D50" s="6">
        <f t="shared" si="0"/>
        <v>211.76942523138879</v>
      </c>
      <c r="E50" s="7">
        <f t="shared" si="1"/>
        <v>367.64699999999993</v>
      </c>
      <c r="F50" s="8">
        <f t="shared" si="2"/>
        <v>155.87757476861114</v>
      </c>
      <c r="G50" s="5">
        <v>30.37</v>
      </c>
      <c r="H50" s="5">
        <v>2.444</v>
      </c>
      <c r="I50" s="5">
        <v>49.36</v>
      </c>
    </row>
    <row r="51" spans="1:9" ht="15.75" customHeight="1">
      <c r="A51" s="5" t="s">
        <v>867</v>
      </c>
      <c r="B51" s="5">
        <v>948</v>
      </c>
      <c r="C51" s="5">
        <v>4740.3530000000001</v>
      </c>
      <c r="D51" s="6">
        <f t="shared" si="0"/>
        <v>416.04699938756391</v>
      </c>
      <c r="E51" s="7">
        <f t="shared" si="1"/>
        <v>382.35300000000007</v>
      </c>
      <c r="F51" s="8">
        <f t="shared" si="2"/>
        <v>-33.693999387563849</v>
      </c>
      <c r="G51" s="5">
        <v>30.44</v>
      </c>
      <c r="H51" s="5">
        <v>0.77800000000000002</v>
      </c>
      <c r="I51" s="5">
        <v>49.65</v>
      </c>
    </row>
    <row r="52" spans="1:9" ht="15.75" customHeight="1">
      <c r="A52" s="5" t="s">
        <v>868</v>
      </c>
      <c r="B52" s="5">
        <v>615</v>
      </c>
      <c r="C52" s="5">
        <v>4358</v>
      </c>
      <c r="D52" s="6">
        <f t="shared" si="0"/>
        <v>269.90390783053988</v>
      </c>
      <c r="E52" s="7">
        <f t="shared" si="1"/>
        <v>355.64699999999993</v>
      </c>
      <c r="F52" s="8">
        <f t="shared" si="2"/>
        <v>85.743092169460056</v>
      </c>
      <c r="G52" s="5">
        <v>29.87</v>
      </c>
      <c r="H52" s="5">
        <v>0.55600000000000005</v>
      </c>
      <c r="I52" s="5">
        <v>49.65</v>
      </c>
    </row>
    <row r="53" spans="1:9" ht="15.75" customHeight="1">
      <c r="A53" s="5" t="s">
        <v>869</v>
      </c>
      <c r="B53" s="5">
        <v>843</v>
      </c>
      <c r="C53" s="5">
        <v>4002.3530000000001</v>
      </c>
      <c r="D53" s="6">
        <f t="shared" si="0"/>
        <v>369.96584439210591</v>
      </c>
      <c r="E53" s="7">
        <f t="shared" si="1"/>
        <v>349</v>
      </c>
      <c r="F53" s="8">
        <f t="shared" si="2"/>
        <v>-20.965844392105907</v>
      </c>
      <c r="G53" s="5">
        <v>30.19</v>
      </c>
      <c r="H53" s="5">
        <v>3.222</v>
      </c>
      <c r="I53" s="5">
        <v>49.65</v>
      </c>
    </row>
    <row r="54" spans="1:9" ht="15.75" customHeight="1">
      <c r="A54" s="5" t="s">
        <v>870</v>
      </c>
      <c r="B54" s="5">
        <v>722</v>
      </c>
      <c r="C54" s="5">
        <v>3653.3530000000001</v>
      </c>
      <c r="D54" s="6">
        <f t="shared" si="0"/>
        <v>316.86279911162563</v>
      </c>
      <c r="E54" s="7">
        <f t="shared" si="1"/>
        <v>362.35300000000007</v>
      </c>
      <c r="F54" s="8">
        <f t="shared" si="2"/>
        <v>45.490200888374432</v>
      </c>
      <c r="G54" s="5">
        <v>29.63</v>
      </c>
      <c r="H54" s="5">
        <v>2.1110000000000002</v>
      </c>
      <c r="I54" s="5">
        <v>49.65</v>
      </c>
    </row>
    <row r="55" spans="1:9" ht="15.75" customHeight="1">
      <c r="A55" s="5" t="s">
        <v>871</v>
      </c>
      <c r="B55" s="5">
        <v>818</v>
      </c>
      <c r="C55" s="5">
        <v>3291</v>
      </c>
      <c r="D55" s="6">
        <f t="shared" si="0"/>
        <v>358.99414082175872</v>
      </c>
      <c r="E55" s="7">
        <f t="shared" si="1"/>
        <v>330.64699999999993</v>
      </c>
      <c r="F55" s="8">
        <f t="shared" si="2"/>
        <v>-28.347140821758785</v>
      </c>
      <c r="G55" s="5">
        <v>29.31</v>
      </c>
      <c r="H55" s="5">
        <v>2.222</v>
      </c>
      <c r="I55" s="5">
        <v>49.65</v>
      </c>
    </row>
    <row r="56" spans="1:9" ht="15.75" customHeight="1">
      <c r="A56" s="5" t="s">
        <v>872</v>
      </c>
      <c r="B56" s="5">
        <v>768</v>
      </c>
      <c r="C56" s="5">
        <v>2960.3530000000001</v>
      </c>
      <c r="D56" s="6">
        <f t="shared" si="0"/>
        <v>337.05073368106446</v>
      </c>
      <c r="E56" s="7">
        <f t="shared" si="1"/>
        <v>328</v>
      </c>
      <c r="F56" s="8">
        <f t="shared" si="2"/>
        <v>-9.0507336810644574</v>
      </c>
      <c r="G56" s="5">
        <v>29.19</v>
      </c>
      <c r="H56" s="5">
        <v>1.556</v>
      </c>
      <c r="I56" s="5">
        <v>49.65</v>
      </c>
    </row>
    <row r="57" spans="1:9" ht="15.75" customHeight="1">
      <c r="A57" s="36" t="s">
        <v>873</v>
      </c>
      <c r="B57" s="36">
        <v>730</v>
      </c>
      <c r="C57" s="5">
        <v>2632.3530000000001</v>
      </c>
      <c r="D57" s="6">
        <f t="shared" si="0"/>
        <v>318.96248340363701</v>
      </c>
      <c r="E57" s="7">
        <f t="shared" si="1"/>
        <v>316</v>
      </c>
      <c r="F57" s="8">
        <f t="shared" si="2"/>
        <v>-2.9624834036370089</v>
      </c>
      <c r="G57" s="36">
        <v>28.75</v>
      </c>
      <c r="H57" s="36">
        <v>1.389</v>
      </c>
      <c r="I57" s="36">
        <v>50.8</v>
      </c>
    </row>
    <row r="58" spans="1:9" ht="15.75" customHeight="1">
      <c r="A58" s="5" t="s">
        <v>874</v>
      </c>
      <c r="B58" s="5">
        <v>692</v>
      </c>
      <c r="C58" s="5">
        <v>2316.3530000000001</v>
      </c>
      <c r="D58" s="6">
        <f t="shared" si="0"/>
        <v>301.02115891338491</v>
      </c>
      <c r="E58" s="7">
        <f t="shared" si="1"/>
        <v>300</v>
      </c>
      <c r="F58" s="8">
        <f t="shared" si="2"/>
        <v>-1.0211589133849088</v>
      </c>
      <c r="G58" s="5">
        <v>28.31</v>
      </c>
      <c r="H58" s="5">
        <v>1.222</v>
      </c>
      <c r="I58" s="5">
        <v>51.95</v>
      </c>
    </row>
    <row r="59" spans="1:9" ht="15.75" customHeight="1">
      <c r="A59" s="5" t="s">
        <v>875</v>
      </c>
      <c r="B59" s="5">
        <v>647</v>
      </c>
      <c r="C59" s="5">
        <v>2016.3530000000001</v>
      </c>
      <c r="D59" s="6">
        <f t="shared" si="0"/>
        <v>281.44608355052031</v>
      </c>
      <c r="E59" s="7">
        <f t="shared" si="1"/>
        <v>286</v>
      </c>
      <c r="F59" s="8">
        <f t="shared" si="2"/>
        <v>4.5539164494796864</v>
      </c>
      <c r="G59" s="5">
        <v>28.44</v>
      </c>
      <c r="H59" s="5">
        <v>1.111</v>
      </c>
      <c r="I59" s="5">
        <v>51.95</v>
      </c>
    </row>
    <row r="60" spans="1:9" ht="15.75" customHeight="1">
      <c r="A60" s="5" t="s">
        <v>876</v>
      </c>
      <c r="B60" s="5">
        <v>622</v>
      </c>
      <c r="C60" s="5">
        <v>1730.3530000000001</v>
      </c>
      <c r="D60" s="6">
        <f t="shared" si="0"/>
        <v>270.57104168226221</v>
      </c>
      <c r="E60" s="7">
        <f t="shared" si="1"/>
        <v>259.35300000000007</v>
      </c>
      <c r="F60" s="8">
        <f t="shared" si="2"/>
        <v>-11.21804168226214</v>
      </c>
      <c r="G60" s="5">
        <v>27.63</v>
      </c>
      <c r="H60" s="5">
        <v>0.88900000000000001</v>
      </c>
      <c r="I60" s="5">
        <v>51.95</v>
      </c>
    </row>
    <row r="61" spans="1:9" ht="15.75" customHeight="1">
      <c r="A61" s="5" t="s">
        <v>877</v>
      </c>
      <c r="B61" s="5">
        <v>541</v>
      </c>
      <c r="C61" s="5">
        <v>1471</v>
      </c>
      <c r="D61" s="6">
        <f t="shared" si="0"/>
        <v>235.59964958459713</v>
      </c>
      <c r="E61" s="7">
        <f t="shared" si="1"/>
        <v>227</v>
      </c>
      <c r="F61" s="8">
        <f t="shared" si="2"/>
        <v>-8.599649584597131</v>
      </c>
      <c r="G61" s="5">
        <v>28.06</v>
      </c>
      <c r="H61" s="5">
        <v>1.778</v>
      </c>
      <c r="I61" s="5">
        <v>51.66</v>
      </c>
    </row>
    <row r="62" spans="1:9" ht="15.75" customHeight="1">
      <c r="A62" s="5" t="s">
        <v>878</v>
      </c>
      <c r="B62" s="5">
        <v>530</v>
      </c>
      <c r="C62" s="5">
        <v>1244</v>
      </c>
      <c r="D62" s="6">
        <f t="shared" si="0"/>
        <v>230.80926853943893</v>
      </c>
      <c r="E62" s="7">
        <f t="shared" si="1"/>
        <v>206</v>
      </c>
      <c r="F62" s="8">
        <f t="shared" si="2"/>
        <v>-24.809268539438932</v>
      </c>
      <c r="G62" s="5">
        <v>27.69</v>
      </c>
      <c r="H62" s="5">
        <v>0.88900000000000001</v>
      </c>
      <c r="I62" s="5">
        <v>51.66</v>
      </c>
    </row>
    <row r="63" spans="1:9" ht="15.75" customHeight="1">
      <c r="A63" s="5" t="s">
        <v>879</v>
      </c>
      <c r="B63" s="5">
        <v>360</v>
      </c>
      <c r="C63" s="5">
        <v>1038</v>
      </c>
      <c r="D63" s="6">
        <f t="shared" si="0"/>
        <v>156.95161096198117</v>
      </c>
      <c r="E63" s="7">
        <f t="shared" si="1"/>
        <v>142</v>
      </c>
      <c r="F63" s="8">
        <f t="shared" si="2"/>
        <v>-14.951610961981174</v>
      </c>
      <c r="G63" s="5">
        <v>26.94</v>
      </c>
      <c r="H63" s="5">
        <v>0.55600000000000005</v>
      </c>
      <c r="I63" s="5">
        <v>51.37</v>
      </c>
    </row>
    <row r="64" spans="1:9" ht="15.75" customHeight="1">
      <c r="A64" s="5" t="s">
        <v>880</v>
      </c>
      <c r="B64" s="5">
        <v>283</v>
      </c>
      <c r="C64" s="5">
        <v>896</v>
      </c>
      <c r="D64" s="6">
        <f t="shared" si="0"/>
        <v>125.5650687824815</v>
      </c>
      <c r="E64" s="7">
        <f t="shared" si="1"/>
        <v>139.64700000000005</v>
      </c>
      <c r="F64" s="8">
        <f t="shared" si="2"/>
        <v>14.081931217518544</v>
      </c>
      <c r="G64" s="5">
        <v>27.13</v>
      </c>
      <c r="H64" s="5">
        <v>0.55600000000000005</v>
      </c>
      <c r="I64" s="5">
        <v>46.78</v>
      </c>
    </row>
    <row r="65" spans="1:26" ht="15.75" customHeight="1">
      <c r="A65" s="5" t="s">
        <v>881</v>
      </c>
      <c r="B65" s="5">
        <v>286</v>
      </c>
      <c r="C65" s="5">
        <v>756.35299999999995</v>
      </c>
      <c r="D65" s="6">
        <f t="shared" si="0"/>
        <v>128.41543385674865</v>
      </c>
      <c r="E65" s="7">
        <f t="shared" si="1"/>
        <v>141.35299999999995</v>
      </c>
      <c r="F65" s="8">
        <f t="shared" si="2"/>
        <v>12.937566143251303</v>
      </c>
      <c r="G65" s="5">
        <v>26.75</v>
      </c>
      <c r="H65" s="5">
        <v>0.77800000000000002</v>
      </c>
      <c r="I65" s="5">
        <v>43.62</v>
      </c>
    </row>
    <row r="66" spans="1:26" ht="15.75" customHeight="1">
      <c r="A66" s="5" t="s">
        <v>882</v>
      </c>
      <c r="B66" s="5">
        <v>310</v>
      </c>
      <c r="C66" s="5">
        <v>615</v>
      </c>
      <c r="D66" s="6">
        <f t="shared" si="0"/>
        <v>139.48859979359415</v>
      </c>
      <c r="E66" s="7">
        <f t="shared" si="1"/>
        <v>127</v>
      </c>
      <c r="F66" s="8">
        <f t="shared" si="2"/>
        <v>-12.488599793594148</v>
      </c>
      <c r="G66" s="5">
        <v>25.93</v>
      </c>
      <c r="H66" s="5">
        <v>1</v>
      </c>
      <c r="I66" s="5">
        <v>43.05</v>
      </c>
    </row>
    <row r="67" spans="1:26" ht="15.75" customHeight="1">
      <c r="A67" s="5" t="s">
        <v>883</v>
      </c>
      <c r="B67" s="5">
        <v>274</v>
      </c>
      <c r="C67" s="5">
        <v>488</v>
      </c>
      <c r="D67" s="6">
        <f t="shared" si="0"/>
        <v>126.46355431298011</v>
      </c>
      <c r="E67" s="7">
        <f t="shared" si="1"/>
        <v>123.64699999999999</v>
      </c>
      <c r="F67" s="8">
        <f t="shared" si="2"/>
        <v>-2.8165543129801165</v>
      </c>
      <c r="G67" s="5">
        <v>24.75</v>
      </c>
      <c r="H67" s="5">
        <v>0.44400000000000001</v>
      </c>
      <c r="I67" s="5">
        <v>36.159999999999997</v>
      </c>
    </row>
    <row r="68" spans="1:26" ht="15.75" customHeight="1">
      <c r="A68" s="5" t="s">
        <v>884</v>
      </c>
      <c r="B68" s="5">
        <v>228</v>
      </c>
      <c r="C68" s="5">
        <v>364.35300000000001</v>
      </c>
      <c r="D68" s="6">
        <f t="shared" si="0"/>
        <v>107.21019551153042</v>
      </c>
      <c r="E68" s="7">
        <f t="shared" si="1"/>
        <v>93.353000000000009</v>
      </c>
      <c r="F68" s="8">
        <f t="shared" si="2"/>
        <v>-13.857195511530406</v>
      </c>
      <c r="G68" s="5">
        <v>23.69</v>
      </c>
      <c r="H68" s="5">
        <v>0.77800000000000002</v>
      </c>
      <c r="I68" s="5">
        <v>31</v>
      </c>
    </row>
    <row r="69" spans="1:26" ht="15.75" customHeight="1">
      <c r="A69" s="5" t="s">
        <v>885</v>
      </c>
      <c r="B69" s="5">
        <v>152</v>
      </c>
      <c r="C69" s="5">
        <v>271</v>
      </c>
      <c r="D69" s="6">
        <f t="shared" si="0"/>
        <v>71.987065121696887</v>
      </c>
      <c r="E69" s="7">
        <f t="shared" si="1"/>
        <v>78.646999999999991</v>
      </c>
      <c r="F69" s="8">
        <f t="shared" si="2"/>
        <v>6.6599348783031047</v>
      </c>
      <c r="G69" s="5">
        <v>22.56</v>
      </c>
      <c r="H69" s="5">
        <v>0.55600000000000005</v>
      </c>
      <c r="I69" s="5">
        <v>28.99</v>
      </c>
    </row>
    <row r="70" spans="1:26" ht="15.75" customHeight="1">
      <c r="A70" s="5" t="s">
        <v>886</v>
      </c>
      <c r="B70" s="5">
        <v>189</v>
      </c>
      <c r="C70" s="5">
        <v>192.35300000000001</v>
      </c>
      <c r="D70" s="6">
        <f t="shared" si="0"/>
        <v>90.333134372775746</v>
      </c>
      <c r="E70" s="7">
        <f t="shared" si="1"/>
        <v>78.000000000000014</v>
      </c>
      <c r="F70" s="8">
        <f t="shared" si="2"/>
        <v>-12.333134372775731</v>
      </c>
      <c r="G70" s="5">
        <v>21.25</v>
      </c>
      <c r="H70" s="5">
        <v>0.55600000000000005</v>
      </c>
      <c r="I70" s="5">
        <v>26.4</v>
      </c>
    </row>
    <row r="71" spans="1:26" ht="15.75" customHeight="1">
      <c r="A71" s="5" t="s">
        <v>887</v>
      </c>
      <c r="B71" s="5">
        <v>131</v>
      </c>
      <c r="C71" s="5">
        <v>114.35299999999999</v>
      </c>
      <c r="D71" s="6">
        <f t="shared" si="0"/>
        <v>63.180024120961633</v>
      </c>
      <c r="E71" s="7">
        <f t="shared" si="1"/>
        <v>49.352999999999994</v>
      </c>
      <c r="F71" s="8">
        <f t="shared" si="2"/>
        <v>-13.827024120961639</v>
      </c>
      <c r="G71" s="5">
        <v>20.13</v>
      </c>
      <c r="H71" s="5">
        <v>0.55600000000000005</v>
      </c>
      <c r="I71" s="5">
        <v>23.82</v>
      </c>
    </row>
    <row r="72" spans="1:26" ht="15.75" customHeight="1">
      <c r="A72" s="5" t="s">
        <v>888</v>
      </c>
      <c r="B72" s="5">
        <v>94</v>
      </c>
      <c r="C72" s="5">
        <v>65</v>
      </c>
      <c r="D72" s="6">
        <f t="shared" si="0"/>
        <v>45.788804379214369</v>
      </c>
      <c r="E72" s="7">
        <f t="shared" si="1"/>
        <v>30</v>
      </c>
      <c r="F72" s="8">
        <f t="shared" si="2"/>
        <v>-15.788804379214369</v>
      </c>
      <c r="G72" s="5">
        <v>19.37</v>
      </c>
      <c r="H72" s="5">
        <v>0.55600000000000005</v>
      </c>
      <c r="I72" s="5">
        <v>20.95</v>
      </c>
    </row>
    <row r="73" spans="1:26" ht="15.75" customHeight="1">
      <c r="A73" s="5" t="s">
        <v>889</v>
      </c>
      <c r="B73" s="5">
        <v>44</v>
      </c>
      <c r="C73" s="5">
        <v>35</v>
      </c>
      <c r="D73" s="6">
        <f t="shared" si="0"/>
        <v>21.560280979673909</v>
      </c>
      <c r="E73" s="7">
        <f t="shared" si="1"/>
        <v>17</v>
      </c>
      <c r="F73" s="8">
        <f t="shared" si="2"/>
        <v>-4.5602809796739088</v>
      </c>
      <c r="G73" s="5">
        <v>19</v>
      </c>
      <c r="H73" s="5">
        <v>0.55600000000000005</v>
      </c>
      <c r="I73" s="5">
        <v>19.23</v>
      </c>
    </row>
    <row r="74" spans="1:26" ht="15.75" customHeight="1">
      <c r="A74" s="5" t="s">
        <v>890</v>
      </c>
      <c r="B74" s="5">
        <v>34</v>
      </c>
      <c r="C74" s="5">
        <v>18</v>
      </c>
      <c r="D74" s="6">
        <f t="shared" si="0"/>
        <v>16.692796316943816</v>
      </c>
      <c r="E74" s="7">
        <f t="shared" si="1"/>
        <v>18</v>
      </c>
      <c r="F74" s="8">
        <f t="shared" si="2"/>
        <v>1.3072036830561835</v>
      </c>
      <c r="G74" s="5">
        <v>18.690000000000001</v>
      </c>
      <c r="H74" s="5">
        <v>0.55600000000000005</v>
      </c>
      <c r="I74" s="5">
        <v>18.66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6.7798333333333334</v>
      </c>
      <c r="C76" s="11"/>
      <c r="D76" s="16">
        <f>SUM(D2:D75)</f>
        <v>17880.242366084163</v>
      </c>
      <c r="E76" s="15">
        <f>SUM(E1:E74)</f>
        <v>17852.349999999999</v>
      </c>
      <c r="F76" s="11"/>
      <c r="G76" s="17">
        <f t="shared" ref="G76:I76" si="3">AVERAGE(G1:G74)</f>
        <v>29.674520547945214</v>
      </c>
      <c r="H76" s="17">
        <f t="shared" si="3"/>
        <v>2.3052739726027411</v>
      </c>
      <c r="I76" s="17">
        <f t="shared" si="3"/>
        <v>46.612191780821938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891</v>
      </c>
      <c r="B2" s="4">
        <v>0</v>
      </c>
      <c r="C2" s="5">
        <v>18303.650000000001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31.37</v>
      </c>
      <c r="H2" s="5">
        <v>1.444</v>
      </c>
      <c r="I2" s="5">
        <v>42.19</v>
      </c>
    </row>
    <row r="3" spans="1:26" ht="15.75" customHeight="1">
      <c r="A3" s="5" t="s">
        <v>892</v>
      </c>
      <c r="B3" s="5">
        <v>1</v>
      </c>
      <c r="C3" s="5">
        <v>18303.650000000001</v>
      </c>
      <c r="D3" s="6">
        <f t="shared" si="0"/>
        <v>0.4494757139474817</v>
      </c>
      <c r="E3" s="7">
        <f t="shared" si="1"/>
        <v>4</v>
      </c>
      <c r="F3" s="8">
        <f t="shared" si="2"/>
        <v>3.5505242860525184</v>
      </c>
      <c r="G3" s="5">
        <v>32.06</v>
      </c>
      <c r="H3" s="5">
        <v>3.778</v>
      </c>
      <c r="I3" s="5">
        <v>43.34</v>
      </c>
    </row>
    <row r="4" spans="1:26" ht="15.75" customHeight="1">
      <c r="A4" s="5" t="s">
        <v>893</v>
      </c>
      <c r="B4" s="5">
        <v>13</v>
      </c>
      <c r="C4" s="5">
        <v>18299.650000000001</v>
      </c>
      <c r="D4" s="6">
        <f t="shared" si="0"/>
        <v>5.8243898842849946</v>
      </c>
      <c r="E4" s="7">
        <f t="shared" si="1"/>
        <v>9</v>
      </c>
      <c r="F4" s="8">
        <f t="shared" si="2"/>
        <v>3.1756101157150054</v>
      </c>
      <c r="G4" s="5">
        <v>31.75</v>
      </c>
      <c r="H4" s="5">
        <v>2.3330000000000002</v>
      </c>
      <c r="I4" s="5">
        <v>44.2</v>
      </c>
    </row>
    <row r="5" spans="1:26" ht="15.75" customHeight="1">
      <c r="A5" s="5" t="s">
        <v>894</v>
      </c>
      <c r="B5" s="5">
        <v>23</v>
      </c>
      <c r="C5" s="5">
        <v>18290.650000000001</v>
      </c>
      <c r="D5" s="6">
        <f t="shared" si="0"/>
        <v>10.260225412312503</v>
      </c>
      <c r="E5" s="7">
        <f t="shared" si="1"/>
        <v>14</v>
      </c>
      <c r="F5" s="8">
        <f t="shared" si="2"/>
        <v>3.7397745876874975</v>
      </c>
      <c r="G5" s="5">
        <v>32.06</v>
      </c>
      <c r="H5" s="5">
        <v>2.8889999999999998</v>
      </c>
      <c r="I5" s="5">
        <v>45.35</v>
      </c>
    </row>
    <row r="6" spans="1:26" ht="15.75" customHeight="1">
      <c r="A6" s="5" t="s">
        <v>895</v>
      </c>
      <c r="B6" s="5">
        <v>39</v>
      </c>
      <c r="C6" s="5">
        <v>18276.650000000001</v>
      </c>
      <c r="D6" s="6">
        <f t="shared" si="0"/>
        <v>17.285007143031944</v>
      </c>
      <c r="E6" s="7">
        <f t="shared" si="1"/>
        <v>26</v>
      </c>
      <c r="F6" s="8">
        <f t="shared" si="2"/>
        <v>8.7149928569680561</v>
      </c>
      <c r="G6" s="5">
        <v>32.5</v>
      </c>
      <c r="H6" s="5">
        <v>4</v>
      </c>
      <c r="I6" s="5">
        <v>47.07</v>
      </c>
    </row>
    <row r="7" spans="1:26" ht="15.75" customHeight="1">
      <c r="A7" s="5" t="s">
        <v>896</v>
      </c>
      <c r="B7" s="5">
        <v>56</v>
      </c>
      <c r="C7" s="5">
        <v>18250.650000000001</v>
      </c>
      <c r="D7" s="6">
        <f t="shared" si="0"/>
        <v>24.603916624393719</v>
      </c>
      <c r="E7" s="7">
        <f t="shared" si="1"/>
        <v>36</v>
      </c>
      <c r="F7" s="8">
        <f t="shared" si="2"/>
        <v>11.396083375606281</v>
      </c>
      <c r="G7" s="5">
        <v>32.75</v>
      </c>
      <c r="H7" s="5">
        <v>3.3330000000000002</v>
      </c>
      <c r="I7" s="5">
        <v>49.36</v>
      </c>
    </row>
    <row r="8" spans="1:26" ht="15.75" customHeight="1">
      <c r="A8" s="5" t="s">
        <v>897</v>
      </c>
      <c r="B8" s="5">
        <v>63</v>
      </c>
      <c r="C8" s="5">
        <v>18214.650000000001</v>
      </c>
      <c r="D8" s="6">
        <f t="shared" si="0"/>
        <v>27.617979792106709</v>
      </c>
      <c r="E8" s="7">
        <f t="shared" si="1"/>
        <v>46.650000000001455</v>
      </c>
      <c r="F8" s="8">
        <f t="shared" si="2"/>
        <v>19.032020207894746</v>
      </c>
      <c r="G8" s="5">
        <v>32.880000000000003</v>
      </c>
      <c r="H8" s="5">
        <v>3.222</v>
      </c>
      <c r="I8" s="5">
        <v>49.94</v>
      </c>
    </row>
    <row r="9" spans="1:26" ht="15.75" customHeight="1">
      <c r="A9" s="5" t="s">
        <v>898</v>
      </c>
      <c r="B9" s="5">
        <v>144</v>
      </c>
      <c r="C9" s="5">
        <v>18168</v>
      </c>
      <c r="D9" s="6">
        <f t="shared" si="0"/>
        <v>62.988828474996019</v>
      </c>
      <c r="E9" s="7">
        <f t="shared" si="1"/>
        <v>66</v>
      </c>
      <c r="F9" s="8">
        <f t="shared" si="2"/>
        <v>3.0111715250039808</v>
      </c>
      <c r="G9" s="5">
        <v>33.19</v>
      </c>
      <c r="H9" s="5">
        <v>4</v>
      </c>
      <c r="I9" s="5">
        <v>50.51</v>
      </c>
    </row>
    <row r="10" spans="1:26" ht="15.75" customHeight="1">
      <c r="A10" s="5" t="s">
        <v>899</v>
      </c>
      <c r="B10" s="5">
        <v>182</v>
      </c>
      <c r="C10" s="5">
        <v>18102</v>
      </c>
      <c r="D10" s="6">
        <f t="shared" si="0"/>
        <v>79.610880433675533</v>
      </c>
      <c r="E10" s="7">
        <f t="shared" si="1"/>
        <v>86.349999999998545</v>
      </c>
      <c r="F10" s="8">
        <f t="shared" si="2"/>
        <v>6.7391195663230121</v>
      </c>
      <c r="G10" s="5">
        <v>33.19</v>
      </c>
      <c r="H10" s="5">
        <v>2.556</v>
      </c>
      <c r="I10" s="5">
        <v>50.51</v>
      </c>
    </row>
    <row r="11" spans="1:26" ht="15.75" customHeight="1">
      <c r="A11" s="5" t="s">
        <v>900</v>
      </c>
      <c r="B11" s="5">
        <v>240</v>
      </c>
      <c r="C11" s="5">
        <v>18015.650000000001</v>
      </c>
      <c r="D11" s="6">
        <f t="shared" si="0"/>
        <v>104.98138079166003</v>
      </c>
      <c r="E11" s="7">
        <f t="shared" si="1"/>
        <v>82</v>
      </c>
      <c r="F11" s="8">
        <f t="shared" si="2"/>
        <v>-22.98138079166003</v>
      </c>
      <c r="G11" s="5">
        <v>33.25</v>
      </c>
      <c r="H11" s="5">
        <v>4</v>
      </c>
      <c r="I11" s="5">
        <v>50.51</v>
      </c>
    </row>
    <row r="12" spans="1:26" ht="15.75" customHeight="1">
      <c r="A12" s="5" t="s">
        <v>901</v>
      </c>
      <c r="B12" s="5">
        <v>296</v>
      </c>
      <c r="C12" s="5">
        <v>17933.650000000001</v>
      </c>
      <c r="D12" s="6">
        <f t="shared" si="0"/>
        <v>129.47703630971407</v>
      </c>
      <c r="E12" s="7">
        <f t="shared" si="1"/>
        <v>134</v>
      </c>
      <c r="F12" s="8">
        <f t="shared" si="2"/>
        <v>4.522963690285934</v>
      </c>
      <c r="G12" s="5">
        <v>33.75</v>
      </c>
      <c r="H12" s="5">
        <v>4.6669999999999998</v>
      </c>
      <c r="I12" s="5">
        <v>50.51</v>
      </c>
    </row>
    <row r="13" spans="1:26" ht="15.75" customHeight="1">
      <c r="A13" s="5" t="s">
        <v>902</v>
      </c>
      <c r="B13" s="5">
        <v>352</v>
      </c>
      <c r="C13" s="5">
        <v>17799.650000000001</v>
      </c>
      <c r="D13" s="6">
        <f t="shared" si="0"/>
        <v>153.97269182776807</v>
      </c>
      <c r="E13" s="7">
        <f t="shared" si="1"/>
        <v>163</v>
      </c>
      <c r="F13" s="8">
        <f t="shared" si="2"/>
        <v>9.0273081722319262</v>
      </c>
      <c r="G13" s="5">
        <v>33.880000000000003</v>
      </c>
      <c r="H13" s="5">
        <v>1.778</v>
      </c>
      <c r="I13" s="5">
        <v>50.51</v>
      </c>
    </row>
    <row r="14" spans="1:26" ht="15.75" customHeight="1">
      <c r="A14" s="5" t="s">
        <v>903</v>
      </c>
      <c r="B14" s="5">
        <v>409</v>
      </c>
      <c r="C14" s="5">
        <v>17636.650000000001</v>
      </c>
      <c r="D14" s="6">
        <f t="shared" si="0"/>
        <v>178.7063776877911</v>
      </c>
      <c r="E14" s="7">
        <f t="shared" si="1"/>
        <v>185.65000000000146</v>
      </c>
      <c r="F14" s="8">
        <f t="shared" si="2"/>
        <v>6.9436223122103513</v>
      </c>
      <c r="G14" s="5">
        <v>33.880000000000003</v>
      </c>
      <c r="H14" s="5">
        <v>4</v>
      </c>
      <c r="I14" s="5">
        <v>50.8</v>
      </c>
    </row>
    <row r="15" spans="1:26" ht="15.75" customHeight="1">
      <c r="A15" s="5" t="s">
        <v>904</v>
      </c>
      <c r="B15" s="5">
        <v>448</v>
      </c>
      <c r="C15" s="5">
        <v>17451</v>
      </c>
      <c r="D15" s="6">
        <f t="shared" si="0"/>
        <v>195.52843411537444</v>
      </c>
      <c r="E15" s="7">
        <f t="shared" si="1"/>
        <v>204.34999999999854</v>
      </c>
      <c r="F15" s="8">
        <f t="shared" si="2"/>
        <v>8.821565884624107</v>
      </c>
      <c r="G15" s="5">
        <v>33.94</v>
      </c>
      <c r="H15" s="5">
        <v>4.3330000000000002</v>
      </c>
      <c r="I15" s="5">
        <v>51.09</v>
      </c>
    </row>
    <row r="16" spans="1:26" ht="15.75" customHeight="1">
      <c r="A16" s="5" t="s">
        <v>905</v>
      </c>
      <c r="B16" s="5">
        <v>490</v>
      </c>
      <c r="C16" s="5">
        <v>17246.650000000001</v>
      </c>
      <c r="D16" s="6">
        <f t="shared" si="0"/>
        <v>214.09810529833166</v>
      </c>
      <c r="E16" s="7">
        <f t="shared" si="1"/>
        <v>229.65000000000146</v>
      </c>
      <c r="F16" s="8">
        <f t="shared" si="2"/>
        <v>15.551894701669795</v>
      </c>
      <c r="G16" s="5">
        <v>34.25</v>
      </c>
      <c r="H16" s="5">
        <v>5.8890000000000002</v>
      </c>
      <c r="I16" s="5">
        <v>50.8</v>
      </c>
    </row>
    <row r="17" spans="1:9" ht="15.75" customHeight="1">
      <c r="A17" s="5" t="s">
        <v>906</v>
      </c>
      <c r="B17" s="5">
        <v>557</v>
      </c>
      <c r="C17" s="5">
        <v>17017</v>
      </c>
      <c r="D17" s="6">
        <f t="shared" si="0"/>
        <v>243.37274418606282</v>
      </c>
      <c r="E17" s="7">
        <f t="shared" si="1"/>
        <v>161.34999999999854</v>
      </c>
      <c r="F17" s="8">
        <f t="shared" si="2"/>
        <v>-82.022744186064273</v>
      </c>
      <c r="G17" s="5">
        <v>33.75</v>
      </c>
      <c r="H17" s="5">
        <v>3.8889999999999998</v>
      </c>
      <c r="I17" s="5">
        <v>50.8</v>
      </c>
    </row>
    <row r="18" spans="1:9" ht="15.75" customHeight="1">
      <c r="A18" s="5" t="s">
        <v>907</v>
      </c>
      <c r="B18" s="5">
        <v>129</v>
      </c>
      <c r="C18" s="5">
        <v>16855.650000000001</v>
      </c>
      <c r="D18" s="6">
        <f t="shared" si="0"/>
        <v>56.364603231601606</v>
      </c>
      <c r="E18" s="7">
        <f t="shared" si="1"/>
        <v>162</v>
      </c>
      <c r="F18" s="8">
        <f t="shared" si="2"/>
        <v>105.63539676839839</v>
      </c>
      <c r="G18" s="5">
        <v>33.630000000000003</v>
      </c>
      <c r="H18" s="5">
        <v>4</v>
      </c>
      <c r="I18" s="5">
        <v>50.8</v>
      </c>
    </row>
    <row r="19" spans="1:9" ht="15.75" customHeight="1">
      <c r="A19" s="5" t="s">
        <v>908</v>
      </c>
      <c r="B19" s="5">
        <v>612</v>
      </c>
      <c r="C19" s="5">
        <v>16693.650000000001</v>
      </c>
      <c r="D19" s="6">
        <f t="shared" si="0"/>
        <v>267.10580731832403</v>
      </c>
      <c r="E19" s="7">
        <f t="shared" si="1"/>
        <v>264.65000000000146</v>
      </c>
      <c r="F19" s="8">
        <f t="shared" si="2"/>
        <v>-2.4558073183225702</v>
      </c>
      <c r="G19" s="5">
        <v>34.25</v>
      </c>
      <c r="H19" s="5">
        <v>2.6669999999999998</v>
      </c>
      <c r="I19" s="5">
        <v>51.09</v>
      </c>
    </row>
    <row r="20" spans="1:9" ht="15.75" customHeight="1">
      <c r="A20" s="5" t="s">
        <v>909</v>
      </c>
      <c r="B20" s="5">
        <v>633</v>
      </c>
      <c r="C20" s="5">
        <v>16429</v>
      </c>
      <c r="D20" s="6">
        <f t="shared" si="0"/>
        <v>275.97324927481679</v>
      </c>
      <c r="E20" s="7">
        <f t="shared" si="1"/>
        <v>289.35000000000036</v>
      </c>
      <c r="F20" s="8">
        <f t="shared" si="2"/>
        <v>13.37675072518357</v>
      </c>
      <c r="G20" s="5">
        <v>34.25</v>
      </c>
      <c r="H20" s="5">
        <v>2.444</v>
      </c>
      <c r="I20" s="5">
        <v>51.37</v>
      </c>
    </row>
    <row r="21" spans="1:9" ht="15.75" customHeight="1">
      <c r="A21" s="5" t="s">
        <v>910</v>
      </c>
      <c r="B21" s="5">
        <v>707</v>
      </c>
      <c r="C21" s="5">
        <v>16139.65</v>
      </c>
      <c r="D21" s="6">
        <f t="shared" si="0"/>
        <v>308.56831008832529</v>
      </c>
      <c r="E21" s="7">
        <f t="shared" si="1"/>
        <v>310</v>
      </c>
      <c r="F21" s="8">
        <f t="shared" si="2"/>
        <v>1.4316899116747095</v>
      </c>
      <c r="G21" s="5">
        <v>33.880000000000003</v>
      </c>
      <c r="H21" s="5">
        <v>2.6669999999999998</v>
      </c>
      <c r="I21" s="5">
        <v>51.09</v>
      </c>
    </row>
    <row r="22" spans="1:9" ht="15.75" customHeight="1">
      <c r="A22" s="5" t="s">
        <v>911</v>
      </c>
      <c r="B22" s="5">
        <v>731</v>
      </c>
      <c r="C22" s="5">
        <v>15829.65</v>
      </c>
      <c r="D22" s="6">
        <f t="shared" si="0"/>
        <v>319.04304763022031</v>
      </c>
      <c r="E22" s="7">
        <f t="shared" si="1"/>
        <v>323.64999999999964</v>
      </c>
      <c r="F22" s="8">
        <f t="shared" si="2"/>
        <v>4.6069523697793215</v>
      </c>
      <c r="G22" s="5">
        <v>33.880000000000003</v>
      </c>
      <c r="H22" s="5">
        <v>3.8889999999999998</v>
      </c>
      <c r="I22" s="5">
        <v>51.09</v>
      </c>
    </row>
    <row r="23" spans="1:9" ht="15.75" customHeight="1">
      <c r="A23" s="5" t="s">
        <v>912</v>
      </c>
      <c r="B23" s="5">
        <v>751</v>
      </c>
      <c r="C23" s="5">
        <v>15506</v>
      </c>
      <c r="D23" s="6">
        <f t="shared" si="0"/>
        <v>327.77199558179956</v>
      </c>
      <c r="E23" s="7">
        <f t="shared" si="1"/>
        <v>320</v>
      </c>
      <c r="F23" s="8">
        <f t="shared" si="2"/>
        <v>-7.7719955817995583</v>
      </c>
      <c r="G23" s="5">
        <v>33.94</v>
      </c>
      <c r="H23" s="5">
        <v>4.2220000000000004</v>
      </c>
      <c r="I23" s="5">
        <v>51.09</v>
      </c>
    </row>
    <row r="24" spans="1:9" ht="15.75" customHeight="1">
      <c r="A24" s="5" t="s">
        <v>913</v>
      </c>
      <c r="B24" s="5">
        <v>782</v>
      </c>
      <c r="C24" s="5">
        <v>15186</v>
      </c>
      <c r="D24" s="6">
        <f t="shared" si="0"/>
        <v>341.30186490674737</v>
      </c>
      <c r="E24" s="7">
        <f t="shared" si="1"/>
        <v>347</v>
      </c>
      <c r="F24" s="8">
        <f t="shared" si="2"/>
        <v>5.6981350932526311</v>
      </c>
      <c r="G24" s="5">
        <v>33.880000000000003</v>
      </c>
      <c r="H24" s="5">
        <v>5.7779999999999996</v>
      </c>
      <c r="I24" s="5">
        <v>51.09</v>
      </c>
    </row>
    <row r="25" spans="1:9" ht="15.75" customHeight="1">
      <c r="A25" s="5" t="s">
        <v>914</v>
      </c>
      <c r="B25" s="5">
        <v>823</v>
      </c>
      <c r="C25" s="5">
        <v>14839</v>
      </c>
      <c r="D25" s="6">
        <f t="shared" si="0"/>
        <v>359.19620820748474</v>
      </c>
      <c r="E25" s="7">
        <f t="shared" si="1"/>
        <v>355.35000000000036</v>
      </c>
      <c r="F25" s="8">
        <f t="shared" si="2"/>
        <v>-3.8462082074843806</v>
      </c>
      <c r="G25" s="5">
        <v>34</v>
      </c>
      <c r="H25" s="5">
        <v>3</v>
      </c>
      <c r="I25" s="5">
        <v>51.09</v>
      </c>
    </row>
    <row r="26" spans="1:9" ht="15.75" customHeight="1">
      <c r="A26" s="5" t="s">
        <v>915</v>
      </c>
      <c r="B26" s="5">
        <v>836</v>
      </c>
      <c r="C26" s="5">
        <v>14483.65</v>
      </c>
      <c r="D26" s="6">
        <f t="shared" si="0"/>
        <v>364.8700243760112</v>
      </c>
      <c r="E26" s="7">
        <f t="shared" si="1"/>
        <v>362.64999999999964</v>
      </c>
      <c r="F26" s="8">
        <f t="shared" si="2"/>
        <v>-2.2200243760115654</v>
      </c>
      <c r="G26" s="5">
        <v>34</v>
      </c>
      <c r="H26" s="5">
        <v>4.2220000000000004</v>
      </c>
      <c r="I26" s="5">
        <v>51.09</v>
      </c>
    </row>
    <row r="27" spans="1:9" ht="15.75" customHeight="1">
      <c r="A27" s="5" t="s">
        <v>916</v>
      </c>
      <c r="B27" s="5">
        <v>905</v>
      </c>
      <c r="C27" s="5">
        <v>14121</v>
      </c>
      <c r="D27" s="6">
        <f t="shared" si="0"/>
        <v>394.55891089053591</v>
      </c>
      <c r="E27" s="7">
        <f t="shared" si="1"/>
        <v>371</v>
      </c>
      <c r="F27" s="8">
        <f t="shared" si="2"/>
        <v>-23.558910890535913</v>
      </c>
      <c r="G27" s="5">
        <v>33.5</v>
      </c>
      <c r="H27" s="5">
        <v>5.3330000000000002</v>
      </c>
      <c r="I27" s="5">
        <v>51.37</v>
      </c>
    </row>
    <row r="28" spans="1:9" ht="15.75" customHeight="1">
      <c r="A28" s="5" t="s">
        <v>917</v>
      </c>
      <c r="B28" s="5">
        <v>881</v>
      </c>
      <c r="C28" s="5">
        <v>13750</v>
      </c>
      <c r="D28" s="6">
        <f t="shared" si="0"/>
        <v>384.51015726706447</v>
      </c>
      <c r="E28" s="7">
        <f t="shared" si="1"/>
        <v>385.35000000000036</v>
      </c>
      <c r="F28" s="8">
        <f t="shared" si="2"/>
        <v>0.8398427329358924</v>
      </c>
      <c r="G28" s="5">
        <v>33.19</v>
      </c>
      <c r="H28" s="5">
        <v>4.3330000000000002</v>
      </c>
      <c r="I28" s="5">
        <v>51.09</v>
      </c>
    </row>
    <row r="29" spans="1:9" ht="15.75" customHeight="1">
      <c r="A29" s="5" t="s">
        <v>918</v>
      </c>
      <c r="B29" s="5">
        <v>932</v>
      </c>
      <c r="C29" s="5">
        <v>13364.65</v>
      </c>
      <c r="D29" s="6">
        <f t="shared" si="0"/>
        <v>406.3302817126845</v>
      </c>
      <c r="E29" s="7">
        <f t="shared" si="1"/>
        <v>392.64999999999964</v>
      </c>
      <c r="F29" s="8">
        <f t="shared" si="2"/>
        <v>-13.680281712684859</v>
      </c>
      <c r="G29" s="5">
        <v>33.630000000000003</v>
      </c>
      <c r="H29" s="5">
        <v>2.222</v>
      </c>
      <c r="I29" s="5">
        <v>51.37</v>
      </c>
    </row>
    <row r="30" spans="1:9" ht="15.75" customHeight="1">
      <c r="A30" s="5" t="s">
        <v>919</v>
      </c>
      <c r="B30" s="5">
        <v>923</v>
      </c>
      <c r="C30" s="5">
        <v>12972</v>
      </c>
      <c r="D30" s="6">
        <f t="shared" si="0"/>
        <v>401.95651860736245</v>
      </c>
      <c r="E30" s="7">
        <f t="shared" si="1"/>
        <v>389.35000000000036</v>
      </c>
      <c r="F30" s="8">
        <f t="shared" si="2"/>
        <v>-12.606518607362091</v>
      </c>
      <c r="G30" s="5">
        <v>32.880000000000003</v>
      </c>
      <c r="H30" s="5">
        <v>1.889</v>
      </c>
      <c r="I30" s="5">
        <v>51.66</v>
      </c>
    </row>
    <row r="31" spans="1:9" ht="15.75" customHeight="1">
      <c r="A31" s="5" t="s">
        <v>920</v>
      </c>
      <c r="B31" s="5">
        <v>971</v>
      </c>
      <c r="C31" s="5">
        <v>12582.65</v>
      </c>
      <c r="D31" s="6">
        <f t="shared" si="0"/>
        <v>423.33337290023246</v>
      </c>
      <c r="E31" s="7">
        <f t="shared" si="1"/>
        <v>411</v>
      </c>
      <c r="F31" s="8">
        <f t="shared" si="2"/>
        <v>-12.333372900232462</v>
      </c>
      <c r="G31" s="5">
        <v>32.81</v>
      </c>
      <c r="H31" s="5">
        <v>1.111</v>
      </c>
      <c r="I31" s="5">
        <v>51.37</v>
      </c>
    </row>
    <row r="32" spans="1:9" ht="15.75" customHeight="1">
      <c r="A32" s="5" t="s">
        <v>921</v>
      </c>
      <c r="B32" s="5">
        <v>963</v>
      </c>
      <c r="C32" s="5">
        <v>12171.65</v>
      </c>
      <c r="D32" s="6">
        <f t="shared" si="0"/>
        <v>419.84555932329948</v>
      </c>
      <c r="E32" s="7">
        <f t="shared" si="1"/>
        <v>409.64999999999964</v>
      </c>
      <c r="F32" s="8">
        <f t="shared" si="2"/>
        <v>-10.195559323299847</v>
      </c>
      <c r="G32" s="5">
        <v>32.94</v>
      </c>
      <c r="H32" s="5">
        <v>4.444</v>
      </c>
      <c r="I32" s="5">
        <v>51.37</v>
      </c>
    </row>
    <row r="33" spans="1:9" ht="15.75" customHeight="1">
      <c r="A33" s="5" t="s">
        <v>922</v>
      </c>
      <c r="B33" s="5">
        <v>941</v>
      </c>
      <c r="C33" s="5">
        <v>11762</v>
      </c>
      <c r="D33" s="6">
        <f t="shared" si="0"/>
        <v>410.254071986734</v>
      </c>
      <c r="E33" s="7">
        <f t="shared" si="1"/>
        <v>414</v>
      </c>
      <c r="F33" s="8">
        <f t="shared" si="2"/>
        <v>3.7459280132659956</v>
      </c>
      <c r="G33" s="5">
        <v>31.87</v>
      </c>
      <c r="H33" s="5">
        <v>2.1110000000000002</v>
      </c>
      <c r="I33" s="5">
        <v>51.37</v>
      </c>
    </row>
    <row r="34" spans="1:9" ht="15.75" customHeight="1">
      <c r="A34" s="5" t="s">
        <v>923</v>
      </c>
      <c r="B34" s="5">
        <v>986</v>
      </c>
      <c r="C34" s="5">
        <v>11348</v>
      </c>
      <c r="D34" s="6">
        <f t="shared" si="0"/>
        <v>430.33713401285547</v>
      </c>
      <c r="E34" s="7">
        <f t="shared" si="1"/>
        <v>427.35000000000036</v>
      </c>
      <c r="F34" s="8">
        <f t="shared" si="2"/>
        <v>-2.9871340128551083</v>
      </c>
      <c r="G34" s="5">
        <v>32.56</v>
      </c>
      <c r="H34" s="5">
        <v>1.444</v>
      </c>
      <c r="I34" s="5">
        <v>51.09</v>
      </c>
    </row>
    <row r="35" spans="1:9" ht="15.75" customHeight="1">
      <c r="A35" s="5" t="s">
        <v>924</v>
      </c>
      <c r="B35" s="5">
        <v>1027</v>
      </c>
      <c r="C35" s="5">
        <v>10920.65</v>
      </c>
      <c r="D35" s="6">
        <f t="shared" si="0"/>
        <v>448.73215130895227</v>
      </c>
      <c r="E35" s="7">
        <f t="shared" si="1"/>
        <v>423</v>
      </c>
      <c r="F35" s="8">
        <f t="shared" si="2"/>
        <v>-25.732151308952268</v>
      </c>
      <c r="G35" s="5">
        <v>32.380000000000003</v>
      </c>
      <c r="H35" s="5">
        <v>4.556</v>
      </c>
      <c r="I35" s="5">
        <v>50.8</v>
      </c>
    </row>
    <row r="36" spans="1:9" ht="15.75" customHeight="1">
      <c r="A36" s="5" t="s">
        <v>925</v>
      </c>
      <c r="B36" s="5">
        <v>996</v>
      </c>
      <c r="C36" s="5">
        <v>10497.65</v>
      </c>
      <c r="D36" s="6">
        <f t="shared" si="0"/>
        <v>436.14154794588637</v>
      </c>
      <c r="E36" s="7">
        <f t="shared" si="1"/>
        <v>421</v>
      </c>
      <c r="F36" s="8">
        <f t="shared" si="2"/>
        <v>-15.141547945886373</v>
      </c>
      <c r="G36" s="5">
        <v>32.31</v>
      </c>
      <c r="H36" s="5">
        <v>1.889</v>
      </c>
      <c r="I36" s="5">
        <v>50.23</v>
      </c>
    </row>
    <row r="37" spans="1:9" ht="15.75" customHeight="1">
      <c r="A37" s="5" t="s">
        <v>926</v>
      </c>
      <c r="B37" s="5">
        <v>1039</v>
      </c>
      <c r="C37" s="5">
        <v>10076.65</v>
      </c>
      <c r="D37" s="6">
        <f t="shared" si="0"/>
        <v>454.48189434389496</v>
      </c>
      <c r="E37" s="7">
        <f t="shared" si="1"/>
        <v>434.64999999999964</v>
      </c>
      <c r="F37" s="8">
        <f t="shared" si="2"/>
        <v>-19.831894343895328</v>
      </c>
      <c r="G37" s="5">
        <v>31.19</v>
      </c>
      <c r="H37" s="5">
        <v>1.111</v>
      </c>
      <c r="I37" s="5">
        <v>50.51</v>
      </c>
    </row>
    <row r="38" spans="1:9" ht="15.75" customHeight="1">
      <c r="A38" s="5" t="s">
        <v>927</v>
      </c>
      <c r="B38" s="5">
        <v>1033</v>
      </c>
      <c r="C38" s="5">
        <v>9642</v>
      </c>
      <c r="D38" s="6">
        <f t="shared" si="0"/>
        <v>452.34359340170732</v>
      </c>
      <c r="E38" s="7">
        <f t="shared" si="1"/>
        <v>436</v>
      </c>
      <c r="F38" s="8">
        <f t="shared" si="2"/>
        <v>-16.343593401707324</v>
      </c>
      <c r="G38" s="5">
        <v>31.81</v>
      </c>
      <c r="H38" s="5">
        <v>2.1110000000000002</v>
      </c>
      <c r="I38" s="5">
        <v>50.23</v>
      </c>
    </row>
    <row r="39" spans="1:9" ht="15.75" customHeight="1">
      <c r="A39" s="5" t="s">
        <v>928</v>
      </c>
      <c r="B39" s="5">
        <v>1030</v>
      </c>
      <c r="C39" s="5">
        <v>9206</v>
      </c>
      <c r="D39" s="6">
        <f t="shared" si="0"/>
        <v>450.54509256420766</v>
      </c>
      <c r="E39" s="7">
        <f t="shared" si="1"/>
        <v>441</v>
      </c>
      <c r="F39" s="8">
        <f t="shared" si="2"/>
        <v>-9.5450925642076641</v>
      </c>
      <c r="G39" s="5">
        <v>31.75</v>
      </c>
      <c r="H39" s="5">
        <v>1.667</v>
      </c>
      <c r="I39" s="5">
        <v>50.51</v>
      </c>
    </row>
    <row r="40" spans="1:9" ht="15.75" customHeight="1">
      <c r="A40" s="5" t="s">
        <v>929</v>
      </c>
      <c r="B40" s="5">
        <v>1048</v>
      </c>
      <c r="C40" s="5">
        <v>8765</v>
      </c>
      <c r="D40" s="6">
        <f t="shared" si="0"/>
        <v>457.90778439316659</v>
      </c>
      <c r="E40" s="7">
        <f t="shared" si="1"/>
        <v>431.35299999999916</v>
      </c>
      <c r="F40" s="8">
        <f t="shared" si="2"/>
        <v>-26.554784393167438</v>
      </c>
      <c r="G40" s="5">
        <v>31.37</v>
      </c>
      <c r="H40" s="5">
        <v>3.6669999999999998</v>
      </c>
      <c r="I40" s="5">
        <v>50.8</v>
      </c>
    </row>
    <row r="41" spans="1:9" ht="15.75" customHeight="1">
      <c r="A41" s="5" t="s">
        <v>930</v>
      </c>
      <c r="B41" s="5">
        <v>1034</v>
      </c>
      <c r="C41" s="5">
        <v>8333.6470000000008</v>
      </c>
      <c r="D41" s="6">
        <f t="shared" si="0"/>
        <v>451.79069567035714</v>
      </c>
      <c r="E41" s="7">
        <f t="shared" si="1"/>
        <v>434.00000000000091</v>
      </c>
      <c r="F41" s="8">
        <f t="shared" si="2"/>
        <v>-17.790695670356229</v>
      </c>
      <c r="G41" s="5">
        <v>30.94</v>
      </c>
      <c r="H41" s="5">
        <v>1.889</v>
      </c>
      <c r="I41" s="5">
        <v>50.8</v>
      </c>
    </row>
    <row r="42" spans="1:9" ht="15.75" customHeight="1">
      <c r="A42" s="5" t="s">
        <v>931</v>
      </c>
      <c r="B42" s="5">
        <v>1043</v>
      </c>
      <c r="C42" s="5">
        <v>7899.6469999999999</v>
      </c>
      <c r="D42" s="6">
        <f t="shared" si="0"/>
        <v>456.23158402375589</v>
      </c>
      <c r="E42" s="7">
        <f t="shared" si="1"/>
        <v>438</v>
      </c>
      <c r="F42" s="8">
        <f t="shared" si="2"/>
        <v>-18.231584023755886</v>
      </c>
      <c r="G42" s="5">
        <v>31.25</v>
      </c>
      <c r="H42" s="5">
        <v>3.3330000000000002</v>
      </c>
      <c r="I42" s="5">
        <v>50.51</v>
      </c>
    </row>
    <row r="43" spans="1:9" ht="15.75" customHeight="1">
      <c r="A43" s="5" t="s">
        <v>932</v>
      </c>
      <c r="B43" s="5">
        <v>1011</v>
      </c>
      <c r="C43" s="5">
        <v>7461.6469999999999</v>
      </c>
      <c r="D43" s="6">
        <f t="shared" si="0"/>
        <v>441.24831895232933</v>
      </c>
      <c r="E43" s="7">
        <f t="shared" si="1"/>
        <v>435</v>
      </c>
      <c r="F43" s="8">
        <f t="shared" si="2"/>
        <v>-6.2483189523293277</v>
      </c>
      <c r="G43" s="5">
        <v>31.25</v>
      </c>
      <c r="H43" s="5">
        <v>3.444</v>
      </c>
      <c r="I43" s="5">
        <v>51.09</v>
      </c>
    </row>
    <row r="44" spans="1:9" ht="15.75" customHeight="1">
      <c r="A44" s="5" t="s">
        <v>933</v>
      </c>
      <c r="B44" s="5">
        <v>1008</v>
      </c>
      <c r="C44" s="5">
        <v>7026.6469999999999</v>
      </c>
      <c r="D44" s="6">
        <f t="shared" si="0"/>
        <v>440.43038804228229</v>
      </c>
      <c r="E44" s="7">
        <f t="shared" si="1"/>
        <v>431</v>
      </c>
      <c r="F44" s="8">
        <f t="shared" si="2"/>
        <v>-9.4303880422822886</v>
      </c>
      <c r="G44" s="5">
        <v>31.44</v>
      </c>
      <c r="H44" s="5">
        <v>4.7779999999999996</v>
      </c>
      <c r="I44" s="5">
        <v>50.8</v>
      </c>
    </row>
    <row r="45" spans="1:9" ht="15.75" customHeight="1">
      <c r="A45" s="5" t="s">
        <v>934</v>
      </c>
      <c r="B45" s="5">
        <v>1027</v>
      </c>
      <c r="C45" s="5">
        <v>6595.6469999999999</v>
      </c>
      <c r="D45" s="6">
        <f t="shared" si="0"/>
        <v>449.23282530431186</v>
      </c>
      <c r="E45" s="7">
        <f t="shared" si="1"/>
        <v>423.64699999999993</v>
      </c>
      <c r="F45" s="8">
        <f t="shared" si="2"/>
        <v>-25.585825304311925</v>
      </c>
      <c r="G45" s="5">
        <v>30.94</v>
      </c>
      <c r="H45" s="5">
        <v>2.3330000000000002</v>
      </c>
      <c r="I45" s="5">
        <v>50.51</v>
      </c>
    </row>
    <row r="46" spans="1:9" ht="15.75" customHeight="1">
      <c r="A46" s="5" t="s">
        <v>935</v>
      </c>
      <c r="B46" s="5">
        <v>994</v>
      </c>
      <c r="C46" s="5">
        <v>6172</v>
      </c>
      <c r="D46" s="6">
        <f t="shared" si="0"/>
        <v>434.79788544545863</v>
      </c>
      <c r="E46" s="7">
        <f t="shared" si="1"/>
        <v>407.35300000000007</v>
      </c>
      <c r="F46" s="8">
        <f t="shared" si="2"/>
        <v>-27.444885445458567</v>
      </c>
      <c r="G46" s="5">
        <v>30.56</v>
      </c>
      <c r="H46" s="5">
        <v>2.3330000000000002</v>
      </c>
      <c r="I46" s="5">
        <v>50.51</v>
      </c>
    </row>
    <row r="47" spans="1:9" ht="15.75" customHeight="1">
      <c r="A47" s="5" t="s">
        <v>936</v>
      </c>
      <c r="B47" s="5">
        <v>957</v>
      </c>
      <c r="C47" s="5">
        <v>5764.6469999999999</v>
      </c>
      <c r="D47" s="6">
        <f t="shared" si="0"/>
        <v>418.14670769490493</v>
      </c>
      <c r="E47" s="7">
        <f t="shared" si="1"/>
        <v>401</v>
      </c>
      <c r="F47" s="8">
        <f t="shared" si="2"/>
        <v>-17.146707694904933</v>
      </c>
      <c r="G47" s="5">
        <v>30.37</v>
      </c>
      <c r="H47" s="5">
        <v>0.55600000000000005</v>
      </c>
      <c r="I47" s="5">
        <v>50.8</v>
      </c>
    </row>
    <row r="48" spans="1:9" ht="15.75" customHeight="1">
      <c r="A48" s="5" t="s">
        <v>937</v>
      </c>
      <c r="B48" s="5">
        <v>964</v>
      </c>
      <c r="C48" s="5">
        <v>5363.6469999999999</v>
      </c>
      <c r="D48" s="6">
        <f t="shared" si="0"/>
        <v>420.73529126611822</v>
      </c>
      <c r="E48" s="7">
        <f t="shared" si="1"/>
        <v>407</v>
      </c>
      <c r="F48" s="8">
        <f t="shared" si="2"/>
        <v>-13.735291266118224</v>
      </c>
      <c r="G48" s="5">
        <v>30</v>
      </c>
      <c r="H48" s="5">
        <v>1.889</v>
      </c>
      <c r="I48" s="5">
        <v>51.09</v>
      </c>
    </row>
    <row r="49" spans="1:9" ht="15.75" customHeight="1">
      <c r="A49" s="5" t="s">
        <v>938</v>
      </c>
      <c r="B49" s="5">
        <v>942</v>
      </c>
      <c r="C49" s="5">
        <v>4956.6469999999999</v>
      </c>
      <c r="D49" s="6">
        <f t="shared" si="0"/>
        <v>411.13344851938103</v>
      </c>
      <c r="E49" s="7">
        <f t="shared" si="1"/>
        <v>395.64699999999993</v>
      </c>
      <c r="F49" s="8">
        <f t="shared" si="2"/>
        <v>-15.486448519381099</v>
      </c>
      <c r="G49" s="5">
        <v>29.75</v>
      </c>
      <c r="H49" s="5">
        <v>1.667</v>
      </c>
      <c r="I49" s="5">
        <v>51.09</v>
      </c>
    </row>
    <row r="50" spans="1:9" ht="15.75" customHeight="1">
      <c r="A50" s="5" t="s">
        <v>939</v>
      </c>
      <c r="B50" s="5">
        <v>897</v>
      </c>
      <c r="C50" s="5">
        <v>4561</v>
      </c>
      <c r="D50" s="6">
        <f t="shared" si="0"/>
        <v>391.07109731360305</v>
      </c>
      <c r="E50" s="7">
        <f t="shared" si="1"/>
        <v>388</v>
      </c>
      <c r="F50" s="8">
        <f t="shared" si="2"/>
        <v>-3.0710973136030475</v>
      </c>
      <c r="G50" s="5">
        <v>28.69</v>
      </c>
      <c r="H50" s="5">
        <v>0.66700000000000004</v>
      </c>
      <c r="I50" s="5">
        <v>51.37</v>
      </c>
    </row>
    <row r="51" spans="1:9" ht="15.75" customHeight="1">
      <c r="A51" s="5" t="s">
        <v>940</v>
      </c>
      <c r="B51" s="5">
        <v>905</v>
      </c>
      <c r="C51" s="5">
        <v>4173</v>
      </c>
      <c r="D51" s="6">
        <f t="shared" si="0"/>
        <v>394.98489480895961</v>
      </c>
      <c r="E51" s="7">
        <f t="shared" si="1"/>
        <v>379</v>
      </c>
      <c r="F51" s="8">
        <f t="shared" si="2"/>
        <v>-15.984894808959609</v>
      </c>
      <c r="G51" s="5">
        <v>28.25</v>
      </c>
      <c r="H51" s="5">
        <v>1.444</v>
      </c>
      <c r="I51" s="5">
        <v>51.09</v>
      </c>
    </row>
    <row r="52" spans="1:9" ht="15.75" customHeight="1">
      <c r="A52" s="5" t="s">
        <v>941</v>
      </c>
      <c r="B52" s="5">
        <v>863</v>
      </c>
      <c r="C52" s="5">
        <v>3794</v>
      </c>
      <c r="D52" s="6">
        <f t="shared" si="0"/>
        <v>377.49554843001084</v>
      </c>
      <c r="E52" s="7">
        <f t="shared" si="1"/>
        <v>367.35300000000007</v>
      </c>
      <c r="F52" s="8">
        <f t="shared" si="2"/>
        <v>-10.142548430010777</v>
      </c>
      <c r="G52" s="5">
        <v>28.25</v>
      </c>
      <c r="H52" s="5">
        <v>2.778</v>
      </c>
      <c r="I52" s="5">
        <v>50.51</v>
      </c>
    </row>
    <row r="53" spans="1:9" ht="15.75" customHeight="1">
      <c r="A53" s="5" t="s">
        <v>942</v>
      </c>
      <c r="B53" s="5">
        <v>843</v>
      </c>
      <c r="C53" s="5">
        <v>3426.6469999999999</v>
      </c>
      <c r="D53" s="6">
        <f t="shared" si="0"/>
        <v>368.74710003070589</v>
      </c>
      <c r="E53" s="7">
        <f t="shared" si="1"/>
        <v>359</v>
      </c>
      <c r="F53" s="8">
        <f t="shared" si="2"/>
        <v>-9.7471000307058944</v>
      </c>
      <c r="G53" s="5">
        <v>28.19</v>
      </c>
      <c r="H53" s="5">
        <v>1</v>
      </c>
      <c r="I53" s="5">
        <v>50.51</v>
      </c>
    </row>
    <row r="54" spans="1:9" ht="15.75" customHeight="1">
      <c r="A54" s="5" t="s">
        <v>943</v>
      </c>
      <c r="B54" s="5">
        <v>805</v>
      </c>
      <c r="C54" s="5">
        <v>3067.6469999999999</v>
      </c>
      <c r="D54" s="6">
        <f t="shared" si="0"/>
        <v>351.73260156154487</v>
      </c>
      <c r="E54" s="7">
        <f t="shared" si="1"/>
        <v>344.64699999999993</v>
      </c>
      <c r="F54" s="8">
        <f t="shared" si="2"/>
        <v>-7.0856015615449337</v>
      </c>
      <c r="G54" s="5">
        <v>26.81</v>
      </c>
      <c r="H54" s="5">
        <v>0.88900000000000001</v>
      </c>
      <c r="I54" s="5">
        <v>50.8</v>
      </c>
    </row>
    <row r="55" spans="1:9" ht="15.75" customHeight="1">
      <c r="A55" s="5" t="s">
        <v>944</v>
      </c>
      <c r="B55" s="5">
        <v>768</v>
      </c>
      <c r="C55" s="5">
        <v>2723</v>
      </c>
      <c r="D55" s="6">
        <f t="shared" si="0"/>
        <v>335.9404185333122</v>
      </c>
      <c r="E55" s="7">
        <f t="shared" si="1"/>
        <v>334</v>
      </c>
      <c r="F55" s="8">
        <f t="shared" si="2"/>
        <v>-1.9404185333121973</v>
      </c>
      <c r="G55" s="5">
        <v>26.81</v>
      </c>
      <c r="H55" s="5">
        <v>1.111</v>
      </c>
      <c r="I55" s="5">
        <v>50.51</v>
      </c>
    </row>
    <row r="56" spans="1:9" ht="15.75" customHeight="1">
      <c r="A56" s="5" t="s">
        <v>945</v>
      </c>
      <c r="B56" s="5">
        <v>746</v>
      </c>
      <c r="C56" s="5">
        <v>2389</v>
      </c>
      <c r="D56" s="6">
        <f t="shared" si="0"/>
        <v>325.95344194399064</v>
      </c>
      <c r="E56" s="7">
        <f t="shared" si="1"/>
        <v>319</v>
      </c>
      <c r="F56" s="8">
        <f t="shared" si="2"/>
        <v>-6.9534419439906401</v>
      </c>
      <c r="G56" s="5">
        <v>25.81</v>
      </c>
      <c r="H56" s="5">
        <v>2.6669999999999998</v>
      </c>
      <c r="I56" s="5">
        <v>50.8</v>
      </c>
    </row>
    <row r="57" spans="1:9" ht="15.75" customHeight="1">
      <c r="A57" s="5" t="s">
        <v>946</v>
      </c>
      <c r="B57" s="5">
        <v>707</v>
      </c>
      <c r="C57" s="5">
        <v>2070</v>
      </c>
      <c r="D57" s="6">
        <f t="shared" si="0"/>
        <v>308.56831008832529</v>
      </c>
      <c r="E57" s="7">
        <f t="shared" si="1"/>
        <v>54.353000000000065</v>
      </c>
      <c r="F57" s="8">
        <f t="shared" si="2"/>
        <v>-254.21531008832523</v>
      </c>
      <c r="G57" s="5">
        <v>26</v>
      </c>
      <c r="H57" s="5">
        <v>0.88900000000000001</v>
      </c>
      <c r="I57" s="5">
        <v>51.09</v>
      </c>
    </row>
    <row r="58" spans="1:9" ht="15.75" customHeight="1">
      <c r="A58" s="5" t="s">
        <v>947</v>
      </c>
      <c r="B58" s="5">
        <v>666</v>
      </c>
      <c r="C58" s="5">
        <v>2015.6469999999999</v>
      </c>
      <c r="D58" s="6">
        <f t="shared" si="0"/>
        <v>290.67396678758797</v>
      </c>
      <c r="E58" s="7">
        <f t="shared" si="1"/>
        <v>0</v>
      </c>
      <c r="F58" s="8">
        <f t="shared" si="2"/>
        <v>-290.67396678758797</v>
      </c>
      <c r="G58" s="5">
        <v>25.62</v>
      </c>
      <c r="H58" s="5">
        <v>0.55600000000000005</v>
      </c>
      <c r="I58" s="5">
        <v>51.09</v>
      </c>
    </row>
    <row r="59" spans="1:9" ht="15.75" customHeight="1">
      <c r="A59" s="5" t="s">
        <v>948</v>
      </c>
      <c r="B59" s="5">
        <v>625</v>
      </c>
      <c r="C59" s="5">
        <v>2015.6469999999999</v>
      </c>
      <c r="D59" s="6">
        <f t="shared" si="0"/>
        <v>273.68320026724797</v>
      </c>
      <c r="E59" s="7">
        <f t="shared" si="1"/>
        <v>239</v>
      </c>
      <c r="F59" s="8">
        <f t="shared" si="2"/>
        <v>-34.683200267247969</v>
      </c>
      <c r="G59" s="5">
        <v>25.12</v>
      </c>
      <c r="H59" s="5">
        <v>1.889</v>
      </c>
      <c r="I59" s="5">
        <v>50.23</v>
      </c>
    </row>
    <row r="60" spans="1:9" ht="15.75" customHeight="1">
      <c r="A60" s="5" t="s">
        <v>949</v>
      </c>
      <c r="B60" s="5">
        <v>583</v>
      </c>
      <c r="C60" s="5">
        <v>1776.6469999999999</v>
      </c>
      <c r="D60" s="6">
        <f t="shared" si="0"/>
        <v>258.38869652275969</v>
      </c>
      <c r="E60" s="7">
        <f t="shared" si="1"/>
        <v>256.64699999999993</v>
      </c>
      <c r="F60" s="8">
        <f t="shared" si="2"/>
        <v>-1.741696522759753</v>
      </c>
      <c r="G60" s="5">
        <v>24.94</v>
      </c>
      <c r="H60" s="5">
        <v>0.55600000000000005</v>
      </c>
      <c r="I60" s="5">
        <v>47.07</v>
      </c>
    </row>
    <row r="61" spans="1:9" ht="15.75" customHeight="1">
      <c r="A61" s="5" t="s">
        <v>950</v>
      </c>
      <c r="B61" s="5">
        <v>544</v>
      </c>
      <c r="C61" s="5">
        <v>1520</v>
      </c>
      <c r="D61" s="6">
        <f t="shared" si="0"/>
        <v>243.72831515777216</v>
      </c>
      <c r="E61" s="7">
        <f t="shared" si="1"/>
        <v>238.35300000000007</v>
      </c>
      <c r="F61" s="8">
        <f t="shared" si="2"/>
        <v>-5.3753151577720928</v>
      </c>
      <c r="G61" s="5">
        <v>24.81</v>
      </c>
      <c r="H61" s="5">
        <v>1.556</v>
      </c>
      <c r="I61" s="5">
        <v>44.2</v>
      </c>
    </row>
    <row r="62" spans="1:9" ht="15.75" customHeight="1">
      <c r="A62" s="5" t="s">
        <v>951</v>
      </c>
      <c r="B62" s="5">
        <v>505</v>
      </c>
      <c r="C62" s="5">
        <v>1281.6469999999999</v>
      </c>
      <c r="D62" s="6">
        <f t="shared" si="0"/>
        <v>227.9615187345774</v>
      </c>
      <c r="E62" s="7">
        <f t="shared" si="1"/>
        <v>217.64699999999993</v>
      </c>
      <c r="F62" s="8">
        <f t="shared" si="2"/>
        <v>-10.314518734577462</v>
      </c>
      <c r="G62" s="5">
        <v>24.56</v>
      </c>
      <c r="H62" s="5">
        <v>1.444</v>
      </c>
      <c r="I62" s="5">
        <v>42.19</v>
      </c>
    </row>
    <row r="63" spans="1:9" ht="15.75" customHeight="1">
      <c r="A63" s="5" t="s">
        <v>952</v>
      </c>
      <c r="B63" s="5">
        <v>456</v>
      </c>
      <c r="C63" s="5">
        <v>1064</v>
      </c>
      <c r="D63" s="6">
        <f t="shared" si="0"/>
        <v>207.16097952105946</v>
      </c>
      <c r="E63" s="7">
        <f t="shared" si="1"/>
        <v>196.35299999999995</v>
      </c>
      <c r="F63" s="8">
        <f t="shared" si="2"/>
        <v>-10.807979521059508</v>
      </c>
      <c r="G63" s="5">
        <v>24.31</v>
      </c>
      <c r="H63" s="5">
        <v>0.77800000000000002</v>
      </c>
      <c r="I63" s="5">
        <v>40.47</v>
      </c>
    </row>
    <row r="64" spans="1:9" ht="15.75" customHeight="1">
      <c r="A64" s="5" t="s">
        <v>953</v>
      </c>
      <c r="B64" s="5">
        <v>414</v>
      </c>
      <c r="C64" s="5">
        <v>867.64700000000005</v>
      </c>
      <c r="D64" s="6">
        <f t="shared" si="0"/>
        <v>189.47925113885742</v>
      </c>
      <c r="E64" s="7">
        <f t="shared" si="1"/>
        <v>175.64700000000005</v>
      </c>
      <c r="F64" s="8">
        <f t="shared" si="2"/>
        <v>-13.832251138857373</v>
      </c>
      <c r="G64" s="5">
        <v>23.88</v>
      </c>
      <c r="H64" s="5">
        <v>1</v>
      </c>
      <c r="I64" s="5">
        <v>38.46</v>
      </c>
    </row>
    <row r="65" spans="1:26" ht="15.75" customHeight="1">
      <c r="A65" s="5" t="s">
        <v>954</v>
      </c>
      <c r="B65" s="5">
        <v>366</v>
      </c>
      <c r="C65" s="5">
        <v>692</v>
      </c>
      <c r="D65" s="6">
        <f t="shared" si="0"/>
        <v>169.27647509565688</v>
      </c>
      <c r="E65" s="7">
        <f t="shared" si="1"/>
        <v>152</v>
      </c>
      <c r="F65" s="8">
        <f t="shared" si="2"/>
        <v>-17.276475095656878</v>
      </c>
      <c r="G65" s="5">
        <v>23.56</v>
      </c>
      <c r="H65" s="5">
        <v>0.66700000000000004</v>
      </c>
      <c r="I65" s="5">
        <v>35.590000000000003</v>
      </c>
    </row>
    <row r="66" spans="1:26" ht="15.75" customHeight="1">
      <c r="A66" s="5" t="s">
        <v>955</v>
      </c>
      <c r="B66" s="5">
        <v>318</v>
      </c>
      <c r="C66" s="5">
        <v>540</v>
      </c>
      <c r="D66" s="6">
        <f t="shared" si="0"/>
        <v>147.99576137222121</v>
      </c>
      <c r="E66" s="7">
        <f t="shared" si="1"/>
        <v>130.35300000000001</v>
      </c>
      <c r="F66" s="8">
        <f t="shared" si="2"/>
        <v>-17.642761372221202</v>
      </c>
      <c r="G66" s="5">
        <v>23.56</v>
      </c>
      <c r="H66" s="5">
        <v>0.88900000000000001</v>
      </c>
      <c r="I66" s="5">
        <v>33.869999999999997</v>
      </c>
    </row>
    <row r="67" spans="1:26" ht="15.75" customHeight="1">
      <c r="A67" s="5" t="s">
        <v>956</v>
      </c>
      <c r="B67" s="5">
        <v>271</v>
      </c>
      <c r="C67" s="5">
        <v>409.64699999999999</v>
      </c>
      <c r="D67" s="6">
        <f t="shared" si="0"/>
        <v>126.5185205996239</v>
      </c>
      <c r="E67" s="7">
        <f t="shared" si="1"/>
        <v>108.64699999999999</v>
      </c>
      <c r="F67" s="8">
        <f t="shared" si="2"/>
        <v>-17.871520599623906</v>
      </c>
      <c r="G67" s="5">
        <v>23.38</v>
      </c>
      <c r="H67" s="5">
        <v>2.6669999999999998</v>
      </c>
      <c r="I67" s="5">
        <v>33</v>
      </c>
    </row>
    <row r="68" spans="1:26" ht="15.75" customHeight="1">
      <c r="A68" s="5" t="s">
        <v>957</v>
      </c>
      <c r="B68" s="5">
        <v>228</v>
      </c>
      <c r="C68" s="5">
        <v>301</v>
      </c>
      <c r="D68" s="6">
        <f t="shared" si="0"/>
        <v>107.10287580611542</v>
      </c>
      <c r="E68" s="7">
        <f t="shared" si="1"/>
        <v>89.353000000000009</v>
      </c>
      <c r="F68" s="8">
        <f t="shared" si="2"/>
        <v>-17.749875806115412</v>
      </c>
      <c r="G68" s="5">
        <v>23.31</v>
      </c>
      <c r="H68" s="5">
        <v>0.66700000000000004</v>
      </c>
      <c r="I68" s="5">
        <v>31.28</v>
      </c>
    </row>
    <row r="69" spans="1:26" ht="15.75" customHeight="1">
      <c r="A69" s="5" t="s">
        <v>958</v>
      </c>
      <c r="B69" s="5">
        <v>189</v>
      </c>
      <c r="C69" s="5">
        <v>211.64699999999999</v>
      </c>
      <c r="D69" s="6">
        <f t="shared" si="0"/>
        <v>89.875613523374909</v>
      </c>
      <c r="E69" s="7">
        <f t="shared" si="1"/>
        <v>70</v>
      </c>
      <c r="F69" s="8">
        <f t="shared" si="2"/>
        <v>-19.875613523374909</v>
      </c>
      <c r="G69" s="5">
        <v>22.94</v>
      </c>
      <c r="H69" s="5">
        <v>1.778</v>
      </c>
      <c r="I69" s="5">
        <v>27.84</v>
      </c>
    </row>
    <row r="70" spans="1:26" ht="15.75" customHeight="1">
      <c r="A70" s="5" t="s">
        <v>959</v>
      </c>
      <c r="B70" s="5">
        <v>149</v>
      </c>
      <c r="C70" s="5">
        <v>141.64699999999999</v>
      </c>
      <c r="D70" s="6">
        <f t="shared" si="0"/>
        <v>71.357784232665992</v>
      </c>
      <c r="E70" s="7">
        <f t="shared" si="1"/>
        <v>52.999999999999986</v>
      </c>
      <c r="F70" s="8">
        <f t="shared" si="2"/>
        <v>-18.357784232666006</v>
      </c>
      <c r="G70" s="5">
        <v>22.63</v>
      </c>
      <c r="H70" s="5">
        <v>2.222</v>
      </c>
      <c r="I70" s="5">
        <v>25.83</v>
      </c>
    </row>
    <row r="71" spans="1:26" ht="15.75" customHeight="1">
      <c r="A71" s="5" t="s">
        <v>960</v>
      </c>
      <c r="B71" s="5">
        <v>110</v>
      </c>
      <c r="C71" s="5">
        <v>88.647000000000006</v>
      </c>
      <c r="D71" s="6">
        <f t="shared" si="0"/>
        <v>53.105554882435065</v>
      </c>
      <c r="E71" s="7">
        <f t="shared" si="1"/>
        <v>38.000000000000007</v>
      </c>
      <c r="F71" s="8">
        <f t="shared" si="2"/>
        <v>-15.105554882435058</v>
      </c>
      <c r="G71" s="5">
        <v>22.19</v>
      </c>
      <c r="H71" s="5">
        <v>1.667</v>
      </c>
      <c r="I71" s="5">
        <v>23.53</v>
      </c>
    </row>
    <row r="72" spans="1:26" ht="15.75" customHeight="1">
      <c r="A72" s="5" t="s">
        <v>961</v>
      </c>
      <c r="B72" s="5">
        <v>77</v>
      </c>
      <c r="C72" s="5">
        <v>50.646999999999998</v>
      </c>
      <c r="D72" s="6">
        <f t="shared" si="0"/>
        <v>37.358991374522333</v>
      </c>
      <c r="E72" s="7">
        <f t="shared" si="1"/>
        <v>25.646999999999998</v>
      </c>
      <c r="F72" s="8">
        <f t="shared" si="2"/>
        <v>-11.711991374522334</v>
      </c>
      <c r="G72" s="5">
        <v>21.63</v>
      </c>
      <c r="H72" s="5">
        <v>0.66700000000000004</v>
      </c>
      <c r="I72" s="5">
        <v>22.1</v>
      </c>
    </row>
    <row r="73" spans="1:26" ht="15.75" customHeight="1">
      <c r="A73" s="5" t="s">
        <v>962</v>
      </c>
      <c r="B73" s="5">
        <v>42</v>
      </c>
      <c r="C73" s="5">
        <v>25</v>
      </c>
      <c r="D73" s="6">
        <f t="shared" si="0"/>
        <v>20.479302958697222</v>
      </c>
      <c r="E73" s="7">
        <f t="shared" si="1"/>
        <v>15.353</v>
      </c>
      <c r="F73" s="8">
        <f t="shared" si="2"/>
        <v>-5.126302958697222</v>
      </c>
      <c r="G73" s="5">
        <v>21.19</v>
      </c>
      <c r="H73" s="5">
        <v>1.333</v>
      </c>
      <c r="I73" s="5">
        <v>20.66</v>
      </c>
    </row>
    <row r="74" spans="1:26" ht="15.75" customHeight="1">
      <c r="A74" s="5" t="s">
        <v>963</v>
      </c>
      <c r="B74" s="5">
        <v>25</v>
      </c>
      <c r="C74" s="5">
        <v>9.6470000000000002</v>
      </c>
      <c r="D74" s="6">
        <f t="shared" si="0"/>
        <v>12.226204356154717</v>
      </c>
      <c r="E74" s="7">
        <f t="shared" si="1"/>
        <v>9.6470000000000002</v>
      </c>
      <c r="F74" s="8">
        <f t="shared" si="2"/>
        <v>-2.5792043561547171</v>
      </c>
      <c r="G74" s="5">
        <v>20.94</v>
      </c>
      <c r="H74" s="5">
        <v>1.111</v>
      </c>
      <c r="I74" s="5">
        <v>19.8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7.3456666666666663</v>
      </c>
      <c r="C76" s="11"/>
      <c r="D76" s="16">
        <f>SUM(D2:D75)</f>
        <v>19344.86422493005</v>
      </c>
      <c r="E76" s="15">
        <f>SUM(E1:E74)</f>
        <v>18303.650000000001</v>
      </c>
      <c r="F76" s="11"/>
      <c r="G76" s="17">
        <f t="shared" ref="G76:I76" si="3">AVERAGE(G1:G74)</f>
        <v>29.893561643835618</v>
      </c>
      <c r="H76" s="17">
        <f t="shared" si="3"/>
        <v>2.4931780821917813</v>
      </c>
      <c r="I76" s="17">
        <f t="shared" si="3"/>
        <v>46.604794520547969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964</v>
      </c>
      <c r="B2" s="5">
        <v>0</v>
      </c>
      <c r="C2" s="5">
        <v>18021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31.75</v>
      </c>
      <c r="H2" s="5">
        <v>3</v>
      </c>
      <c r="I2" s="5">
        <v>42.48</v>
      </c>
    </row>
    <row r="3" spans="1:26" ht="15.75" customHeight="1">
      <c r="A3" s="5" t="s">
        <v>965</v>
      </c>
      <c r="B3" s="5">
        <v>4</v>
      </c>
      <c r="C3" s="5">
        <v>18021</v>
      </c>
      <c r="D3" s="6">
        <f t="shared" si="0"/>
        <v>1.8036857471844701</v>
      </c>
      <c r="E3" s="7">
        <f t="shared" si="1"/>
        <v>3</v>
      </c>
      <c r="F3" s="8">
        <f t="shared" si="2"/>
        <v>1.1963142528155299</v>
      </c>
      <c r="G3" s="5">
        <v>31.31</v>
      </c>
      <c r="H3" s="5">
        <v>2.778</v>
      </c>
      <c r="I3" s="5">
        <v>42.48</v>
      </c>
    </row>
    <row r="4" spans="1:26" ht="15.75" customHeight="1">
      <c r="A4" s="5" t="s">
        <v>966</v>
      </c>
      <c r="B4" s="5">
        <v>12</v>
      </c>
      <c r="C4" s="5">
        <v>18018</v>
      </c>
      <c r="D4" s="6">
        <f t="shared" si="0"/>
        <v>5.3937085673697798</v>
      </c>
      <c r="E4" s="7">
        <f t="shared" si="1"/>
        <v>6.6500000000014552</v>
      </c>
      <c r="F4" s="8">
        <f t="shared" si="2"/>
        <v>1.2562914326316754</v>
      </c>
      <c r="G4" s="5">
        <v>31.5</v>
      </c>
      <c r="H4" s="5">
        <v>3.6669999999999998</v>
      </c>
      <c r="I4" s="5">
        <v>43.34</v>
      </c>
    </row>
    <row r="5" spans="1:26" ht="15.75" customHeight="1">
      <c r="A5" s="5" t="s">
        <v>967</v>
      </c>
      <c r="B5" s="5">
        <v>22</v>
      </c>
      <c r="C5" s="5">
        <v>18011.349999999999</v>
      </c>
      <c r="D5" s="6">
        <f t="shared" si="0"/>
        <v>9.8463043940029813</v>
      </c>
      <c r="E5" s="7">
        <f t="shared" si="1"/>
        <v>37</v>
      </c>
      <c r="F5" s="8">
        <f t="shared" si="2"/>
        <v>27.153695605997019</v>
      </c>
      <c r="G5" s="5">
        <v>31.63</v>
      </c>
      <c r="H5" s="5">
        <v>3.8889999999999998</v>
      </c>
      <c r="I5" s="5">
        <v>44.48</v>
      </c>
    </row>
    <row r="6" spans="1:26" ht="15.75" customHeight="1">
      <c r="A6" s="5" t="s">
        <v>968</v>
      </c>
      <c r="B6" s="5">
        <v>40</v>
      </c>
      <c r="C6" s="5">
        <v>17974.349999999999</v>
      </c>
      <c r="D6" s="6">
        <f t="shared" si="0"/>
        <v>17.825042263788749</v>
      </c>
      <c r="E6" s="7">
        <f t="shared" si="1"/>
        <v>33.349999999998545</v>
      </c>
      <c r="F6" s="8">
        <f t="shared" si="2"/>
        <v>15.524957736209796</v>
      </c>
      <c r="G6" s="5">
        <v>31.87</v>
      </c>
      <c r="H6" s="5">
        <v>4</v>
      </c>
      <c r="I6" s="5">
        <v>45.63</v>
      </c>
    </row>
    <row r="7" spans="1:26" ht="15.75" customHeight="1">
      <c r="A7" s="5" t="s">
        <v>969</v>
      </c>
      <c r="B7" s="5">
        <v>53</v>
      </c>
      <c r="C7" s="5">
        <v>17941</v>
      </c>
      <c r="D7" s="6">
        <f t="shared" si="0"/>
        <v>23.489881502069061</v>
      </c>
      <c r="E7" s="7">
        <f t="shared" si="1"/>
        <v>50.650000000001455</v>
      </c>
      <c r="F7" s="8">
        <f t="shared" si="2"/>
        <v>27.160118497932395</v>
      </c>
      <c r="G7" s="5">
        <v>32.19</v>
      </c>
      <c r="H7" s="5">
        <v>3.222</v>
      </c>
      <c r="I7" s="5">
        <v>47.07</v>
      </c>
    </row>
    <row r="8" spans="1:26" ht="15.75" customHeight="1">
      <c r="A8" s="5" t="s">
        <v>970</v>
      </c>
      <c r="B8" s="5">
        <v>72</v>
      </c>
      <c r="C8" s="5">
        <v>17890.349999999999</v>
      </c>
      <c r="D8" s="6">
        <f t="shared" si="0"/>
        <v>31.771589566896932</v>
      </c>
      <c r="E8" s="7">
        <f t="shared" si="1"/>
        <v>67</v>
      </c>
      <c r="F8" s="8">
        <f t="shared" si="2"/>
        <v>35.228410433103065</v>
      </c>
      <c r="G8" s="5">
        <v>32.25</v>
      </c>
      <c r="H8" s="5">
        <v>3.556</v>
      </c>
      <c r="I8" s="5">
        <v>48.22</v>
      </c>
    </row>
    <row r="9" spans="1:26" ht="15.75" customHeight="1">
      <c r="A9" s="5" t="s">
        <v>971</v>
      </c>
      <c r="B9" s="5">
        <v>139</v>
      </c>
      <c r="C9" s="5">
        <v>17823.349999999999</v>
      </c>
      <c r="D9" s="6">
        <f t="shared" si="0"/>
        <v>61.135863271243444</v>
      </c>
      <c r="E9" s="7">
        <f t="shared" si="1"/>
        <v>83.349999999998545</v>
      </c>
      <c r="F9" s="8">
        <f t="shared" si="2"/>
        <v>22.214136728755101</v>
      </c>
      <c r="G9" s="5">
        <v>32.5</v>
      </c>
      <c r="H9" s="5">
        <v>4.1109999999999998</v>
      </c>
      <c r="I9" s="5">
        <v>49.08</v>
      </c>
    </row>
    <row r="10" spans="1:26" ht="15.75" customHeight="1">
      <c r="A10" s="5" t="s">
        <v>972</v>
      </c>
      <c r="B10" s="5">
        <v>154</v>
      </c>
      <c r="C10" s="5">
        <v>17740</v>
      </c>
      <c r="D10" s="6">
        <f t="shared" si="0"/>
        <v>67.660770717082713</v>
      </c>
      <c r="E10" s="7">
        <f t="shared" si="1"/>
        <v>2</v>
      </c>
      <c r="F10" s="8">
        <f t="shared" si="2"/>
        <v>-65.660770717082713</v>
      </c>
      <c r="G10" s="5">
        <v>32.880000000000003</v>
      </c>
      <c r="H10" s="5">
        <v>4.1109999999999998</v>
      </c>
      <c r="I10" s="5">
        <v>49.36</v>
      </c>
    </row>
    <row r="11" spans="1:26" ht="15.75" customHeight="1">
      <c r="A11" s="5" t="s">
        <v>973</v>
      </c>
      <c r="B11" s="5">
        <v>237</v>
      </c>
      <c r="C11" s="5">
        <v>17738</v>
      </c>
      <c r="D11" s="6">
        <f t="shared" si="0"/>
        <v>104.01174984689098</v>
      </c>
      <c r="E11" s="7">
        <f t="shared" si="1"/>
        <v>0</v>
      </c>
      <c r="F11" s="8">
        <f t="shared" si="2"/>
        <v>-104.01174984689098</v>
      </c>
      <c r="G11" s="5">
        <v>32.94</v>
      </c>
      <c r="H11" s="5">
        <v>1.667</v>
      </c>
      <c r="I11" s="5">
        <v>49.65</v>
      </c>
    </row>
    <row r="12" spans="1:26" ht="15.75" customHeight="1">
      <c r="A12" s="5" t="s">
        <v>974</v>
      </c>
      <c r="B12" s="5">
        <v>288</v>
      </c>
      <c r="C12" s="5">
        <v>17738</v>
      </c>
      <c r="D12" s="6">
        <f t="shared" si="0"/>
        <v>126.39402513039914</v>
      </c>
      <c r="E12" s="7">
        <f t="shared" si="1"/>
        <v>0</v>
      </c>
      <c r="F12" s="8">
        <f t="shared" si="2"/>
        <v>-126.39402513039914</v>
      </c>
      <c r="G12" s="5">
        <v>33.06</v>
      </c>
      <c r="H12" s="5">
        <v>4.2220000000000004</v>
      </c>
      <c r="I12" s="5">
        <v>49.65</v>
      </c>
    </row>
    <row r="13" spans="1:26" ht="15.75" customHeight="1">
      <c r="A13" s="5" t="s">
        <v>975</v>
      </c>
      <c r="B13" s="5">
        <v>332</v>
      </c>
      <c r="C13" s="5">
        <v>17738</v>
      </c>
      <c r="D13" s="6">
        <f t="shared" si="0"/>
        <v>145.70422341421013</v>
      </c>
      <c r="E13" s="7">
        <f t="shared" si="1"/>
        <v>0</v>
      </c>
      <c r="F13" s="8">
        <f t="shared" si="2"/>
        <v>-145.70422341421013</v>
      </c>
      <c r="G13" s="5">
        <v>33.06</v>
      </c>
      <c r="H13" s="5">
        <v>2.6669999999999998</v>
      </c>
      <c r="I13" s="5">
        <v>49.65</v>
      </c>
    </row>
    <row r="14" spans="1:26" ht="15.75" customHeight="1">
      <c r="A14" s="5" t="s">
        <v>976</v>
      </c>
      <c r="B14" s="5">
        <v>371</v>
      </c>
      <c r="C14" s="5">
        <v>17738</v>
      </c>
      <c r="D14" s="6">
        <f t="shared" si="0"/>
        <v>162.63921433129508</v>
      </c>
      <c r="E14" s="7">
        <f t="shared" si="1"/>
        <v>0</v>
      </c>
      <c r="F14" s="8">
        <f t="shared" si="2"/>
        <v>-162.63921433129508</v>
      </c>
      <c r="G14" s="5">
        <v>33.06</v>
      </c>
      <c r="H14" s="5">
        <v>1.667</v>
      </c>
      <c r="I14" s="5">
        <v>49.94</v>
      </c>
    </row>
    <row r="15" spans="1:26" ht="15.75" customHeight="1">
      <c r="A15" s="5" t="s">
        <v>977</v>
      </c>
      <c r="B15" s="5">
        <v>410</v>
      </c>
      <c r="C15" s="5">
        <v>17738</v>
      </c>
      <c r="D15" s="6">
        <f t="shared" si="0"/>
        <v>179.53617937531467</v>
      </c>
      <c r="E15" s="7">
        <f t="shared" si="1"/>
        <v>0</v>
      </c>
      <c r="F15" s="8">
        <f t="shared" si="2"/>
        <v>-179.53617937531467</v>
      </c>
      <c r="G15" s="5">
        <v>33.69</v>
      </c>
      <c r="H15" s="5">
        <v>1.333</v>
      </c>
      <c r="I15" s="5">
        <v>50.23</v>
      </c>
    </row>
    <row r="16" spans="1:26" ht="15.75" customHeight="1">
      <c r="A16" s="5" t="s">
        <v>978</v>
      </c>
      <c r="B16" s="5">
        <v>467</v>
      </c>
      <c r="C16" s="5">
        <v>17738</v>
      </c>
      <c r="D16" s="6">
        <f t="shared" si="0"/>
        <v>204.27627012377184</v>
      </c>
      <c r="E16" s="7">
        <f t="shared" si="1"/>
        <v>0</v>
      </c>
      <c r="F16" s="8">
        <f t="shared" si="2"/>
        <v>-204.27627012377184</v>
      </c>
      <c r="G16" s="5">
        <v>33.69</v>
      </c>
      <c r="H16" s="5">
        <v>5.6669999999999998</v>
      </c>
      <c r="I16" s="5">
        <v>50.51</v>
      </c>
    </row>
    <row r="17" spans="1:9" ht="15.75" customHeight="1">
      <c r="A17" s="5" t="s">
        <v>979</v>
      </c>
      <c r="B17" s="5">
        <v>517</v>
      </c>
      <c r="C17" s="5">
        <v>17738</v>
      </c>
      <c r="D17" s="6">
        <f t="shared" si="0"/>
        <v>226.64278654792329</v>
      </c>
      <c r="E17" s="7">
        <f t="shared" si="1"/>
        <v>175.65000000000146</v>
      </c>
      <c r="F17" s="8">
        <f t="shared" si="2"/>
        <v>-50.992786547921838</v>
      </c>
      <c r="G17" s="5">
        <v>33.19</v>
      </c>
      <c r="H17" s="5">
        <v>4</v>
      </c>
      <c r="I17" s="5">
        <v>49.94</v>
      </c>
    </row>
    <row r="18" spans="1:9" ht="15.75" customHeight="1">
      <c r="A18" s="5" t="s">
        <v>980</v>
      </c>
      <c r="B18" s="5">
        <v>147</v>
      </c>
      <c r="C18" s="5">
        <v>17562.349999999999</v>
      </c>
      <c r="D18" s="6">
        <f t="shared" si="0"/>
        <v>64.51361699364125</v>
      </c>
      <c r="E18" s="7">
        <f t="shared" si="1"/>
        <v>273.34999999999854</v>
      </c>
      <c r="F18" s="8">
        <f t="shared" si="2"/>
        <v>208.83638300635729</v>
      </c>
      <c r="G18" s="5">
        <v>33.5</v>
      </c>
      <c r="H18" s="5">
        <v>2.8889999999999998</v>
      </c>
      <c r="I18" s="5">
        <v>49.65</v>
      </c>
    </row>
    <row r="19" spans="1:9" ht="15.75" customHeight="1">
      <c r="A19" s="5" t="s">
        <v>981</v>
      </c>
      <c r="B19" s="5">
        <v>596</v>
      </c>
      <c r="C19" s="5">
        <v>17289</v>
      </c>
      <c r="D19" s="6">
        <f t="shared" si="0"/>
        <v>260.98429977484767</v>
      </c>
      <c r="E19" s="7">
        <f t="shared" si="1"/>
        <v>259</v>
      </c>
      <c r="F19" s="8">
        <f t="shared" si="2"/>
        <v>-1.9842997748476705</v>
      </c>
      <c r="G19" s="5">
        <v>33.880000000000003</v>
      </c>
      <c r="H19" s="5">
        <v>3</v>
      </c>
      <c r="I19" s="5">
        <v>50.23</v>
      </c>
    </row>
    <row r="20" spans="1:9" ht="15.75" customHeight="1">
      <c r="A20" s="5" t="s">
        <v>982</v>
      </c>
      <c r="B20" s="5">
        <v>641</v>
      </c>
      <c r="C20" s="5">
        <v>17030</v>
      </c>
      <c r="D20" s="6">
        <f t="shared" si="0"/>
        <v>280.38777119772539</v>
      </c>
      <c r="E20" s="7">
        <f t="shared" si="1"/>
        <v>303.65000000000146</v>
      </c>
      <c r="F20" s="8">
        <f t="shared" si="2"/>
        <v>23.26222880227607</v>
      </c>
      <c r="G20" s="5">
        <v>33.5</v>
      </c>
      <c r="H20" s="5">
        <v>3.6669999999999998</v>
      </c>
      <c r="I20" s="5">
        <v>50.51</v>
      </c>
    </row>
    <row r="21" spans="1:9" ht="15.75" customHeight="1">
      <c r="A21" s="5" t="s">
        <v>983</v>
      </c>
      <c r="B21" s="5">
        <v>679</v>
      </c>
      <c r="C21" s="5">
        <v>16726.349999999999</v>
      </c>
      <c r="D21" s="6">
        <f t="shared" si="0"/>
        <v>297.32942877033821</v>
      </c>
      <c r="E21" s="7">
        <f t="shared" si="1"/>
        <v>293</v>
      </c>
      <c r="F21" s="8">
        <f t="shared" si="2"/>
        <v>-4.3294287703382111</v>
      </c>
      <c r="G21" s="5">
        <v>33.56</v>
      </c>
      <c r="H21" s="5">
        <v>5.556</v>
      </c>
      <c r="I21" s="5">
        <v>50.23</v>
      </c>
    </row>
    <row r="22" spans="1:9" ht="15.75" customHeight="1">
      <c r="A22" s="5" t="s">
        <v>984</v>
      </c>
      <c r="B22" s="5">
        <v>724</v>
      </c>
      <c r="C22" s="5">
        <v>16433.349999999999</v>
      </c>
      <c r="D22" s="6">
        <f t="shared" si="0"/>
        <v>317.38757729341677</v>
      </c>
      <c r="E22" s="7">
        <f t="shared" si="1"/>
        <v>309.34999999999854</v>
      </c>
      <c r="F22" s="8">
        <f t="shared" si="2"/>
        <v>-8.0375772934182237</v>
      </c>
      <c r="G22" s="5">
        <v>33.31</v>
      </c>
      <c r="H22" s="5">
        <v>4.3330000000000002</v>
      </c>
      <c r="I22" s="5">
        <v>49.94</v>
      </c>
    </row>
    <row r="23" spans="1:9" ht="15.75" customHeight="1">
      <c r="A23" s="5" t="s">
        <v>985</v>
      </c>
      <c r="B23" s="5">
        <v>769</v>
      </c>
      <c r="C23" s="5">
        <v>16124</v>
      </c>
      <c r="D23" s="6">
        <f t="shared" si="0"/>
        <v>337.1147057163501</v>
      </c>
      <c r="E23" s="7">
        <f t="shared" si="1"/>
        <v>323.64999999999964</v>
      </c>
      <c r="F23" s="8">
        <f t="shared" si="2"/>
        <v>-13.464705716350466</v>
      </c>
      <c r="G23" s="5">
        <v>33.44</v>
      </c>
      <c r="H23" s="5">
        <v>2.556</v>
      </c>
      <c r="I23" s="5">
        <v>49.94</v>
      </c>
    </row>
    <row r="24" spans="1:9" ht="15.75" customHeight="1">
      <c r="A24" s="5" t="s">
        <v>986</v>
      </c>
      <c r="B24" s="5">
        <v>786</v>
      </c>
      <c r="C24" s="5">
        <v>15800.35</v>
      </c>
      <c r="D24" s="6">
        <f t="shared" si="0"/>
        <v>344.95036025171447</v>
      </c>
      <c r="E24" s="7">
        <f t="shared" si="1"/>
        <v>350.35000000000036</v>
      </c>
      <c r="F24" s="8">
        <f t="shared" si="2"/>
        <v>5.3996397482858924</v>
      </c>
      <c r="G24" s="5">
        <v>33</v>
      </c>
      <c r="H24" s="5">
        <v>3.444</v>
      </c>
      <c r="I24" s="5">
        <v>49.65</v>
      </c>
    </row>
    <row r="25" spans="1:9" ht="15.75" customHeight="1">
      <c r="A25" s="5" t="s">
        <v>987</v>
      </c>
      <c r="B25" s="5">
        <v>826</v>
      </c>
      <c r="C25" s="5">
        <v>15450</v>
      </c>
      <c r="D25" s="6">
        <f t="shared" si="0"/>
        <v>362.50508596426994</v>
      </c>
      <c r="E25" s="7">
        <f t="shared" si="1"/>
        <v>370</v>
      </c>
      <c r="F25" s="8">
        <f t="shared" si="2"/>
        <v>7.4949140357300621</v>
      </c>
      <c r="G25" s="5">
        <v>32.69</v>
      </c>
      <c r="H25" s="5">
        <v>1.111</v>
      </c>
      <c r="I25" s="5">
        <v>49.65</v>
      </c>
    </row>
    <row r="26" spans="1:9" ht="15.75" customHeight="1">
      <c r="A26" s="5" t="s">
        <v>988</v>
      </c>
      <c r="B26" s="5">
        <v>561</v>
      </c>
      <c r="C26" s="5">
        <v>15080</v>
      </c>
      <c r="D26" s="6">
        <f t="shared" si="0"/>
        <v>246.20502811859006</v>
      </c>
      <c r="E26" s="7">
        <f t="shared" si="1"/>
        <v>302.64999999999964</v>
      </c>
      <c r="F26" s="8">
        <f t="shared" si="2"/>
        <v>56.444971881409572</v>
      </c>
      <c r="G26" s="5">
        <v>33</v>
      </c>
      <c r="H26" s="5">
        <v>4.7779999999999996</v>
      </c>
      <c r="I26" s="5">
        <v>49.65</v>
      </c>
    </row>
    <row r="27" spans="1:9" ht="15.75" customHeight="1">
      <c r="A27" s="5" t="s">
        <v>989</v>
      </c>
      <c r="B27" s="5">
        <v>886</v>
      </c>
      <c r="C27" s="5">
        <v>14777.35</v>
      </c>
      <c r="D27" s="6">
        <f t="shared" si="0"/>
        <v>387.97330469885071</v>
      </c>
      <c r="E27" s="7">
        <f t="shared" si="1"/>
        <v>394.35000000000036</v>
      </c>
      <c r="F27" s="8">
        <f t="shared" si="2"/>
        <v>6.3766953011496526</v>
      </c>
      <c r="G27" s="5">
        <v>33.25</v>
      </c>
      <c r="H27" s="5">
        <v>2.1110000000000002</v>
      </c>
      <c r="I27" s="5">
        <v>50.23</v>
      </c>
    </row>
    <row r="28" spans="1:9" ht="15.75" customHeight="1">
      <c r="A28" s="5" t="s">
        <v>990</v>
      </c>
      <c r="B28" s="5">
        <v>914</v>
      </c>
      <c r="C28" s="5">
        <v>14383</v>
      </c>
      <c r="D28" s="6">
        <f t="shared" si="0"/>
        <v>399.80409184823867</v>
      </c>
      <c r="E28" s="7">
        <f t="shared" si="1"/>
        <v>391</v>
      </c>
      <c r="F28" s="8">
        <f t="shared" si="2"/>
        <v>-8.8040918482386701</v>
      </c>
      <c r="G28" s="5">
        <v>33.06</v>
      </c>
      <c r="H28" s="5">
        <v>3.444</v>
      </c>
      <c r="I28" s="5">
        <v>50.51</v>
      </c>
    </row>
    <row r="29" spans="1:9" ht="15.75" customHeight="1">
      <c r="A29" s="5" t="s">
        <v>991</v>
      </c>
      <c r="B29" s="5">
        <v>927</v>
      </c>
      <c r="C29" s="5">
        <v>13992</v>
      </c>
      <c r="D29" s="6">
        <f t="shared" si="0"/>
        <v>405.49058330778695</v>
      </c>
      <c r="E29" s="7">
        <f t="shared" si="1"/>
        <v>318.64999999999964</v>
      </c>
      <c r="F29" s="8">
        <f t="shared" si="2"/>
        <v>-86.840583307787313</v>
      </c>
      <c r="G29" s="5">
        <v>32.630000000000003</v>
      </c>
      <c r="H29" s="5">
        <v>3.778</v>
      </c>
      <c r="I29" s="5">
        <v>50.51</v>
      </c>
    </row>
    <row r="30" spans="1:9" ht="15.75" customHeight="1">
      <c r="A30" s="5" t="s">
        <v>992</v>
      </c>
      <c r="B30" s="5">
        <v>945</v>
      </c>
      <c r="C30" s="5">
        <v>13673.35</v>
      </c>
      <c r="D30" s="6">
        <f t="shared" si="0"/>
        <v>413.80899880407884</v>
      </c>
      <c r="E30" s="7">
        <f t="shared" si="1"/>
        <v>406</v>
      </c>
      <c r="F30" s="8">
        <f t="shared" si="2"/>
        <v>-7.8089988040788398</v>
      </c>
      <c r="G30" s="5">
        <v>32.25</v>
      </c>
      <c r="H30" s="5">
        <v>3.3330000000000002</v>
      </c>
      <c r="I30" s="5">
        <v>50.23</v>
      </c>
    </row>
    <row r="31" spans="1:9" ht="15.75" customHeight="1">
      <c r="A31" s="5" t="s">
        <v>993</v>
      </c>
      <c r="B31" s="5">
        <v>298</v>
      </c>
      <c r="C31" s="5">
        <v>13267.35</v>
      </c>
      <c r="D31" s="6">
        <f t="shared" si="0"/>
        <v>130.20660281408743</v>
      </c>
      <c r="E31" s="7">
        <f t="shared" si="1"/>
        <v>420</v>
      </c>
      <c r="F31" s="8">
        <f t="shared" si="2"/>
        <v>289.79339718591257</v>
      </c>
      <c r="G31" s="5">
        <v>32.06</v>
      </c>
      <c r="H31" s="5">
        <v>2.8889999999999998</v>
      </c>
      <c r="I31" s="5">
        <v>50.8</v>
      </c>
    </row>
    <row r="32" spans="1:9" ht="15.75" customHeight="1">
      <c r="A32" s="5" t="s">
        <v>994</v>
      </c>
      <c r="B32" s="5">
        <v>972</v>
      </c>
      <c r="C32" s="5">
        <v>12847.35</v>
      </c>
      <c r="D32" s="6">
        <f t="shared" si="0"/>
        <v>425.17459220622311</v>
      </c>
      <c r="E32" s="7">
        <f t="shared" si="1"/>
        <v>429.35000000000036</v>
      </c>
      <c r="F32" s="8">
        <f t="shared" si="2"/>
        <v>4.1754077937772536</v>
      </c>
      <c r="G32" s="5">
        <v>32.19</v>
      </c>
      <c r="H32" s="5">
        <v>3.444</v>
      </c>
      <c r="I32" s="5">
        <v>50.51</v>
      </c>
    </row>
    <row r="33" spans="1:9" ht="15.75" customHeight="1">
      <c r="A33" s="5" t="s">
        <v>995</v>
      </c>
      <c r="B33" s="5">
        <v>987</v>
      </c>
      <c r="C33" s="5">
        <v>12418</v>
      </c>
      <c r="D33" s="6">
        <f t="shared" si="0"/>
        <v>431.25475495806808</v>
      </c>
      <c r="E33" s="7">
        <f t="shared" si="1"/>
        <v>429</v>
      </c>
      <c r="F33" s="8">
        <f t="shared" si="2"/>
        <v>-2.2547549580680766</v>
      </c>
      <c r="G33" s="5">
        <v>32.130000000000003</v>
      </c>
      <c r="H33" s="5">
        <v>7</v>
      </c>
      <c r="I33" s="5">
        <v>50.8</v>
      </c>
    </row>
    <row r="34" spans="1:9" ht="15.75" customHeight="1">
      <c r="A34" s="5" t="s">
        <v>996</v>
      </c>
      <c r="B34" s="5">
        <v>1011</v>
      </c>
      <c r="C34" s="5">
        <v>11989</v>
      </c>
      <c r="D34" s="6">
        <f t="shared" si="0"/>
        <v>442.23406658486789</v>
      </c>
      <c r="E34" s="7">
        <f t="shared" si="1"/>
        <v>431</v>
      </c>
      <c r="F34" s="8">
        <f t="shared" si="2"/>
        <v>-11.23406658486789</v>
      </c>
      <c r="G34" s="5">
        <v>32.19</v>
      </c>
      <c r="H34" s="5">
        <v>5.6669999999999998</v>
      </c>
      <c r="I34" s="5">
        <v>50.51</v>
      </c>
    </row>
    <row r="35" spans="1:9" ht="15.75" customHeight="1">
      <c r="A35" s="5" t="s">
        <v>997</v>
      </c>
      <c r="B35" s="5">
        <v>1011</v>
      </c>
      <c r="C35" s="5">
        <v>11558</v>
      </c>
      <c r="D35" s="6">
        <f t="shared" si="0"/>
        <v>439.78669315235851</v>
      </c>
      <c r="E35" s="7">
        <f t="shared" si="1"/>
        <v>440</v>
      </c>
      <c r="F35" s="8">
        <f t="shared" si="2"/>
        <v>0.21330684764149055</v>
      </c>
      <c r="G35" s="5">
        <v>32.31</v>
      </c>
      <c r="H35" s="5">
        <v>4.556</v>
      </c>
      <c r="I35" s="5">
        <v>51.95</v>
      </c>
    </row>
    <row r="36" spans="1:9" ht="15.75" customHeight="1">
      <c r="A36" s="5" t="s">
        <v>998</v>
      </c>
      <c r="B36" s="5">
        <v>1027</v>
      </c>
      <c r="C36" s="5">
        <v>11118</v>
      </c>
      <c r="D36" s="6">
        <f t="shared" si="0"/>
        <v>447.7480679387628</v>
      </c>
      <c r="E36" s="7">
        <f t="shared" si="1"/>
        <v>442</v>
      </c>
      <c r="F36" s="8">
        <f t="shared" si="2"/>
        <v>-5.7480679387628015</v>
      </c>
      <c r="G36" s="5">
        <v>32.19</v>
      </c>
      <c r="H36" s="5">
        <v>3.1110000000000002</v>
      </c>
      <c r="I36" s="5">
        <v>51.37</v>
      </c>
    </row>
    <row r="37" spans="1:9" ht="15.75" customHeight="1">
      <c r="A37" s="5" t="s">
        <v>999</v>
      </c>
      <c r="B37" s="5">
        <v>1043</v>
      </c>
      <c r="C37" s="5">
        <v>10676</v>
      </c>
      <c r="D37" s="6">
        <f t="shared" si="0"/>
        <v>455.72310984930601</v>
      </c>
      <c r="E37" s="7">
        <f t="shared" si="1"/>
        <v>440</v>
      </c>
      <c r="F37" s="8">
        <f t="shared" si="2"/>
        <v>-15.723109849306013</v>
      </c>
      <c r="G37" s="5">
        <v>32.19</v>
      </c>
      <c r="H37" s="5">
        <v>4.444</v>
      </c>
      <c r="I37" s="5">
        <v>50.8</v>
      </c>
    </row>
    <row r="38" spans="1:9" ht="15.75" customHeight="1">
      <c r="A38" s="5" t="s">
        <v>1000</v>
      </c>
      <c r="B38" s="5">
        <v>1041</v>
      </c>
      <c r="C38" s="5">
        <v>10236</v>
      </c>
      <c r="D38" s="6">
        <f t="shared" si="0"/>
        <v>454.84924003176184</v>
      </c>
      <c r="E38" s="7">
        <f t="shared" si="1"/>
        <v>443.64700000000084</v>
      </c>
      <c r="F38" s="8">
        <f t="shared" si="2"/>
        <v>-11.202240031760994</v>
      </c>
      <c r="G38" s="5">
        <v>31.81</v>
      </c>
      <c r="H38" s="5">
        <v>4</v>
      </c>
      <c r="I38" s="5">
        <v>50.8</v>
      </c>
    </row>
    <row r="39" spans="1:9" ht="15.75" customHeight="1">
      <c r="A39" s="5" t="s">
        <v>1001</v>
      </c>
      <c r="B39" s="5">
        <v>1049</v>
      </c>
      <c r="C39" s="5">
        <v>9792.3529999999992</v>
      </c>
      <c r="D39" s="6">
        <f t="shared" si="0"/>
        <v>456.31675679211094</v>
      </c>
      <c r="E39" s="7">
        <f t="shared" si="1"/>
        <v>442.35299999999916</v>
      </c>
      <c r="F39" s="8">
        <f t="shared" si="2"/>
        <v>-13.963756792111781</v>
      </c>
      <c r="G39" s="5">
        <v>32.130000000000003</v>
      </c>
      <c r="H39" s="5">
        <v>3.556</v>
      </c>
      <c r="I39" s="5">
        <v>51.95</v>
      </c>
    </row>
    <row r="40" spans="1:9" ht="15.75" customHeight="1">
      <c r="A40" s="5" t="s">
        <v>1002</v>
      </c>
      <c r="B40" s="5">
        <v>1043</v>
      </c>
      <c r="C40" s="5">
        <v>9350</v>
      </c>
      <c r="D40" s="6">
        <f t="shared" si="0"/>
        <v>455.21463567485614</v>
      </c>
      <c r="E40" s="7">
        <f t="shared" si="1"/>
        <v>439.64700000000084</v>
      </c>
      <c r="F40" s="8">
        <f t="shared" si="2"/>
        <v>-15.567635674855296</v>
      </c>
      <c r="G40" s="5">
        <v>31.81</v>
      </c>
      <c r="H40" s="5">
        <v>4.3330000000000002</v>
      </c>
      <c r="I40" s="5">
        <v>51.09</v>
      </c>
    </row>
    <row r="41" spans="1:9" ht="15.75" customHeight="1">
      <c r="A41" s="5" t="s">
        <v>1003</v>
      </c>
      <c r="B41" s="5">
        <v>1039</v>
      </c>
      <c r="C41" s="5">
        <v>8910.3529999999992</v>
      </c>
      <c r="D41" s="6">
        <f t="shared" si="0"/>
        <v>453.97537021421761</v>
      </c>
      <c r="E41" s="7">
        <f t="shared" si="1"/>
        <v>440</v>
      </c>
      <c r="F41" s="8">
        <f t="shared" si="2"/>
        <v>-13.975370214217605</v>
      </c>
      <c r="G41" s="5">
        <v>31.63</v>
      </c>
      <c r="H41" s="5">
        <v>7</v>
      </c>
      <c r="I41" s="5">
        <v>50.8</v>
      </c>
    </row>
    <row r="42" spans="1:9" ht="15.75" customHeight="1">
      <c r="A42" s="5" t="s">
        <v>1004</v>
      </c>
      <c r="B42" s="5">
        <v>1034</v>
      </c>
      <c r="C42" s="5">
        <v>8470.3529999999992</v>
      </c>
      <c r="D42" s="6">
        <f t="shared" si="0"/>
        <v>451.79069567035714</v>
      </c>
      <c r="E42" s="7">
        <f t="shared" si="1"/>
        <v>439.35299999999916</v>
      </c>
      <c r="F42" s="8">
        <f t="shared" si="2"/>
        <v>-12.437695670357982</v>
      </c>
      <c r="G42" s="5">
        <v>31.81</v>
      </c>
      <c r="H42" s="5">
        <v>1.222</v>
      </c>
      <c r="I42" s="5">
        <v>50.8</v>
      </c>
    </row>
    <row r="43" spans="1:9" ht="15.75" customHeight="1">
      <c r="A43" s="5" t="s">
        <v>1005</v>
      </c>
      <c r="B43" s="5">
        <v>1030</v>
      </c>
      <c r="C43" s="5">
        <v>8031</v>
      </c>
      <c r="D43" s="6">
        <f t="shared" si="0"/>
        <v>450.54509256420766</v>
      </c>
      <c r="E43" s="7">
        <f t="shared" si="1"/>
        <v>437</v>
      </c>
      <c r="F43" s="8">
        <f t="shared" si="2"/>
        <v>-13.545092564207664</v>
      </c>
      <c r="G43" s="5">
        <v>31.44</v>
      </c>
      <c r="H43" s="5">
        <v>2.8889999999999998</v>
      </c>
      <c r="I43" s="5">
        <v>50.51</v>
      </c>
    </row>
    <row r="44" spans="1:9" ht="15.75" customHeight="1">
      <c r="A44" s="5" t="s">
        <v>1006</v>
      </c>
      <c r="B44" s="5">
        <v>1024</v>
      </c>
      <c r="C44" s="5">
        <v>7594</v>
      </c>
      <c r="D44" s="6">
        <f t="shared" si="0"/>
        <v>445.94092638563291</v>
      </c>
      <c r="E44" s="7">
        <f t="shared" si="1"/>
        <v>430.64699999999993</v>
      </c>
      <c r="F44" s="8">
        <f t="shared" si="2"/>
        <v>-15.293926385632972</v>
      </c>
      <c r="G44" s="5">
        <v>31.31</v>
      </c>
      <c r="H44" s="5">
        <v>1.889</v>
      </c>
      <c r="I44" s="5">
        <v>51.66</v>
      </c>
    </row>
    <row r="45" spans="1:9" ht="15.75" customHeight="1">
      <c r="A45" s="5" t="s">
        <v>1007</v>
      </c>
      <c r="B45" s="5">
        <v>1012</v>
      </c>
      <c r="C45" s="5">
        <v>7163.3530000000001</v>
      </c>
      <c r="D45" s="6">
        <f t="shared" si="0"/>
        <v>442.1781276773707</v>
      </c>
      <c r="E45" s="7">
        <f t="shared" si="1"/>
        <v>427.35300000000007</v>
      </c>
      <c r="F45" s="8">
        <f t="shared" si="2"/>
        <v>-14.825127677370631</v>
      </c>
      <c r="G45" s="5">
        <v>30.75</v>
      </c>
      <c r="H45" s="5">
        <v>3.556</v>
      </c>
      <c r="I45" s="5">
        <v>50.8</v>
      </c>
    </row>
    <row r="46" spans="1:9" ht="15.75" customHeight="1">
      <c r="A46" s="5" t="s">
        <v>1008</v>
      </c>
      <c r="B46" s="5">
        <v>1005</v>
      </c>
      <c r="C46" s="5">
        <v>6736</v>
      </c>
      <c r="D46" s="6">
        <f t="shared" si="0"/>
        <v>438.6296345668556</v>
      </c>
      <c r="E46" s="7">
        <f t="shared" si="1"/>
        <v>423</v>
      </c>
      <c r="F46" s="8">
        <f t="shared" si="2"/>
        <v>-15.6296345668556</v>
      </c>
      <c r="G46" s="5">
        <v>30.19</v>
      </c>
      <c r="H46" s="5">
        <v>1.556</v>
      </c>
      <c r="I46" s="5">
        <v>51.09</v>
      </c>
    </row>
    <row r="47" spans="1:9" ht="15.75" customHeight="1">
      <c r="A47" s="5" t="s">
        <v>1009</v>
      </c>
      <c r="B47" s="5">
        <v>995</v>
      </c>
      <c r="C47" s="5">
        <v>6313</v>
      </c>
      <c r="D47" s="6">
        <f t="shared" si="0"/>
        <v>434.75023422824506</v>
      </c>
      <c r="E47" s="7">
        <f t="shared" si="1"/>
        <v>415</v>
      </c>
      <c r="F47" s="8">
        <f t="shared" si="2"/>
        <v>-19.750234228245063</v>
      </c>
      <c r="G47" s="5">
        <v>30.13</v>
      </c>
      <c r="H47" s="5">
        <v>2.778</v>
      </c>
      <c r="I47" s="5">
        <v>50.8</v>
      </c>
    </row>
    <row r="48" spans="1:9" ht="15.75" customHeight="1">
      <c r="A48" s="5" t="s">
        <v>1010</v>
      </c>
      <c r="B48" s="5">
        <v>980</v>
      </c>
      <c r="C48" s="5">
        <v>5898</v>
      </c>
      <c r="D48" s="6">
        <f t="shared" si="0"/>
        <v>428.19621059666332</v>
      </c>
      <c r="E48" s="7">
        <f t="shared" si="1"/>
        <v>406.64699999999993</v>
      </c>
      <c r="F48" s="8">
        <f t="shared" si="2"/>
        <v>-21.549210596663386</v>
      </c>
      <c r="G48" s="5">
        <v>29.94</v>
      </c>
      <c r="H48" s="5">
        <v>5.2220000000000004</v>
      </c>
      <c r="I48" s="5">
        <v>50.8</v>
      </c>
    </row>
    <row r="49" spans="1:9" ht="15.75" customHeight="1">
      <c r="A49" s="5" t="s">
        <v>1011</v>
      </c>
      <c r="B49" s="5">
        <v>957</v>
      </c>
      <c r="C49" s="5">
        <v>5491.3530000000001</v>
      </c>
      <c r="D49" s="6">
        <f t="shared" si="0"/>
        <v>417.22969914059979</v>
      </c>
      <c r="E49" s="7">
        <f t="shared" si="1"/>
        <v>395.35300000000007</v>
      </c>
      <c r="F49" s="8">
        <f t="shared" si="2"/>
        <v>-21.876699140599726</v>
      </c>
      <c r="G49" s="5">
        <v>29.44</v>
      </c>
      <c r="H49" s="5">
        <v>1.778</v>
      </c>
      <c r="I49" s="5">
        <v>51.37</v>
      </c>
    </row>
    <row r="50" spans="1:9" ht="15.75" customHeight="1">
      <c r="A50" s="5" t="s">
        <v>1012</v>
      </c>
      <c r="B50" s="5">
        <v>933</v>
      </c>
      <c r="C50" s="5">
        <v>5096</v>
      </c>
      <c r="D50" s="6">
        <f t="shared" si="0"/>
        <v>407.20542194117047</v>
      </c>
      <c r="E50" s="7">
        <f t="shared" si="1"/>
        <v>390</v>
      </c>
      <c r="F50" s="8">
        <f t="shared" si="2"/>
        <v>-17.205421941170471</v>
      </c>
      <c r="G50" s="5">
        <v>29</v>
      </c>
      <c r="H50" s="5">
        <v>1.889</v>
      </c>
      <c r="I50" s="5">
        <v>51.09</v>
      </c>
    </row>
    <row r="51" spans="1:9" ht="15.75" customHeight="1">
      <c r="A51" s="5" t="s">
        <v>1013</v>
      </c>
      <c r="B51" s="5">
        <v>913</v>
      </c>
      <c r="C51" s="5">
        <v>4706</v>
      </c>
      <c r="D51" s="6">
        <f t="shared" si="0"/>
        <v>393.19669414637315</v>
      </c>
      <c r="E51" s="7">
        <f t="shared" si="1"/>
        <v>382</v>
      </c>
      <c r="F51" s="8">
        <f t="shared" si="2"/>
        <v>-11.196694146373147</v>
      </c>
      <c r="G51" s="5">
        <v>28.94</v>
      </c>
      <c r="H51" s="5">
        <v>2.222</v>
      </c>
      <c r="I51" s="5">
        <v>54.53</v>
      </c>
    </row>
    <row r="52" spans="1:9" ht="15.75" customHeight="1">
      <c r="A52" s="5" t="s">
        <v>1014</v>
      </c>
      <c r="B52" s="5">
        <v>886</v>
      </c>
      <c r="C52" s="5">
        <v>4324</v>
      </c>
      <c r="D52" s="6">
        <f t="shared" si="0"/>
        <v>382.00068739652005</v>
      </c>
      <c r="E52" s="7">
        <f t="shared" si="1"/>
        <v>372.64699999999993</v>
      </c>
      <c r="F52" s="8">
        <f t="shared" si="2"/>
        <v>-9.3536873965201153</v>
      </c>
      <c r="G52" s="5">
        <v>28.44</v>
      </c>
      <c r="H52" s="5">
        <v>4.444</v>
      </c>
      <c r="I52" s="5">
        <v>54.24</v>
      </c>
    </row>
    <row r="53" spans="1:9" ht="15.75" customHeight="1">
      <c r="A53" s="5" t="s">
        <v>1015</v>
      </c>
      <c r="B53" s="5">
        <v>861</v>
      </c>
      <c r="C53" s="5">
        <v>3951.3530000000001</v>
      </c>
      <c r="D53" s="6">
        <f t="shared" si="0"/>
        <v>374.13116884472942</v>
      </c>
      <c r="E53" s="7">
        <f t="shared" si="1"/>
        <v>363</v>
      </c>
      <c r="F53" s="8">
        <f t="shared" si="2"/>
        <v>-11.131168844729416</v>
      </c>
      <c r="G53" s="5">
        <v>28.63</v>
      </c>
      <c r="H53" s="5">
        <v>4.1109999999999998</v>
      </c>
      <c r="I53" s="5">
        <v>52.23</v>
      </c>
    </row>
    <row r="54" spans="1:9" ht="15.75" customHeight="1">
      <c r="A54" s="5" t="s">
        <v>1016</v>
      </c>
      <c r="B54" s="5">
        <v>832</v>
      </c>
      <c r="C54" s="5">
        <v>3588.3530000000001</v>
      </c>
      <c r="D54" s="6">
        <f t="shared" si="0"/>
        <v>361.52977059095804</v>
      </c>
      <c r="E54" s="7">
        <f t="shared" si="1"/>
        <v>350.35300000000007</v>
      </c>
      <c r="F54" s="8">
        <f t="shared" si="2"/>
        <v>-11.176770590957972</v>
      </c>
      <c r="G54" s="5">
        <v>28.31</v>
      </c>
      <c r="H54" s="5">
        <v>3.1110000000000002</v>
      </c>
      <c r="I54" s="5">
        <v>52.23</v>
      </c>
    </row>
    <row r="55" spans="1:9" ht="15.75" customHeight="1">
      <c r="A55" s="5" t="s">
        <v>1017</v>
      </c>
      <c r="B55" s="5">
        <v>805</v>
      </c>
      <c r="C55" s="5">
        <v>3238</v>
      </c>
      <c r="D55" s="6">
        <f t="shared" si="0"/>
        <v>349.01254126475976</v>
      </c>
      <c r="E55" s="7">
        <f t="shared" si="1"/>
        <v>336.64699999999993</v>
      </c>
      <c r="F55" s="8">
        <f t="shared" si="2"/>
        <v>-12.365541264759827</v>
      </c>
      <c r="G55" s="5">
        <v>27.81</v>
      </c>
      <c r="H55" s="5">
        <v>0.88900000000000001</v>
      </c>
      <c r="I55" s="5">
        <v>52.81</v>
      </c>
    </row>
    <row r="56" spans="1:9" ht="15.75" customHeight="1">
      <c r="A56" s="5" t="s">
        <v>1018</v>
      </c>
      <c r="B56" s="5">
        <v>771</v>
      </c>
      <c r="C56" s="5">
        <v>2901.3530000000001</v>
      </c>
      <c r="D56" s="6">
        <f t="shared" si="0"/>
        <v>334.64751003069694</v>
      </c>
      <c r="E56" s="7">
        <f t="shared" si="1"/>
        <v>325.35300000000007</v>
      </c>
      <c r="F56" s="8">
        <f t="shared" si="2"/>
        <v>-9.2945100306968698</v>
      </c>
      <c r="G56" s="5">
        <v>27.25</v>
      </c>
      <c r="H56" s="5">
        <v>1.667</v>
      </c>
      <c r="I56" s="5">
        <v>52.52</v>
      </c>
    </row>
    <row r="57" spans="1:9" ht="15.75" customHeight="1">
      <c r="A57" s="5" t="s">
        <v>1019</v>
      </c>
      <c r="B57" s="5">
        <v>741</v>
      </c>
      <c r="C57" s="5">
        <v>2576</v>
      </c>
      <c r="D57" s="6">
        <f t="shared" si="0"/>
        <v>321.98745193257207</v>
      </c>
      <c r="E57" s="7">
        <f t="shared" si="1"/>
        <v>310</v>
      </c>
      <c r="F57" s="8">
        <f t="shared" si="2"/>
        <v>-11.987451932572071</v>
      </c>
      <c r="G57" s="5">
        <v>26.88</v>
      </c>
      <c r="H57" s="5">
        <v>1.778</v>
      </c>
      <c r="I57" s="5">
        <v>52.23</v>
      </c>
    </row>
    <row r="58" spans="1:9" ht="15.75" customHeight="1">
      <c r="A58" s="5" t="s">
        <v>1020</v>
      </c>
      <c r="B58" s="5">
        <v>705</v>
      </c>
      <c r="C58" s="5">
        <v>2266</v>
      </c>
      <c r="D58" s="6">
        <f t="shared" si="0"/>
        <v>306.67618068487911</v>
      </c>
      <c r="E58" s="7">
        <f t="shared" si="1"/>
        <v>291</v>
      </c>
      <c r="F58" s="8">
        <f t="shared" si="2"/>
        <v>-15.676180684879114</v>
      </c>
      <c r="G58" s="5">
        <v>26.56</v>
      </c>
      <c r="H58" s="5">
        <v>2.1110000000000002</v>
      </c>
      <c r="I58" s="5">
        <v>51.95</v>
      </c>
    </row>
    <row r="59" spans="1:9" ht="15.75" customHeight="1">
      <c r="A59" s="5" t="s">
        <v>1021</v>
      </c>
      <c r="B59" s="5">
        <v>662</v>
      </c>
      <c r="C59" s="5">
        <v>1975</v>
      </c>
      <c r="D59" s="6">
        <f t="shared" si="0"/>
        <v>287.97110867147518</v>
      </c>
      <c r="E59" s="7">
        <f t="shared" si="1"/>
        <v>276</v>
      </c>
      <c r="F59" s="8">
        <f t="shared" si="2"/>
        <v>-11.971108671475179</v>
      </c>
      <c r="G59" s="5">
        <v>26.63</v>
      </c>
      <c r="H59" s="5">
        <v>3.1110000000000002</v>
      </c>
      <c r="I59" s="5">
        <v>51.95</v>
      </c>
    </row>
    <row r="60" spans="1:9" ht="15.75" customHeight="1">
      <c r="A60" s="5" t="s">
        <v>1022</v>
      </c>
      <c r="B60" s="5">
        <v>628</v>
      </c>
      <c r="C60" s="5">
        <v>1699</v>
      </c>
      <c r="D60" s="6">
        <f t="shared" si="0"/>
        <v>272.88545184029044</v>
      </c>
      <c r="E60" s="7">
        <f t="shared" si="1"/>
        <v>258</v>
      </c>
      <c r="F60" s="8">
        <f t="shared" si="2"/>
        <v>-14.885451840290443</v>
      </c>
      <c r="G60" s="5">
        <v>26.18</v>
      </c>
      <c r="H60" s="5">
        <v>2.556</v>
      </c>
      <c r="I60" s="5">
        <v>52.23</v>
      </c>
    </row>
    <row r="61" spans="1:9" ht="15.75" customHeight="1">
      <c r="A61" s="5" t="s">
        <v>1023</v>
      </c>
      <c r="B61" s="5">
        <v>590</v>
      </c>
      <c r="C61" s="5">
        <v>1441</v>
      </c>
      <c r="D61" s="6">
        <f t="shared" si="0"/>
        <v>256.0856432141519</v>
      </c>
      <c r="E61" s="7">
        <f t="shared" si="1"/>
        <v>239</v>
      </c>
      <c r="F61" s="8">
        <f t="shared" si="2"/>
        <v>-17.085643214151901</v>
      </c>
      <c r="G61" s="5">
        <v>25.75</v>
      </c>
      <c r="H61" s="5">
        <v>1.778</v>
      </c>
      <c r="I61" s="5">
        <v>52.52</v>
      </c>
    </row>
    <row r="62" spans="1:9" ht="15.75" customHeight="1">
      <c r="A62" s="5" t="s">
        <v>1024</v>
      </c>
      <c r="B62" s="5">
        <v>552</v>
      </c>
      <c r="C62" s="5">
        <v>1202</v>
      </c>
      <c r="D62" s="6">
        <f t="shared" si="0"/>
        <v>243.05325384571213</v>
      </c>
      <c r="E62" s="7">
        <f t="shared" si="1"/>
        <v>218.64700000000005</v>
      </c>
      <c r="F62" s="8">
        <f t="shared" si="2"/>
        <v>-24.406253845712087</v>
      </c>
      <c r="G62" s="5">
        <v>25.68</v>
      </c>
      <c r="H62" s="5">
        <v>2</v>
      </c>
      <c r="I62" s="5">
        <v>48.79</v>
      </c>
    </row>
    <row r="63" spans="1:9" ht="15.75" customHeight="1">
      <c r="A63" s="5" t="s">
        <v>1025</v>
      </c>
      <c r="B63" s="5">
        <v>508</v>
      </c>
      <c r="C63" s="5">
        <v>983.35299999999995</v>
      </c>
      <c r="D63" s="6">
        <f t="shared" si="0"/>
        <v>227.11246395722415</v>
      </c>
      <c r="E63" s="7">
        <f t="shared" si="1"/>
        <v>196.35299999999995</v>
      </c>
      <c r="F63" s="8">
        <f t="shared" si="2"/>
        <v>-30.759463957224199</v>
      </c>
      <c r="G63" s="5">
        <v>25.62</v>
      </c>
      <c r="H63" s="5">
        <v>2.6669999999999998</v>
      </c>
      <c r="I63" s="5">
        <v>44.77</v>
      </c>
    </row>
    <row r="64" spans="1:9" ht="15.75" customHeight="1">
      <c r="A64" s="5" t="s">
        <v>1026</v>
      </c>
      <c r="B64" s="5">
        <v>465</v>
      </c>
      <c r="C64" s="5">
        <v>787</v>
      </c>
      <c r="D64" s="6">
        <f t="shared" si="0"/>
        <v>209.90516081500689</v>
      </c>
      <c r="E64" s="7">
        <f t="shared" si="1"/>
        <v>173</v>
      </c>
      <c r="F64" s="8">
        <f t="shared" si="2"/>
        <v>-36.905160815006894</v>
      </c>
      <c r="G64" s="5">
        <v>25.62</v>
      </c>
      <c r="H64" s="5">
        <v>3</v>
      </c>
      <c r="I64" s="5">
        <v>42.19</v>
      </c>
    </row>
    <row r="65" spans="1:26" ht="15.75" customHeight="1">
      <c r="A65" s="5" t="s">
        <v>1027</v>
      </c>
      <c r="B65" s="5">
        <v>419</v>
      </c>
      <c r="C65" s="5">
        <v>614</v>
      </c>
      <c r="D65" s="6">
        <f t="shared" si="0"/>
        <v>191.16189001816369</v>
      </c>
      <c r="E65" s="7">
        <f t="shared" si="1"/>
        <v>137</v>
      </c>
      <c r="F65" s="8">
        <f t="shared" si="2"/>
        <v>-54.161890018163689</v>
      </c>
      <c r="G65" s="5">
        <v>25.75</v>
      </c>
      <c r="H65" s="5">
        <v>4</v>
      </c>
      <c r="I65" s="5">
        <v>39.32</v>
      </c>
    </row>
    <row r="66" spans="1:26" ht="15.75" customHeight="1">
      <c r="A66" s="5" t="s">
        <v>1028</v>
      </c>
      <c r="B66" s="5">
        <v>376</v>
      </c>
      <c r="C66" s="5">
        <v>477</v>
      </c>
      <c r="D66" s="6">
        <f t="shared" si="0"/>
        <v>172.81433181664272</v>
      </c>
      <c r="E66" s="7">
        <f t="shared" si="1"/>
        <v>116</v>
      </c>
      <c r="F66" s="8">
        <f t="shared" si="2"/>
        <v>-56.814331816642721</v>
      </c>
      <c r="G66" s="5">
        <v>25.75</v>
      </c>
      <c r="H66" s="5">
        <v>2.444</v>
      </c>
      <c r="I66" s="5">
        <v>37.31</v>
      </c>
    </row>
    <row r="67" spans="1:26" ht="15.75" customHeight="1">
      <c r="A67" s="5" t="s">
        <v>1029</v>
      </c>
      <c r="B67" s="5">
        <v>212</v>
      </c>
      <c r="C67" s="5">
        <v>361</v>
      </c>
      <c r="D67" s="6">
        <f t="shared" si="0"/>
        <v>97.744361183081708</v>
      </c>
      <c r="E67" s="7">
        <f t="shared" si="1"/>
        <v>101</v>
      </c>
      <c r="F67" s="8">
        <f t="shared" si="2"/>
        <v>3.2556388169182924</v>
      </c>
      <c r="G67" s="5">
        <v>25.43</v>
      </c>
      <c r="H67" s="5">
        <v>3.556</v>
      </c>
      <c r="I67" s="5">
        <v>36.450000000000003</v>
      </c>
    </row>
    <row r="68" spans="1:26" ht="15.75" customHeight="1">
      <c r="A68" s="5" t="s">
        <v>1030</v>
      </c>
      <c r="B68" s="5">
        <v>297</v>
      </c>
      <c r="C68" s="5">
        <v>260</v>
      </c>
      <c r="D68" s="6">
        <f t="shared" si="0"/>
        <v>137.0791081421718</v>
      </c>
      <c r="E68" s="7">
        <f t="shared" si="1"/>
        <v>88</v>
      </c>
      <c r="F68" s="8">
        <f t="shared" si="2"/>
        <v>-49.079108142171805</v>
      </c>
      <c r="G68" s="5">
        <v>25.31</v>
      </c>
      <c r="H68" s="5">
        <v>3.8889999999999998</v>
      </c>
      <c r="I68" s="5">
        <v>36.159999999999997</v>
      </c>
    </row>
    <row r="69" spans="1:26" ht="15.75" customHeight="1">
      <c r="A69" s="5" t="s">
        <v>1031</v>
      </c>
      <c r="B69" s="5">
        <v>244</v>
      </c>
      <c r="C69" s="5">
        <v>172</v>
      </c>
      <c r="D69" s="6">
        <f t="shared" si="0"/>
        <v>113.44164523442632</v>
      </c>
      <c r="E69" s="7">
        <f t="shared" si="1"/>
        <v>65.647000000000006</v>
      </c>
      <c r="F69" s="8">
        <f t="shared" si="2"/>
        <v>-47.794645234426312</v>
      </c>
      <c r="G69" s="5">
        <v>24.88</v>
      </c>
      <c r="H69" s="5">
        <v>0.55600000000000005</v>
      </c>
      <c r="I69" s="5">
        <v>34.15</v>
      </c>
    </row>
    <row r="70" spans="1:26" ht="15.75" customHeight="1">
      <c r="A70" s="5" t="s">
        <v>1032</v>
      </c>
      <c r="B70" s="5">
        <v>192</v>
      </c>
      <c r="C70" s="5">
        <v>106.35299999999999</v>
      </c>
      <c r="D70" s="6">
        <f t="shared" si="0"/>
        <v>91.30221056342846</v>
      </c>
      <c r="E70" s="7">
        <f t="shared" si="1"/>
        <v>45.352999999999994</v>
      </c>
      <c r="F70" s="8">
        <f t="shared" si="2"/>
        <v>-45.949210563428466</v>
      </c>
      <c r="G70" s="5">
        <v>24.44</v>
      </c>
      <c r="H70" s="5">
        <v>1.333</v>
      </c>
      <c r="I70" s="5">
        <v>27.84</v>
      </c>
    </row>
    <row r="71" spans="1:26" ht="15.75" customHeight="1">
      <c r="A71" s="5" t="s">
        <v>1033</v>
      </c>
      <c r="B71" s="5">
        <v>145</v>
      </c>
      <c r="C71" s="5">
        <v>61</v>
      </c>
      <c r="D71" s="6">
        <f t="shared" si="0"/>
        <v>69.371449895360257</v>
      </c>
      <c r="E71" s="7">
        <f t="shared" si="1"/>
        <v>30</v>
      </c>
      <c r="F71" s="8">
        <f t="shared" si="2"/>
        <v>-39.371449895360257</v>
      </c>
      <c r="G71" s="5">
        <v>24.13</v>
      </c>
      <c r="H71" s="5">
        <v>2.556</v>
      </c>
      <c r="I71" s="5">
        <v>26.12</v>
      </c>
    </row>
    <row r="72" spans="1:26" ht="15.75" customHeight="1">
      <c r="A72" s="5" t="s">
        <v>1034</v>
      </c>
      <c r="B72" s="5">
        <v>99</v>
      </c>
      <c r="C72" s="5">
        <v>31</v>
      </c>
      <c r="D72" s="6">
        <f t="shared" si="0"/>
        <v>47.746735786070239</v>
      </c>
      <c r="E72" s="7">
        <f t="shared" si="1"/>
        <v>18</v>
      </c>
      <c r="F72" s="8">
        <f t="shared" si="2"/>
        <v>-29.746735786070239</v>
      </c>
      <c r="G72" s="5">
        <v>23.94</v>
      </c>
      <c r="H72" s="5">
        <v>1.667</v>
      </c>
      <c r="I72" s="5">
        <v>23.82</v>
      </c>
    </row>
    <row r="73" spans="1:26" ht="15.75" customHeight="1">
      <c r="A73" s="5" t="s">
        <v>1035</v>
      </c>
      <c r="B73" s="5">
        <v>46</v>
      </c>
      <c r="C73" s="5">
        <v>13</v>
      </c>
      <c r="D73" s="6">
        <f t="shared" si="0"/>
        <v>22.207777496291026</v>
      </c>
      <c r="E73" s="7">
        <f t="shared" si="1"/>
        <v>13</v>
      </c>
      <c r="F73" s="8">
        <f t="shared" si="2"/>
        <v>-9.2077774962910262</v>
      </c>
      <c r="G73" s="5">
        <v>23.81</v>
      </c>
      <c r="H73" s="5">
        <v>0.77800000000000002</v>
      </c>
      <c r="I73" s="5">
        <v>23.53</v>
      </c>
    </row>
    <row r="74" spans="1:26" ht="15.75" customHeight="1">
      <c r="A74" s="5" t="s">
        <v>1036</v>
      </c>
      <c r="B74" s="5">
        <v>29</v>
      </c>
      <c r="C74" s="5"/>
      <c r="D74" s="6">
        <f t="shared" si="0"/>
        <v>14.028343516105764</v>
      </c>
      <c r="E74" s="7">
        <f t="shared" si="1"/>
        <v>0</v>
      </c>
      <c r="F74" s="8">
        <f t="shared" si="2"/>
        <v>-14.028343516105764</v>
      </c>
      <c r="G74" s="5">
        <v>23.81</v>
      </c>
      <c r="H74" s="5">
        <v>2.444</v>
      </c>
      <c r="I74" s="5">
        <v>22.96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7.3313333333333333</v>
      </c>
      <c r="C76" s="11"/>
      <c r="D76" s="16">
        <f>SUM(D2:D75)</f>
        <v>19272.629021414108</v>
      </c>
      <c r="E76" s="15">
        <f>SUM(E1:E74)</f>
        <v>18021</v>
      </c>
      <c r="F76" s="11"/>
      <c r="G76" s="17">
        <f t="shared" ref="G76:I76" si="3">AVERAGE(G1:G74)</f>
        <v>30.189589041095903</v>
      </c>
      <c r="H76" s="17">
        <f t="shared" si="3"/>
        <v>3.137041095890412</v>
      </c>
      <c r="I76" s="17">
        <f t="shared" si="3"/>
        <v>47.339589041095898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  <c r="G77" s="37"/>
      <c r="H77" s="37"/>
      <c r="I77" s="37"/>
    </row>
    <row r="78" spans="1:26" ht="15.75" customHeight="1">
      <c r="A78" s="18"/>
      <c r="B78" s="19"/>
      <c r="C78" s="20"/>
      <c r="D78" s="21"/>
      <c r="E78" s="21"/>
      <c r="F78" s="23"/>
      <c r="G78" s="37"/>
      <c r="H78" s="37"/>
      <c r="I78" s="37"/>
    </row>
    <row r="79" spans="1:26" ht="15.75" customHeight="1">
      <c r="A79" s="18"/>
      <c r="B79" s="19"/>
      <c r="C79" s="20"/>
      <c r="D79" s="21"/>
      <c r="E79" s="21"/>
      <c r="F79" s="23"/>
      <c r="G79" s="37"/>
      <c r="H79" s="37"/>
      <c r="I79" s="37"/>
    </row>
    <row r="80" spans="1:26" ht="15.75" customHeight="1">
      <c r="A80" s="18"/>
      <c r="B80" s="19"/>
      <c r="C80" s="20"/>
      <c r="D80" s="21"/>
      <c r="E80" s="21"/>
      <c r="F80" s="23"/>
      <c r="G80" s="37"/>
      <c r="H80" s="37"/>
      <c r="I80" s="37"/>
    </row>
    <row r="81" spans="1:9" ht="15.75" customHeight="1">
      <c r="A81" s="18"/>
      <c r="B81" s="19"/>
      <c r="C81" s="20"/>
      <c r="D81" s="21"/>
      <c r="E81" s="21"/>
      <c r="F81" s="23"/>
      <c r="G81" s="37"/>
      <c r="H81" s="37"/>
      <c r="I81" s="37"/>
    </row>
    <row r="82" spans="1:9" ht="15.75" customHeight="1">
      <c r="A82" s="18"/>
      <c r="B82" s="19"/>
      <c r="C82" s="20"/>
      <c r="D82" s="21"/>
      <c r="E82" s="21"/>
      <c r="F82" s="23"/>
      <c r="G82" s="37"/>
      <c r="H82" s="37"/>
      <c r="I82" s="37"/>
    </row>
    <row r="83" spans="1:9" ht="15.75" customHeight="1">
      <c r="A83" s="18"/>
      <c r="B83" s="19"/>
      <c r="C83" s="20"/>
      <c r="D83" s="21"/>
      <c r="E83" s="21"/>
      <c r="F83" s="23"/>
      <c r="G83" s="37"/>
      <c r="H83" s="37"/>
      <c r="I83" s="37"/>
    </row>
    <row r="84" spans="1:9" ht="15.75" customHeight="1">
      <c r="A84" s="18"/>
      <c r="B84" s="19"/>
      <c r="C84" s="20"/>
      <c r="D84" s="21"/>
      <c r="E84" s="21"/>
      <c r="F84" s="23"/>
      <c r="G84" s="37"/>
      <c r="H84" s="37"/>
      <c r="I84" s="37"/>
    </row>
    <row r="85" spans="1:9" ht="15.75" customHeight="1">
      <c r="A85" s="18"/>
      <c r="B85" s="19"/>
      <c r="C85" s="20"/>
      <c r="D85" s="21"/>
      <c r="E85" s="21"/>
      <c r="F85" s="23"/>
      <c r="G85" s="37"/>
      <c r="H85" s="37"/>
      <c r="I85" s="37"/>
    </row>
    <row r="86" spans="1:9" ht="15.75" customHeight="1">
      <c r="A86" s="18"/>
      <c r="B86" s="19"/>
      <c r="C86" s="20"/>
      <c r="D86" s="21"/>
      <c r="E86" s="21"/>
      <c r="F86" s="23"/>
      <c r="G86" s="37"/>
      <c r="H86" s="37"/>
      <c r="I86" s="37"/>
    </row>
    <row r="87" spans="1:9" ht="15.75" customHeight="1">
      <c r="A87" s="18"/>
      <c r="B87" s="19"/>
      <c r="C87" s="20"/>
      <c r="D87" s="21"/>
      <c r="E87" s="21"/>
      <c r="F87" s="23"/>
      <c r="G87" s="37"/>
      <c r="H87" s="37"/>
      <c r="I87" s="37"/>
    </row>
    <row r="88" spans="1:9" ht="15.75" customHeight="1">
      <c r="A88" s="18"/>
      <c r="B88" s="19"/>
      <c r="C88" s="20"/>
      <c r="D88" s="21"/>
      <c r="E88" s="21"/>
      <c r="F88" s="23"/>
      <c r="G88" s="37"/>
      <c r="H88" s="37"/>
      <c r="I88" s="37"/>
    </row>
    <row r="89" spans="1:9" ht="15.75" customHeight="1">
      <c r="A89" s="18"/>
      <c r="B89" s="19"/>
      <c r="C89" s="20"/>
      <c r="D89" s="21"/>
      <c r="E89" s="21"/>
      <c r="F89" s="23"/>
      <c r="G89" s="37"/>
      <c r="H89" s="37"/>
      <c r="I89" s="37"/>
    </row>
    <row r="90" spans="1:9" ht="15.75" customHeight="1">
      <c r="A90" s="18"/>
      <c r="B90" s="19"/>
      <c r="C90" s="20"/>
      <c r="D90" s="21"/>
      <c r="E90" s="21"/>
      <c r="F90" s="23"/>
      <c r="G90" s="37"/>
      <c r="H90" s="37"/>
      <c r="I90" s="37"/>
    </row>
    <row r="91" spans="1:9" ht="15.75" customHeight="1">
      <c r="A91" s="18"/>
      <c r="B91" s="19"/>
      <c r="C91" s="20"/>
      <c r="D91" s="21"/>
      <c r="E91" s="21"/>
      <c r="F91" s="23"/>
      <c r="G91" s="37"/>
      <c r="H91" s="37"/>
      <c r="I91" s="37"/>
    </row>
    <row r="92" spans="1:9" ht="15.75" customHeight="1">
      <c r="A92" s="18"/>
      <c r="B92" s="19"/>
      <c r="C92" s="20"/>
      <c r="D92" s="21"/>
      <c r="E92" s="21"/>
      <c r="F92" s="23"/>
      <c r="G92" s="37"/>
      <c r="H92" s="37"/>
      <c r="I92" s="37"/>
    </row>
    <row r="93" spans="1:9" ht="15.75" customHeight="1">
      <c r="A93" s="18"/>
      <c r="B93" s="19"/>
      <c r="C93" s="20"/>
      <c r="D93" s="21"/>
      <c r="E93" s="21"/>
      <c r="F93" s="23"/>
      <c r="G93" s="37"/>
      <c r="H93" s="37"/>
      <c r="I93" s="37"/>
    </row>
    <row r="94" spans="1:9" ht="15.75" customHeight="1">
      <c r="A94" s="18"/>
      <c r="B94" s="19"/>
      <c r="C94" s="20"/>
      <c r="D94" s="21"/>
      <c r="E94" s="21"/>
      <c r="F94" s="23"/>
      <c r="G94" s="37"/>
      <c r="H94" s="37"/>
      <c r="I94" s="37"/>
    </row>
    <row r="95" spans="1:9" ht="15.75" customHeight="1">
      <c r="A95" s="18"/>
      <c r="B95" s="19"/>
      <c r="C95" s="20"/>
      <c r="D95" s="21"/>
      <c r="E95" s="21"/>
      <c r="F95" s="23"/>
      <c r="G95" s="37"/>
      <c r="H95" s="37"/>
      <c r="I95" s="37"/>
    </row>
    <row r="96" spans="1:9" ht="15.75" customHeight="1">
      <c r="A96" s="18"/>
      <c r="B96" s="19"/>
      <c r="C96" s="20"/>
      <c r="D96" s="21"/>
      <c r="E96" s="21"/>
      <c r="F96" s="23"/>
      <c r="G96" s="37"/>
      <c r="H96" s="37"/>
      <c r="I96" s="37"/>
    </row>
    <row r="97" spans="1:9" ht="15.75" customHeight="1">
      <c r="A97" s="18"/>
      <c r="B97" s="19"/>
      <c r="C97" s="20"/>
      <c r="D97" s="21"/>
      <c r="E97" s="21"/>
      <c r="F97" s="23"/>
      <c r="G97" s="37"/>
      <c r="H97" s="37"/>
      <c r="I97" s="37"/>
    </row>
    <row r="98" spans="1:9" ht="15.75" customHeight="1">
      <c r="A98" s="18"/>
      <c r="B98" s="19"/>
      <c r="C98" s="20"/>
      <c r="D98" s="21"/>
      <c r="E98" s="21"/>
      <c r="F98" s="23"/>
      <c r="G98" s="37"/>
      <c r="H98" s="37"/>
      <c r="I98" s="37"/>
    </row>
    <row r="99" spans="1:9" ht="15.75" customHeight="1">
      <c r="A99" s="18"/>
      <c r="B99" s="19"/>
      <c r="C99" s="20"/>
      <c r="D99" s="21"/>
      <c r="E99" s="21"/>
      <c r="F99" s="23"/>
      <c r="G99" s="37"/>
      <c r="H99" s="37"/>
      <c r="I99" s="37"/>
    </row>
    <row r="100" spans="1:9" ht="15.75" customHeight="1">
      <c r="A100" s="18"/>
      <c r="B100" s="19"/>
      <c r="C100" s="20"/>
      <c r="D100" s="21"/>
      <c r="E100" s="21"/>
      <c r="F100" s="23"/>
      <c r="G100" s="37"/>
      <c r="H100" s="37"/>
      <c r="I100" s="37"/>
    </row>
    <row r="101" spans="1:9" ht="15.75" customHeight="1">
      <c r="A101" s="18"/>
      <c r="B101" s="19"/>
      <c r="C101" s="20"/>
      <c r="D101" s="21"/>
      <c r="E101" s="21"/>
      <c r="F101" s="23"/>
      <c r="G101" s="37"/>
      <c r="H101" s="37"/>
      <c r="I101" s="37"/>
    </row>
    <row r="102" spans="1:9" ht="15.75" customHeight="1">
      <c r="A102" s="18"/>
      <c r="B102" s="19"/>
      <c r="C102" s="20"/>
      <c r="D102" s="21"/>
      <c r="E102" s="21"/>
      <c r="F102" s="23"/>
      <c r="G102" s="37"/>
      <c r="H102" s="37"/>
      <c r="I102" s="37"/>
    </row>
    <row r="103" spans="1:9" ht="15.75" customHeight="1">
      <c r="A103" s="18"/>
      <c r="B103" s="19"/>
      <c r="C103" s="20"/>
      <c r="D103" s="21"/>
      <c r="E103" s="21"/>
      <c r="F103" s="23"/>
      <c r="G103" s="37"/>
      <c r="H103" s="37"/>
      <c r="I103" s="37"/>
    </row>
    <row r="104" spans="1:9" ht="15.75" customHeight="1">
      <c r="A104" s="18"/>
      <c r="B104" s="19"/>
      <c r="C104" s="20"/>
      <c r="D104" s="21"/>
      <c r="E104" s="21"/>
      <c r="F104" s="23"/>
      <c r="G104" s="37"/>
      <c r="H104" s="37"/>
      <c r="I104" s="37"/>
    </row>
    <row r="105" spans="1:9" ht="15.75" customHeight="1">
      <c r="A105" s="18"/>
      <c r="B105" s="19"/>
      <c r="C105" s="20"/>
      <c r="D105" s="21"/>
      <c r="E105" s="21"/>
      <c r="F105" s="23"/>
      <c r="G105" s="37"/>
      <c r="H105" s="37"/>
      <c r="I105" s="37"/>
    </row>
    <row r="106" spans="1:9" ht="15.75" customHeight="1">
      <c r="A106" s="18"/>
      <c r="B106" s="19"/>
      <c r="C106" s="20"/>
      <c r="D106" s="21"/>
      <c r="E106" s="21"/>
      <c r="F106" s="23"/>
      <c r="G106" s="37"/>
      <c r="H106" s="37"/>
      <c r="I106" s="37"/>
    </row>
    <row r="107" spans="1:9" ht="15.75" customHeight="1">
      <c r="A107" s="18"/>
      <c r="B107" s="19"/>
      <c r="C107" s="20"/>
      <c r="D107" s="21"/>
      <c r="E107" s="21"/>
      <c r="F107" s="23"/>
      <c r="G107" s="37"/>
      <c r="H107" s="37"/>
      <c r="I107" s="37"/>
    </row>
    <row r="108" spans="1:9" ht="15.75" customHeight="1">
      <c r="A108" s="18"/>
      <c r="B108" s="19"/>
      <c r="C108" s="20"/>
      <c r="D108" s="21"/>
      <c r="E108" s="21"/>
      <c r="F108" s="23"/>
      <c r="G108" s="37"/>
      <c r="H108" s="37"/>
      <c r="I108" s="37"/>
    </row>
    <row r="109" spans="1:9" ht="15.75" customHeight="1">
      <c r="A109" s="18"/>
      <c r="B109" s="19"/>
      <c r="C109" s="20"/>
      <c r="D109" s="21"/>
      <c r="E109" s="21"/>
      <c r="F109" s="23"/>
      <c r="G109" s="37"/>
      <c r="H109" s="37"/>
      <c r="I109" s="37"/>
    </row>
    <row r="110" spans="1:9" ht="15.75" customHeight="1">
      <c r="A110" s="18"/>
      <c r="B110" s="19"/>
      <c r="C110" s="20"/>
      <c r="D110" s="21"/>
      <c r="E110" s="21"/>
      <c r="F110" s="23"/>
      <c r="G110" s="37"/>
      <c r="H110" s="37"/>
      <c r="I110" s="37"/>
    </row>
    <row r="111" spans="1:9" ht="15.75" customHeight="1">
      <c r="A111" s="18"/>
      <c r="B111" s="19"/>
      <c r="C111" s="20"/>
      <c r="D111" s="21"/>
      <c r="E111" s="21"/>
      <c r="F111" s="23"/>
      <c r="G111" s="37"/>
      <c r="H111" s="37"/>
      <c r="I111" s="37"/>
    </row>
    <row r="112" spans="1:9" ht="15.75" customHeight="1">
      <c r="A112" s="18"/>
      <c r="B112" s="19"/>
      <c r="C112" s="20"/>
      <c r="D112" s="21"/>
      <c r="E112" s="21"/>
      <c r="F112" s="23"/>
      <c r="G112" s="37"/>
      <c r="H112" s="37"/>
      <c r="I112" s="37"/>
    </row>
    <row r="113" spans="1:9" ht="15.75" customHeight="1">
      <c r="A113" s="18"/>
      <c r="B113" s="19"/>
      <c r="C113" s="20"/>
      <c r="D113" s="21"/>
      <c r="E113" s="21"/>
      <c r="F113" s="23"/>
      <c r="G113" s="37"/>
      <c r="H113" s="37"/>
      <c r="I113" s="37"/>
    </row>
    <row r="114" spans="1:9" ht="15.75" customHeight="1">
      <c r="A114" s="18"/>
      <c r="B114" s="19"/>
      <c r="C114" s="20"/>
      <c r="D114" s="21"/>
      <c r="E114" s="21"/>
      <c r="F114" s="23"/>
      <c r="G114" s="37"/>
      <c r="H114" s="37"/>
      <c r="I114" s="37"/>
    </row>
    <row r="115" spans="1:9" ht="15.75" customHeight="1">
      <c r="A115" s="18"/>
      <c r="B115" s="19"/>
      <c r="C115" s="20"/>
      <c r="D115" s="21"/>
      <c r="E115" s="21"/>
      <c r="F115" s="23"/>
      <c r="G115" s="37"/>
      <c r="H115" s="37"/>
      <c r="I115" s="37"/>
    </row>
    <row r="116" spans="1:9" ht="15.75" customHeight="1">
      <c r="A116" s="18"/>
      <c r="B116" s="19"/>
      <c r="C116" s="20"/>
      <c r="D116" s="21"/>
      <c r="E116" s="21"/>
      <c r="F116" s="23"/>
      <c r="G116" s="37"/>
      <c r="H116" s="37"/>
      <c r="I116" s="37"/>
    </row>
    <row r="117" spans="1:9" ht="15.75" customHeight="1">
      <c r="A117" s="19"/>
      <c r="B117" s="19"/>
      <c r="C117" s="19"/>
      <c r="D117" s="19"/>
      <c r="E117" s="19"/>
      <c r="F117" s="23"/>
      <c r="G117" s="37"/>
      <c r="H117" s="37"/>
      <c r="I117" s="37"/>
    </row>
    <row r="118" spans="1:9" ht="15.75" customHeight="1">
      <c r="F118" s="24"/>
      <c r="G118" s="37"/>
      <c r="H118" s="37"/>
      <c r="I118" s="37"/>
    </row>
    <row r="119" spans="1:9" ht="15.75" customHeight="1">
      <c r="F119" s="24"/>
      <c r="G119" s="37"/>
      <c r="H119" s="37"/>
      <c r="I119" s="37"/>
    </row>
    <row r="120" spans="1:9" ht="15.75" customHeight="1">
      <c r="F120" s="24"/>
      <c r="G120" s="37"/>
      <c r="H120" s="37"/>
      <c r="I120" s="37"/>
    </row>
    <row r="121" spans="1:9" ht="15.75" customHeight="1">
      <c r="F121" s="24"/>
      <c r="G121" s="37"/>
      <c r="H121" s="37"/>
      <c r="I121" s="37"/>
    </row>
    <row r="122" spans="1:9" ht="15.75" customHeight="1">
      <c r="F122" s="24"/>
      <c r="G122" s="37"/>
      <c r="H122" s="37"/>
      <c r="I122" s="37"/>
    </row>
    <row r="123" spans="1:9" ht="15.75" customHeight="1">
      <c r="F123" s="24"/>
      <c r="G123" s="37"/>
      <c r="H123" s="37"/>
      <c r="I123" s="37"/>
    </row>
    <row r="124" spans="1:9" ht="15.75" customHeight="1">
      <c r="F124" s="24"/>
      <c r="G124" s="37"/>
      <c r="H124" s="37"/>
      <c r="I124" s="37"/>
    </row>
    <row r="125" spans="1:9" ht="15.75" customHeight="1">
      <c r="F125" s="24"/>
      <c r="G125" s="37"/>
      <c r="H125" s="37"/>
      <c r="I125" s="37"/>
    </row>
    <row r="126" spans="1:9" ht="15.75" customHeight="1">
      <c r="F126" s="24"/>
      <c r="G126" s="37"/>
      <c r="H126" s="37"/>
      <c r="I126" s="37"/>
    </row>
    <row r="127" spans="1:9" ht="15.75" customHeight="1">
      <c r="F127" s="24"/>
      <c r="G127" s="37"/>
      <c r="H127" s="37"/>
      <c r="I127" s="37"/>
    </row>
    <row r="128" spans="1:9" ht="15.75" customHeight="1">
      <c r="F128" s="24"/>
      <c r="G128" s="37"/>
      <c r="H128" s="37"/>
      <c r="I128" s="37"/>
    </row>
    <row r="129" spans="6:9" ht="15.75" customHeight="1">
      <c r="F129" s="24"/>
      <c r="G129" s="37"/>
      <c r="H129" s="37"/>
      <c r="I129" s="37"/>
    </row>
    <row r="130" spans="6:9" ht="15.75" customHeight="1">
      <c r="F130" s="24"/>
      <c r="G130" s="37"/>
      <c r="H130" s="37"/>
      <c r="I130" s="37"/>
    </row>
    <row r="131" spans="6:9" ht="15.75" customHeight="1">
      <c r="F131" s="24"/>
      <c r="G131" s="37"/>
      <c r="H131" s="37"/>
      <c r="I131" s="37"/>
    </row>
    <row r="132" spans="6:9" ht="15.75" customHeight="1">
      <c r="F132" s="24"/>
      <c r="G132" s="37"/>
      <c r="H132" s="37"/>
      <c r="I132" s="37"/>
    </row>
    <row r="133" spans="6:9" ht="15.75" customHeight="1">
      <c r="F133" s="24"/>
      <c r="G133" s="37"/>
      <c r="H133" s="37"/>
      <c r="I133" s="37"/>
    </row>
    <row r="134" spans="6:9" ht="15.75" customHeight="1">
      <c r="F134" s="24"/>
      <c r="G134" s="37"/>
      <c r="H134" s="37"/>
      <c r="I134" s="37"/>
    </row>
    <row r="135" spans="6:9" ht="15.75" customHeight="1">
      <c r="F135" s="24"/>
      <c r="G135" s="37"/>
      <c r="H135" s="37"/>
      <c r="I135" s="37"/>
    </row>
    <row r="136" spans="6:9" ht="15.75" customHeight="1">
      <c r="F136" s="24"/>
      <c r="G136" s="37"/>
      <c r="H136" s="37"/>
      <c r="I136" s="37"/>
    </row>
    <row r="137" spans="6:9" ht="15.75" customHeight="1">
      <c r="F137" s="24"/>
      <c r="G137" s="37"/>
      <c r="H137" s="37"/>
      <c r="I137" s="37"/>
    </row>
    <row r="138" spans="6:9" ht="15.75" customHeight="1">
      <c r="F138" s="24"/>
      <c r="G138" s="37"/>
      <c r="H138" s="37"/>
      <c r="I138" s="37"/>
    </row>
    <row r="139" spans="6:9" ht="15.75" customHeight="1">
      <c r="F139" s="24"/>
      <c r="G139" s="37"/>
      <c r="H139" s="37"/>
      <c r="I139" s="37"/>
    </row>
    <row r="140" spans="6:9" ht="15.75" customHeight="1">
      <c r="F140" s="24"/>
      <c r="G140" s="37"/>
      <c r="H140" s="37"/>
      <c r="I140" s="37"/>
    </row>
    <row r="141" spans="6:9" ht="15.75" customHeight="1">
      <c r="F141" s="24"/>
      <c r="G141" s="37"/>
      <c r="H141" s="37"/>
      <c r="I141" s="37"/>
    </row>
    <row r="142" spans="6:9" ht="15.75" customHeight="1">
      <c r="F142" s="24"/>
      <c r="G142" s="37"/>
      <c r="H142" s="37"/>
      <c r="I142" s="37"/>
    </row>
    <row r="143" spans="6:9" ht="15.75" customHeight="1">
      <c r="F143" s="24"/>
      <c r="G143" s="37"/>
      <c r="H143" s="37"/>
      <c r="I143" s="37"/>
    </row>
    <row r="144" spans="6:9" ht="15.75" customHeight="1">
      <c r="F144" s="24"/>
      <c r="G144" s="37"/>
      <c r="H144" s="37"/>
      <c r="I144" s="37"/>
    </row>
    <row r="145" spans="6:9" ht="15.75" customHeight="1">
      <c r="F145" s="24"/>
      <c r="G145" s="37"/>
      <c r="H145" s="37"/>
      <c r="I145" s="37"/>
    </row>
    <row r="146" spans="6:9" ht="15.75" customHeight="1">
      <c r="F146" s="24"/>
      <c r="G146" s="37"/>
      <c r="H146" s="37"/>
      <c r="I146" s="37"/>
    </row>
    <row r="147" spans="6:9" ht="15.75" customHeight="1">
      <c r="F147" s="24"/>
      <c r="G147" s="37"/>
      <c r="H147" s="37"/>
      <c r="I147" s="37"/>
    </row>
    <row r="148" spans="6:9" ht="15.75" customHeight="1">
      <c r="F148" s="24"/>
      <c r="G148" s="37"/>
      <c r="H148" s="37"/>
      <c r="I148" s="37"/>
    </row>
    <row r="149" spans="6:9" ht="15.75" customHeight="1">
      <c r="F149" s="24"/>
      <c r="G149" s="37"/>
      <c r="H149" s="37"/>
      <c r="I149" s="37"/>
    </row>
    <row r="150" spans="6:9" ht="15.75" customHeight="1">
      <c r="F150" s="24"/>
      <c r="G150" s="37"/>
      <c r="H150" s="37"/>
      <c r="I150" s="37"/>
    </row>
    <row r="151" spans="6:9" ht="15.75" customHeight="1">
      <c r="F151" s="24"/>
      <c r="G151" s="37"/>
      <c r="H151" s="37"/>
      <c r="I151" s="37"/>
    </row>
    <row r="152" spans="6:9" ht="15.75" customHeight="1">
      <c r="F152" s="24"/>
      <c r="G152" s="37"/>
      <c r="H152" s="37"/>
      <c r="I152" s="37"/>
    </row>
    <row r="153" spans="6:9" ht="15.75" customHeight="1">
      <c r="F153" s="24"/>
      <c r="G153" s="37"/>
      <c r="H153" s="37"/>
      <c r="I153" s="37"/>
    </row>
    <row r="154" spans="6:9" ht="15.75" customHeight="1">
      <c r="F154" s="24"/>
      <c r="G154" s="37"/>
      <c r="H154" s="37"/>
      <c r="I154" s="37"/>
    </row>
    <row r="155" spans="6:9" ht="15.75" customHeight="1">
      <c r="F155" s="24"/>
      <c r="G155" s="37"/>
      <c r="H155" s="37"/>
      <c r="I155" s="37"/>
    </row>
    <row r="156" spans="6:9" ht="15.75" customHeight="1">
      <c r="F156" s="24"/>
      <c r="G156" s="37"/>
      <c r="H156" s="37"/>
      <c r="I156" s="37"/>
    </row>
    <row r="157" spans="6:9" ht="15.75" customHeight="1">
      <c r="F157" s="24"/>
      <c r="G157" s="37"/>
      <c r="H157" s="37"/>
      <c r="I157" s="37"/>
    </row>
    <row r="158" spans="6:9" ht="15.75" customHeight="1">
      <c r="F158" s="24"/>
      <c r="G158" s="37"/>
      <c r="H158" s="37"/>
      <c r="I158" s="37"/>
    </row>
    <row r="159" spans="6:9" ht="15.75" customHeight="1">
      <c r="F159" s="24"/>
      <c r="G159" s="37"/>
      <c r="H159" s="37"/>
      <c r="I159" s="37"/>
    </row>
    <row r="160" spans="6:9" ht="15.75" customHeight="1">
      <c r="F160" s="24"/>
      <c r="G160" s="37"/>
      <c r="H160" s="37"/>
      <c r="I160" s="37"/>
    </row>
    <row r="161" spans="6:9" ht="15.75" customHeight="1">
      <c r="F161" s="24"/>
      <c r="G161" s="37"/>
      <c r="H161" s="37"/>
      <c r="I161" s="37"/>
    </row>
    <row r="162" spans="6:9" ht="15.75" customHeight="1">
      <c r="F162" s="24"/>
      <c r="G162" s="37"/>
      <c r="H162" s="37"/>
      <c r="I162" s="37"/>
    </row>
    <row r="163" spans="6:9" ht="15.75" customHeight="1">
      <c r="F163" s="24"/>
      <c r="G163" s="37"/>
      <c r="H163" s="37"/>
      <c r="I163" s="37"/>
    </row>
    <row r="164" spans="6:9" ht="15.75" customHeight="1">
      <c r="F164" s="24"/>
      <c r="G164" s="37"/>
      <c r="H164" s="37"/>
      <c r="I164" s="37"/>
    </row>
    <row r="165" spans="6:9" ht="15.75" customHeight="1">
      <c r="F165" s="24"/>
      <c r="G165" s="37"/>
      <c r="H165" s="37"/>
      <c r="I165" s="37"/>
    </row>
    <row r="166" spans="6:9" ht="15.75" customHeight="1">
      <c r="F166" s="24"/>
      <c r="G166" s="37"/>
      <c r="H166" s="37"/>
      <c r="I166" s="37"/>
    </row>
    <row r="167" spans="6:9" ht="15.75" customHeight="1">
      <c r="F167" s="24"/>
      <c r="G167" s="37"/>
      <c r="H167" s="37"/>
      <c r="I167" s="37"/>
    </row>
    <row r="168" spans="6:9" ht="15.75" customHeight="1">
      <c r="F168" s="24"/>
      <c r="G168" s="37"/>
      <c r="H168" s="37"/>
      <c r="I168" s="37"/>
    </row>
    <row r="169" spans="6:9" ht="15.75" customHeight="1">
      <c r="F169" s="24"/>
      <c r="G169" s="37"/>
      <c r="H169" s="37"/>
      <c r="I169" s="37"/>
    </row>
    <row r="170" spans="6:9" ht="15.75" customHeight="1">
      <c r="F170" s="24"/>
      <c r="G170" s="37"/>
      <c r="H170" s="37"/>
      <c r="I170" s="37"/>
    </row>
    <row r="171" spans="6:9" ht="15.75" customHeight="1">
      <c r="F171" s="24"/>
      <c r="G171" s="37"/>
      <c r="H171" s="37"/>
      <c r="I171" s="37"/>
    </row>
    <row r="172" spans="6:9" ht="15.75" customHeight="1">
      <c r="F172" s="24"/>
      <c r="G172" s="37"/>
      <c r="H172" s="37"/>
      <c r="I172" s="37"/>
    </row>
    <row r="173" spans="6:9" ht="15.75" customHeight="1">
      <c r="F173" s="24"/>
      <c r="G173" s="37"/>
      <c r="H173" s="37"/>
      <c r="I173" s="37"/>
    </row>
    <row r="174" spans="6:9" ht="15.75" customHeight="1">
      <c r="F174" s="24"/>
      <c r="G174" s="37"/>
      <c r="H174" s="37"/>
      <c r="I174" s="37"/>
    </row>
    <row r="175" spans="6:9" ht="15.75" customHeight="1">
      <c r="F175" s="24"/>
      <c r="G175" s="37"/>
      <c r="H175" s="37"/>
      <c r="I175" s="37"/>
    </row>
    <row r="176" spans="6:9" ht="15.75" customHeight="1">
      <c r="F176" s="24"/>
      <c r="G176" s="37"/>
      <c r="H176" s="37"/>
      <c r="I176" s="37"/>
    </row>
    <row r="177" spans="6:9" ht="15.75" customHeight="1">
      <c r="F177" s="24"/>
      <c r="G177" s="37"/>
      <c r="H177" s="37"/>
      <c r="I177" s="37"/>
    </row>
    <row r="178" spans="6:9" ht="15.75" customHeight="1">
      <c r="F178" s="24"/>
      <c r="G178" s="37"/>
      <c r="H178" s="37"/>
      <c r="I178" s="37"/>
    </row>
    <row r="179" spans="6:9" ht="15.75" customHeight="1">
      <c r="F179" s="24"/>
      <c r="G179" s="37"/>
      <c r="H179" s="37"/>
      <c r="I179" s="37"/>
    </row>
    <row r="180" spans="6:9" ht="15.75" customHeight="1">
      <c r="F180" s="24"/>
      <c r="G180" s="37"/>
      <c r="H180" s="37"/>
      <c r="I180" s="37"/>
    </row>
    <row r="181" spans="6:9" ht="15.75" customHeight="1">
      <c r="F181" s="24"/>
      <c r="G181" s="37"/>
      <c r="H181" s="37"/>
      <c r="I181" s="37"/>
    </row>
    <row r="182" spans="6:9" ht="15.75" customHeight="1">
      <c r="F182" s="24"/>
      <c r="G182" s="37"/>
      <c r="H182" s="37"/>
      <c r="I182" s="37"/>
    </row>
    <row r="183" spans="6:9" ht="15.75" customHeight="1">
      <c r="F183" s="24"/>
      <c r="G183" s="37"/>
      <c r="H183" s="37"/>
      <c r="I183" s="37"/>
    </row>
    <row r="184" spans="6:9" ht="15.75" customHeight="1">
      <c r="F184" s="24"/>
      <c r="G184" s="37"/>
      <c r="H184" s="37"/>
      <c r="I184" s="37"/>
    </row>
    <row r="185" spans="6:9" ht="15.75" customHeight="1">
      <c r="F185" s="24"/>
      <c r="G185" s="37"/>
      <c r="H185" s="37"/>
      <c r="I185" s="37"/>
    </row>
    <row r="186" spans="6:9" ht="15.75" customHeight="1">
      <c r="F186" s="24"/>
      <c r="G186" s="37"/>
      <c r="H186" s="37"/>
      <c r="I186" s="37"/>
    </row>
    <row r="187" spans="6:9" ht="15.75" customHeight="1">
      <c r="F187" s="24"/>
      <c r="G187" s="37"/>
      <c r="H187" s="37"/>
      <c r="I187" s="37"/>
    </row>
    <row r="188" spans="6:9" ht="15.75" customHeight="1">
      <c r="F188" s="24"/>
      <c r="G188" s="37"/>
      <c r="H188" s="37"/>
      <c r="I188" s="37"/>
    </row>
    <row r="189" spans="6:9" ht="15.75" customHeight="1">
      <c r="F189" s="24"/>
      <c r="G189" s="37"/>
      <c r="H189" s="37"/>
      <c r="I189" s="37"/>
    </row>
    <row r="190" spans="6:9" ht="15.75" customHeight="1">
      <c r="F190" s="24"/>
      <c r="G190" s="37"/>
      <c r="H190" s="37"/>
      <c r="I190" s="37"/>
    </row>
    <row r="191" spans="6:9" ht="15.75" customHeight="1">
      <c r="F191" s="24"/>
      <c r="G191" s="37"/>
      <c r="H191" s="37"/>
      <c r="I191" s="37"/>
    </row>
    <row r="192" spans="6:9" ht="15.75" customHeight="1">
      <c r="F192" s="24"/>
      <c r="G192" s="37"/>
      <c r="H192" s="37"/>
      <c r="I192" s="37"/>
    </row>
    <row r="193" spans="6:9" ht="15.75" customHeight="1">
      <c r="F193" s="24"/>
      <c r="G193" s="37"/>
      <c r="H193" s="37"/>
      <c r="I193" s="37"/>
    </row>
    <row r="194" spans="6:9" ht="15.75" customHeight="1">
      <c r="F194" s="24"/>
      <c r="G194" s="37"/>
      <c r="H194" s="37"/>
      <c r="I194" s="37"/>
    </row>
    <row r="195" spans="6:9" ht="15.75" customHeight="1">
      <c r="F195" s="24"/>
      <c r="G195" s="37"/>
      <c r="H195" s="37"/>
      <c r="I195" s="37"/>
    </row>
    <row r="196" spans="6:9" ht="15.75" customHeight="1">
      <c r="F196" s="24"/>
      <c r="G196" s="37"/>
      <c r="H196" s="37"/>
      <c r="I196" s="37"/>
    </row>
    <row r="197" spans="6:9" ht="15.75" customHeight="1">
      <c r="F197" s="24"/>
      <c r="G197" s="37"/>
      <c r="H197" s="37"/>
      <c r="I197" s="37"/>
    </row>
    <row r="198" spans="6:9" ht="15.75" customHeight="1">
      <c r="F198" s="24"/>
      <c r="G198" s="37"/>
      <c r="H198" s="37"/>
      <c r="I198" s="37"/>
    </row>
    <row r="199" spans="6:9" ht="15.75" customHeight="1">
      <c r="F199" s="24"/>
      <c r="G199" s="37"/>
      <c r="H199" s="37"/>
      <c r="I199" s="37"/>
    </row>
    <row r="200" spans="6:9" ht="15.75" customHeight="1">
      <c r="F200" s="24"/>
      <c r="G200" s="37"/>
      <c r="H200" s="37"/>
      <c r="I200" s="37"/>
    </row>
    <row r="201" spans="6:9" ht="15.75" customHeight="1">
      <c r="F201" s="24"/>
      <c r="G201" s="37"/>
      <c r="H201" s="37"/>
      <c r="I201" s="37"/>
    </row>
    <row r="202" spans="6:9" ht="15.75" customHeight="1">
      <c r="F202" s="24"/>
      <c r="G202" s="37"/>
      <c r="H202" s="37"/>
      <c r="I202" s="37"/>
    </row>
    <row r="203" spans="6:9" ht="15.75" customHeight="1">
      <c r="F203" s="24"/>
      <c r="G203" s="37"/>
      <c r="H203" s="37"/>
      <c r="I203" s="37"/>
    </row>
    <row r="204" spans="6:9" ht="15.75" customHeight="1">
      <c r="F204" s="24"/>
      <c r="G204" s="37"/>
      <c r="H204" s="37"/>
      <c r="I204" s="37"/>
    </row>
    <row r="205" spans="6:9" ht="15.75" customHeight="1">
      <c r="F205" s="24"/>
      <c r="G205" s="37"/>
      <c r="H205" s="37"/>
      <c r="I205" s="37"/>
    </row>
    <row r="206" spans="6:9" ht="15.75" customHeight="1">
      <c r="F206" s="24"/>
      <c r="G206" s="37"/>
      <c r="H206" s="37"/>
      <c r="I206" s="37"/>
    </row>
    <row r="207" spans="6:9" ht="15.75" customHeight="1">
      <c r="F207" s="24"/>
      <c r="G207" s="37"/>
      <c r="H207" s="37"/>
      <c r="I207" s="37"/>
    </row>
    <row r="208" spans="6:9" ht="15.75" customHeight="1">
      <c r="F208" s="24"/>
      <c r="G208" s="37"/>
      <c r="H208" s="37"/>
      <c r="I208" s="37"/>
    </row>
    <row r="209" spans="6:9" ht="15.75" customHeight="1">
      <c r="F209" s="24"/>
      <c r="G209" s="37"/>
      <c r="H209" s="37"/>
      <c r="I209" s="37"/>
    </row>
    <row r="210" spans="6:9" ht="15.75" customHeight="1">
      <c r="F210" s="24"/>
      <c r="G210" s="37"/>
      <c r="H210" s="37"/>
      <c r="I210" s="37"/>
    </row>
    <row r="211" spans="6:9" ht="15.75" customHeight="1">
      <c r="F211" s="24"/>
      <c r="G211" s="37"/>
      <c r="H211" s="37"/>
      <c r="I211" s="37"/>
    </row>
    <row r="212" spans="6:9" ht="15.75" customHeight="1">
      <c r="F212" s="24"/>
      <c r="G212" s="37"/>
      <c r="H212" s="37"/>
      <c r="I212" s="37"/>
    </row>
    <row r="213" spans="6:9" ht="15.75" customHeight="1">
      <c r="F213" s="24"/>
      <c r="G213" s="37"/>
      <c r="H213" s="37"/>
      <c r="I213" s="37"/>
    </row>
    <row r="214" spans="6:9" ht="15.75" customHeight="1">
      <c r="F214" s="24"/>
      <c r="G214" s="37"/>
      <c r="H214" s="37"/>
      <c r="I214" s="37"/>
    </row>
    <row r="215" spans="6:9" ht="15.75" customHeight="1">
      <c r="F215" s="24"/>
      <c r="G215" s="37"/>
      <c r="H215" s="37"/>
      <c r="I215" s="37"/>
    </row>
    <row r="216" spans="6:9" ht="15.75" customHeight="1">
      <c r="F216" s="24"/>
      <c r="G216" s="37"/>
      <c r="H216" s="37"/>
      <c r="I216" s="37"/>
    </row>
    <row r="217" spans="6:9" ht="15.75" customHeight="1">
      <c r="F217" s="24"/>
      <c r="G217" s="37"/>
      <c r="H217" s="37"/>
      <c r="I217" s="37"/>
    </row>
    <row r="218" spans="6:9" ht="15.75" customHeight="1">
      <c r="F218" s="24"/>
      <c r="G218" s="37"/>
      <c r="H218" s="37"/>
      <c r="I218" s="37"/>
    </row>
    <row r="219" spans="6:9" ht="15.75" customHeight="1">
      <c r="F219" s="24"/>
      <c r="G219" s="37"/>
      <c r="H219" s="37"/>
      <c r="I219" s="37"/>
    </row>
    <row r="220" spans="6:9" ht="15.75" customHeight="1">
      <c r="F220" s="24"/>
      <c r="G220" s="37"/>
      <c r="H220" s="37"/>
      <c r="I220" s="37"/>
    </row>
    <row r="221" spans="6:9" ht="15.75" customHeight="1">
      <c r="F221" s="24"/>
      <c r="G221" s="37"/>
      <c r="H221" s="37"/>
      <c r="I221" s="37"/>
    </row>
    <row r="222" spans="6:9" ht="15.75" customHeight="1">
      <c r="F222" s="24"/>
      <c r="G222" s="37"/>
      <c r="H222" s="37"/>
      <c r="I222" s="37"/>
    </row>
    <row r="223" spans="6:9" ht="15.75" customHeight="1">
      <c r="F223" s="24"/>
      <c r="G223" s="37"/>
      <c r="H223" s="37"/>
      <c r="I223" s="37"/>
    </row>
    <row r="224" spans="6:9" ht="15.75" customHeight="1">
      <c r="F224" s="24"/>
      <c r="G224" s="37"/>
      <c r="H224" s="37"/>
      <c r="I224" s="37"/>
    </row>
    <row r="225" spans="6:9" ht="15.75" customHeight="1">
      <c r="F225" s="24"/>
      <c r="G225" s="37"/>
      <c r="H225" s="37"/>
      <c r="I225" s="37"/>
    </row>
    <row r="226" spans="6:9" ht="15.75" customHeight="1">
      <c r="F226" s="24"/>
      <c r="G226" s="37"/>
      <c r="H226" s="37"/>
      <c r="I226" s="37"/>
    </row>
    <row r="227" spans="6:9" ht="15.75" customHeight="1">
      <c r="F227" s="24"/>
      <c r="G227" s="37"/>
      <c r="H227" s="37"/>
      <c r="I227" s="37"/>
    </row>
    <row r="228" spans="6:9" ht="15.75" customHeight="1">
      <c r="F228" s="24"/>
      <c r="G228" s="37"/>
      <c r="H228" s="37"/>
      <c r="I228" s="37"/>
    </row>
    <row r="229" spans="6:9" ht="15.75" customHeight="1">
      <c r="F229" s="24"/>
      <c r="G229" s="37"/>
      <c r="H229" s="37"/>
      <c r="I229" s="37"/>
    </row>
    <row r="230" spans="6:9" ht="15.75" customHeight="1">
      <c r="F230" s="24"/>
      <c r="G230" s="37"/>
      <c r="H230" s="37"/>
      <c r="I230" s="37"/>
    </row>
    <row r="231" spans="6:9" ht="15.75" customHeight="1">
      <c r="F231" s="24"/>
      <c r="G231" s="37"/>
      <c r="H231" s="37"/>
      <c r="I231" s="37"/>
    </row>
    <row r="232" spans="6:9" ht="15.75" customHeight="1">
      <c r="F232" s="24"/>
      <c r="G232" s="37"/>
      <c r="H232" s="37"/>
      <c r="I232" s="37"/>
    </row>
    <row r="233" spans="6:9" ht="15.75" customHeight="1">
      <c r="F233" s="24"/>
      <c r="G233" s="37"/>
      <c r="H233" s="37"/>
      <c r="I233" s="37"/>
    </row>
    <row r="234" spans="6:9" ht="15.75" customHeight="1">
      <c r="F234" s="24"/>
      <c r="G234" s="37"/>
      <c r="H234" s="37"/>
      <c r="I234" s="37"/>
    </row>
    <row r="235" spans="6:9" ht="15.75" customHeight="1">
      <c r="F235" s="24"/>
      <c r="G235" s="37"/>
      <c r="H235" s="37"/>
      <c r="I235" s="37"/>
    </row>
    <row r="236" spans="6:9" ht="15.75" customHeight="1">
      <c r="F236" s="24"/>
      <c r="G236" s="37"/>
      <c r="H236" s="37"/>
      <c r="I236" s="37"/>
    </row>
    <row r="237" spans="6:9" ht="15.75" customHeight="1">
      <c r="F237" s="24"/>
      <c r="G237" s="37"/>
      <c r="H237" s="37"/>
      <c r="I237" s="37"/>
    </row>
    <row r="238" spans="6:9" ht="15.75" customHeight="1">
      <c r="F238" s="24"/>
      <c r="G238" s="37"/>
      <c r="H238" s="37"/>
      <c r="I238" s="37"/>
    </row>
    <row r="239" spans="6:9" ht="15.75" customHeight="1">
      <c r="F239" s="24"/>
      <c r="G239" s="37"/>
      <c r="H239" s="37"/>
      <c r="I239" s="37"/>
    </row>
    <row r="240" spans="6:9" ht="15.75" customHeight="1">
      <c r="F240" s="24"/>
      <c r="G240" s="37"/>
      <c r="H240" s="37"/>
      <c r="I240" s="37"/>
    </row>
    <row r="241" spans="6:9" ht="15.75" customHeight="1">
      <c r="F241" s="24"/>
      <c r="G241" s="37"/>
      <c r="H241" s="37"/>
      <c r="I241" s="37"/>
    </row>
    <row r="242" spans="6:9" ht="15.75" customHeight="1">
      <c r="F242" s="24"/>
      <c r="G242" s="37"/>
      <c r="H242" s="37"/>
      <c r="I242" s="37"/>
    </row>
    <row r="243" spans="6:9" ht="15.75" customHeight="1">
      <c r="F243" s="24"/>
      <c r="G243" s="37"/>
      <c r="H243" s="37"/>
      <c r="I243" s="37"/>
    </row>
    <row r="244" spans="6:9" ht="15.75" customHeight="1">
      <c r="F244" s="24"/>
      <c r="G244" s="37"/>
      <c r="H244" s="37"/>
      <c r="I244" s="37"/>
    </row>
    <row r="245" spans="6:9" ht="15.75" customHeight="1">
      <c r="F245" s="24"/>
      <c r="G245" s="37"/>
      <c r="H245" s="37"/>
      <c r="I245" s="37"/>
    </row>
    <row r="246" spans="6:9" ht="15.75" customHeight="1">
      <c r="F246" s="24"/>
      <c r="G246" s="37"/>
      <c r="H246" s="37"/>
      <c r="I246" s="37"/>
    </row>
    <row r="247" spans="6:9" ht="15.75" customHeight="1">
      <c r="F247" s="24"/>
      <c r="G247" s="37"/>
      <c r="H247" s="37"/>
      <c r="I247" s="37"/>
    </row>
    <row r="248" spans="6:9" ht="15.75" customHeight="1">
      <c r="F248" s="24"/>
      <c r="G248" s="37"/>
      <c r="H248" s="37"/>
      <c r="I248" s="37"/>
    </row>
    <row r="249" spans="6:9" ht="15.75" customHeight="1">
      <c r="F249" s="24"/>
      <c r="G249" s="37"/>
      <c r="H249" s="37"/>
      <c r="I249" s="37"/>
    </row>
    <row r="250" spans="6:9" ht="15.75" customHeight="1">
      <c r="F250" s="24"/>
      <c r="G250" s="37"/>
      <c r="H250" s="37"/>
      <c r="I250" s="37"/>
    </row>
    <row r="251" spans="6:9" ht="15.75" customHeight="1">
      <c r="F251" s="24"/>
      <c r="G251" s="37"/>
      <c r="H251" s="37"/>
      <c r="I251" s="37"/>
    </row>
    <row r="252" spans="6:9" ht="15.75" customHeight="1">
      <c r="F252" s="24"/>
      <c r="G252" s="37"/>
      <c r="H252" s="37"/>
      <c r="I252" s="37"/>
    </row>
    <row r="253" spans="6:9" ht="15.75" customHeight="1">
      <c r="F253" s="24"/>
      <c r="G253" s="37"/>
      <c r="H253" s="37"/>
      <c r="I253" s="37"/>
    </row>
    <row r="254" spans="6:9" ht="15.75" customHeight="1">
      <c r="F254" s="24"/>
      <c r="G254" s="37"/>
      <c r="H254" s="37"/>
      <c r="I254" s="37"/>
    </row>
    <row r="255" spans="6:9" ht="15.75" customHeight="1">
      <c r="F255" s="24"/>
      <c r="G255" s="37"/>
      <c r="H255" s="37"/>
      <c r="I255" s="37"/>
    </row>
    <row r="256" spans="6:9" ht="15.75" customHeight="1">
      <c r="F256" s="24"/>
      <c r="G256" s="37"/>
      <c r="H256" s="37"/>
      <c r="I256" s="37"/>
    </row>
    <row r="257" spans="6:9" ht="15.75" customHeight="1">
      <c r="F257" s="24"/>
      <c r="G257" s="37"/>
      <c r="H257" s="37"/>
      <c r="I257" s="37"/>
    </row>
    <row r="258" spans="6:9" ht="15.75" customHeight="1">
      <c r="F258" s="24"/>
      <c r="G258" s="37"/>
      <c r="H258" s="37"/>
      <c r="I258" s="37"/>
    </row>
    <row r="259" spans="6:9" ht="15.75" customHeight="1">
      <c r="F259" s="24"/>
      <c r="G259" s="37"/>
      <c r="H259" s="37"/>
      <c r="I259" s="37"/>
    </row>
    <row r="260" spans="6:9" ht="15.75" customHeight="1">
      <c r="F260" s="24"/>
      <c r="G260" s="37"/>
      <c r="H260" s="37"/>
      <c r="I260" s="37"/>
    </row>
    <row r="261" spans="6:9" ht="15.75" customHeight="1">
      <c r="F261" s="24"/>
      <c r="G261" s="37"/>
      <c r="H261" s="37"/>
      <c r="I261" s="37"/>
    </row>
    <row r="262" spans="6:9" ht="15.75" customHeight="1">
      <c r="F262" s="24"/>
      <c r="G262" s="37"/>
      <c r="H262" s="37"/>
      <c r="I262" s="37"/>
    </row>
    <row r="263" spans="6:9" ht="15.75" customHeight="1">
      <c r="F263" s="24"/>
      <c r="G263" s="37"/>
      <c r="H263" s="37"/>
      <c r="I263" s="37"/>
    </row>
    <row r="264" spans="6:9" ht="15.75" customHeight="1">
      <c r="F264" s="24"/>
      <c r="G264" s="37"/>
      <c r="H264" s="37"/>
      <c r="I264" s="37"/>
    </row>
    <row r="265" spans="6:9" ht="15.75" customHeight="1">
      <c r="F265" s="24"/>
      <c r="G265" s="37"/>
      <c r="H265" s="37"/>
      <c r="I265" s="37"/>
    </row>
    <row r="266" spans="6:9" ht="15.75" customHeight="1">
      <c r="F266" s="24"/>
      <c r="G266" s="37"/>
      <c r="H266" s="37"/>
      <c r="I266" s="37"/>
    </row>
    <row r="267" spans="6:9" ht="15.75" customHeight="1">
      <c r="F267" s="24"/>
      <c r="G267" s="37"/>
      <c r="H267" s="37"/>
      <c r="I267" s="37"/>
    </row>
    <row r="268" spans="6:9" ht="15.75" customHeight="1">
      <c r="F268" s="24"/>
      <c r="G268" s="37"/>
      <c r="H268" s="37"/>
      <c r="I268" s="37"/>
    </row>
    <row r="269" spans="6:9" ht="15.75" customHeight="1">
      <c r="F269" s="24"/>
      <c r="G269" s="37"/>
      <c r="H269" s="37"/>
      <c r="I269" s="37"/>
    </row>
    <row r="270" spans="6:9" ht="15.75" customHeight="1">
      <c r="F270" s="24"/>
      <c r="G270" s="37"/>
      <c r="H270" s="37"/>
      <c r="I270" s="37"/>
    </row>
    <row r="271" spans="6:9" ht="15.75" customHeight="1">
      <c r="F271" s="24"/>
      <c r="G271" s="37"/>
      <c r="H271" s="37"/>
      <c r="I271" s="37"/>
    </row>
    <row r="272" spans="6:9" ht="15.75" customHeight="1">
      <c r="F272" s="24"/>
      <c r="G272" s="37"/>
      <c r="H272" s="37"/>
      <c r="I272" s="37"/>
    </row>
    <row r="273" spans="6:9" ht="15.75" customHeight="1">
      <c r="F273" s="24"/>
      <c r="G273" s="37"/>
      <c r="H273" s="37"/>
      <c r="I273" s="37"/>
    </row>
    <row r="274" spans="6:9" ht="15.75" customHeight="1">
      <c r="F274" s="24"/>
      <c r="G274" s="37"/>
      <c r="H274" s="37"/>
      <c r="I274" s="37"/>
    </row>
    <row r="275" spans="6:9" ht="15.75" customHeight="1">
      <c r="F275" s="24"/>
      <c r="G275" s="37"/>
      <c r="H275" s="37"/>
      <c r="I275" s="37"/>
    </row>
    <row r="276" spans="6:9" ht="15.75" customHeight="1">
      <c r="F276" s="24"/>
      <c r="G276" s="37"/>
      <c r="H276" s="37"/>
      <c r="I276" s="37"/>
    </row>
    <row r="277" spans="6:9" ht="15.75" customHeight="1">
      <c r="F277" s="24"/>
      <c r="G277" s="37"/>
      <c r="H277" s="37"/>
      <c r="I277" s="37"/>
    </row>
    <row r="278" spans="6:9" ht="15.75" customHeight="1">
      <c r="F278" s="24"/>
      <c r="G278" s="37"/>
      <c r="H278" s="37"/>
      <c r="I278" s="37"/>
    </row>
    <row r="279" spans="6:9" ht="15.75" customHeight="1">
      <c r="F279" s="24"/>
      <c r="G279" s="37"/>
      <c r="H279" s="37"/>
      <c r="I279" s="37"/>
    </row>
    <row r="280" spans="6:9" ht="15.75" customHeight="1">
      <c r="F280" s="24"/>
      <c r="G280" s="37"/>
      <c r="H280" s="37"/>
      <c r="I280" s="37"/>
    </row>
    <row r="281" spans="6:9" ht="15.75" customHeight="1">
      <c r="F281" s="24"/>
      <c r="G281" s="37"/>
      <c r="H281" s="37"/>
      <c r="I281" s="37"/>
    </row>
    <row r="282" spans="6:9" ht="15.75" customHeight="1">
      <c r="F282" s="24"/>
      <c r="G282" s="37"/>
      <c r="H282" s="37"/>
      <c r="I282" s="37"/>
    </row>
    <row r="283" spans="6:9" ht="15.75" customHeight="1">
      <c r="F283" s="24"/>
      <c r="G283" s="37"/>
      <c r="H283" s="37"/>
      <c r="I283" s="37"/>
    </row>
    <row r="284" spans="6:9" ht="15.75" customHeight="1">
      <c r="F284" s="24"/>
      <c r="G284" s="37"/>
      <c r="H284" s="37"/>
      <c r="I284" s="37"/>
    </row>
    <row r="285" spans="6:9" ht="15.75" customHeight="1">
      <c r="F285" s="24"/>
      <c r="G285" s="37"/>
      <c r="H285" s="37"/>
      <c r="I285" s="37"/>
    </row>
    <row r="286" spans="6:9" ht="15.75" customHeight="1">
      <c r="F286" s="24"/>
      <c r="G286" s="37"/>
      <c r="H286" s="37"/>
      <c r="I286" s="37"/>
    </row>
    <row r="287" spans="6:9" ht="15.75" customHeight="1">
      <c r="F287" s="24"/>
      <c r="G287" s="37"/>
      <c r="H287" s="37"/>
      <c r="I287" s="37"/>
    </row>
    <row r="288" spans="6:9" ht="15.75" customHeight="1">
      <c r="F288" s="24"/>
      <c r="G288" s="37"/>
      <c r="H288" s="37"/>
      <c r="I288" s="37"/>
    </row>
    <row r="289" spans="6:9" ht="15.75" customHeight="1">
      <c r="F289" s="24"/>
      <c r="G289" s="37"/>
      <c r="H289" s="37"/>
      <c r="I289" s="37"/>
    </row>
    <row r="290" spans="6:9" ht="15.75" customHeight="1">
      <c r="F290" s="24"/>
      <c r="G290" s="37"/>
      <c r="H290" s="37"/>
      <c r="I290" s="37"/>
    </row>
    <row r="291" spans="6:9" ht="15.75" customHeight="1">
      <c r="F291" s="24"/>
      <c r="G291" s="37"/>
      <c r="H291" s="37"/>
      <c r="I291" s="37"/>
    </row>
    <row r="292" spans="6:9" ht="15.75" customHeight="1">
      <c r="F292" s="24"/>
      <c r="G292" s="37"/>
      <c r="H292" s="37"/>
      <c r="I292" s="37"/>
    </row>
    <row r="293" spans="6:9" ht="15.75" customHeight="1">
      <c r="F293" s="24"/>
      <c r="G293" s="37"/>
      <c r="H293" s="37"/>
      <c r="I293" s="37"/>
    </row>
    <row r="294" spans="6:9" ht="15.75" customHeight="1">
      <c r="F294" s="24"/>
      <c r="G294" s="37"/>
      <c r="H294" s="37"/>
      <c r="I294" s="37"/>
    </row>
    <row r="295" spans="6:9" ht="15.75" customHeight="1">
      <c r="F295" s="24"/>
      <c r="G295" s="37"/>
      <c r="H295" s="37"/>
      <c r="I295" s="37"/>
    </row>
    <row r="296" spans="6:9" ht="15.75" customHeight="1">
      <c r="F296" s="24"/>
      <c r="G296" s="37"/>
      <c r="H296" s="37"/>
      <c r="I296" s="37"/>
    </row>
    <row r="297" spans="6:9" ht="15.75" customHeight="1">
      <c r="F297" s="24"/>
      <c r="G297" s="37"/>
      <c r="H297" s="37"/>
      <c r="I297" s="37"/>
    </row>
    <row r="298" spans="6:9" ht="15.75" customHeight="1">
      <c r="F298" s="24"/>
      <c r="G298" s="37"/>
      <c r="H298" s="37"/>
      <c r="I298" s="37"/>
    </row>
    <row r="299" spans="6:9" ht="15.75" customHeight="1">
      <c r="F299" s="24"/>
      <c r="G299" s="37"/>
      <c r="H299" s="37"/>
      <c r="I299" s="37"/>
    </row>
    <row r="300" spans="6:9" ht="15.75" customHeight="1">
      <c r="F300" s="24"/>
      <c r="G300" s="37"/>
      <c r="H300" s="37"/>
      <c r="I300" s="37"/>
    </row>
    <row r="301" spans="6:9" ht="15.75" customHeight="1">
      <c r="F301" s="24"/>
      <c r="G301" s="37"/>
      <c r="H301" s="37"/>
      <c r="I301" s="37"/>
    </row>
    <row r="302" spans="6:9" ht="15.75" customHeight="1">
      <c r="F302" s="24"/>
      <c r="G302" s="37"/>
      <c r="H302" s="37"/>
      <c r="I302" s="37"/>
    </row>
    <row r="303" spans="6:9" ht="15.75" customHeight="1">
      <c r="F303" s="24"/>
      <c r="G303" s="37"/>
      <c r="H303" s="37"/>
      <c r="I303" s="37"/>
    </row>
    <row r="304" spans="6:9" ht="15.75" customHeight="1">
      <c r="F304" s="24"/>
      <c r="G304" s="37"/>
      <c r="H304" s="37"/>
      <c r="I304" s="37"/>
    </row>
    <row r="305" spans="6:9" ht="15.75" customHeight="1">
      <c r="F305" s="24"/>
      <c r="G305" s="37"/>
      <c r="H305" s="37"/>
      <c r="I305" s="37"/>
    </row>
    <row r="306" spans="6:9" ht="15.75" customHeight="1">
      <c r="F306" s="24"/>
      <c r="G306" s="37"/>
      <c r="H306" s="37"/>
      <c r="I306" s="37"/>
    </row>
    <row r="307" spans="6:9" ht="15.75" customHeight="1">
      <c r="F307" s="24"/>
      <c r="G307" s="37"/>
      <c r="H307" s="37"/>
      <c r="I307" s="37"/>
    </row>
    <row r="308" spans="6:9" ht="15.75" customHeight="1">
      <c r="F308" s="24"/>
      <c r="G308" s="37"/>
      <c r="H308" s="37"/>
      <c r="I308" s="37"/>
    </row>
    <row r="309" spans="6:9" ht="15.75" customHeight="1">
      <c r="F309" s="24"/>
      <c r="G309" s="37"/>
      <c r="H309" s="37"/>
      <c r="I309" s="37"/>
    </row>
    <row r="310" spans="6:9" ht="15.75" customHeight="1">
      <c r="F310" s="24"/>
      <c r="G310" s="37"/>
      <c r="H310" s="37"/>
      <c r="I310" s="37"/>
    </row>
    <row r="311" spans="6:9" ht="15.75" customHeight="1">
      <c r="F311" s="24"/>
      <c r="G311" s="37"/>
      <c r="H311" s="37"/>
      <c r="I311" s="37"/>
    </row>
    <row r="312" spans="6:9" ht="15.75" customHeight="1">
      <c r="F312" s="24"/>
      <c r="G312" s="37"/>
      <c r="H312" s="37"/>
      <c r="I312" s="37"/>
    </row>
    <row r="313" spans="6:9" ht="15.75" customHeight="1">
      <c r="F313" s="24"/>
      <c r="G313" s="37"/>
      <c r="H313" s="37"/>
      <c r="I313" s="37"/>
    </row>
    <row r="314" spans="6:9" ht="15.75" customHeight="1">
      <c r="F314" s="24"/>
      <c r="G314" s="37"/>
      <c r="H314" s="37"/>
      <c r="I314" s="37"/>
    </row>
    <row r="315" spans="6:9" ht="15.75" customHeight="1">
      <c r="F315" s="24"/>
      <c r="G315" s="37"/>
      <c r="H315" s="37"/>
      <c r="I315" s="37"/>
    </row>
    <row r="316" spans="6:9" ht="15.75" customHeight="1">
      <c r="F316" s="24"/>
      <c r="G316" s="37"/>
      <c r="H316" s="37"/>
      <c r="I316" s="37"/>
    </row>
    <row r="317" spans="6:9" ht="15.75" customHeight="1">
      <c r="F317" s="24"/>
      <c r="G317" s="37"/>
      <c r="H317" s="37"/>
      <c r="I317" s="37"/>
    </row>
    <row r="318" spans="6:9" ht="15.75" customHeight="1">
      <c r="F318" s="24"/>
      <c r="G318" s="37"/>
      <c r="H318" s="37"/>
      <c r="I318" s="37"/>
    </row>
    <row r="319" spans="6:9" ht="15.75" customHeight="1">
      <c r="F319" s="24"/>
      <c r="G319" s="37"/>
      <c r="H319" s="37"/>
      <c r="I319" s="37"/>
    </row>
    <row r="320" spans="6:9" ht="15.75" customHeight="1">
      <c r="F320" s="24"/>
      <c r="G320" s="37"/>
      <c r="H320" s="37"/>
      <c r="I320" s="37"/>
    </row>
    <row r="321" spans="6:9" ht="15.75" customHeight="1">
      <c r="F321" s="24"/>
      <c r="G321" s="37"/>
      <c r="H321" s="37"/>
      <c r="I321" s="37"/>
    </row>
    <row r="322" spans="6:9" ht="15.75" customHeight="1">
      <c r="F322" s="24"/>
      <c r="G322" s="37"/>
      <c r="H322" s="37"/>
      <c r="I322" s="37"/>
    </row>
    <row r="323" spans="6:9" ht="15.75" customHeight="1">
      <c r="F323" s="24"/>
      <c r="G323" s="37"/>
      <c r="H323" s="37"/>
      <c r="I323" s="37"/>
    </row>
    <row r="324" spans="6:9" ht="15.75" customHeight="1">
      <c r="F324" s="24"/>
      <c r="G324" s="37"/>
      <c r="H324" s="37"/>
      <c r="I324" s="37"/>
    </row>
    <row r="325" spans="6:9" ht="15.75" customHeight="1">
      <c r="F325" s="24"/>
      <c r="G325" s="37"/>
      <c r="H325" s="37"/>
      <c r="I325" s="37"/>
    </row>
    <row r="326" spans="6:9" ht="15.75" customHeight="1">
      <c r="F326" s="24"/>
      <c r="G326" s="37"/>
      <c r="H326" s="37"/>
      <c r="I326" s="37"/>
    </row>
    <row r="327" spans="6:9" ht="15.75" customHeight="1">
      <c r="F327" s="24"/>
      <c r="G327" s="37"/>
      <c r="H327" s="37"/>
      <c r="I327" s="37"/>
    </row>
    <row r="328" spans="6:9" ht="15.75" customHeight="1">
      <c r="F328" s="24"/>
      <c r="G328" s="37"/>
      <c r="H328" s="37"/>
      <c r="I328" s="37"/>
    </row>
    <row r="329" spans="6:9" ht="15.75" customHeight="1">
      <c r="F329" s="24"/>
      <c r="G329" s="37"/>
      <c r="H329" s="37"/>
      <c r="I329" s="37"/>
    </row>
    <row r="330" spans="6:9" ht="15.75" customHeight="1">
      <c r="F330" s="24"/>
      <c r="G330" s="37"/>
      <c r="H330" s="37"/>
      <c r="I330" s="37"/>
    </row>
    <row r="331" spans="6:9" ht="15.75" customHeight="1">
      <c r="F331" s="24"/>
      <c r="G331" s="37"/>
      <c r="H331" s="37"/>
      <c r="I331" s="37"/>
    </row>
    <row r="332" spans="6:9" ht="15.75" customHeight="1">
      <c r="F332" s="24"/>
      <c r="G332" s="37"/>
      <c r="H332" s="37"/>
      <c r="I332" s="37"/>
    </row>
    <row r="333" spans="6:9" ht="15.75" customHeight="1">
      <c r="F333" s="24"/>
      <c r="G333" s="37"/>
      <c r="H333" s="37"/>
      <c r="I333" s="37"/>
    </row>
    <row r="334" spans="6:9" ht="15.75" customHeight="1">
      <c r="F334" s="24"/>
      <c r="G334" s="37"/>
      <c r="H334" s="37"/>
      <c r="I334" s="37"/>
    </row>
    <row r="335" spans="6:9" ht="15.75" customHeight="1">
      <c r="F335" s="24"/>
      <c r="G335" s="37"/>
      <c r="H335" s="37"/>
      <c r="I335" s="37"/>
    </row>
    <row r="336" spans="6:9" ht="15.75" customHeight="1">
      <c r="F336" s="24"/>
      <c r="G336" s="37"/>
      <c r="H336" s="37"/>
      <c r="I336" s="37"/>
    </row>
    <row r="337" spans="6:9" ht="15.75" customHeight="1">
      <c r="F337" s="24"/>
      <c r="G337" s="37"/>
      <c r="H337" s="37"/>
      <c r="I337" s="37"/>
    </row>
    <row r="338" spans="6:9" ht="15.75" customHeight="1">
      <c r="F338" s="24"/>
      <c r="G338" s="37"/>
      <c r="H338" s="37"/>
      <c r="I338" s="37"/>
    </row>
    <row r="339" spans="6:9" ht="15.75" customHeight="1">
      <c r="F339" s="24"/>
      <c r="G339" s="37"/>
      <c r="H339" s="37"/>
      <c r="I339" s="37"/>
    </row>
    <row r="340" spans="6:9" ht="15.75" customHeight="1">
      <c r="F340" s="24"/>
      <c r="G340" s="37"/>
      <c r="H340" s="37"/>
      <c r="I340" s="37"/>
    </row>
    <row r="341" spans="6:9" ht="15.75" customHeight="1">
      <c r="F341" s="24"/>
      <c r="G341" s="37"/>
      <c r="H341" s="37"/>
      <c r="I341" s="37"/>
    </row>
    <row r="342" spans="6:9" ht="15.75" customHeight="1">
      <c r="F342" s="24"/>
      <c r="G342" s="37"/>
      <c r="H342" s="37"/>
      <c r="I342" s="37"/>
    </row>
    <row r="343" spans="6:9" ht="15.75" customHeight="1">
      <c r="F343" s="24"/>
      <c r="G343" s="37"/>
      <c r="H343" s="37"/>
      <c r="I343" s="37"/>
    </row>
    <row r="344" spans="6:9" ht="15.75" customHeight="1">
      <c r="F344" s="24"/>
      <c r="G344" s="37"/>
      <c r="H344" s="37"/>
      <c r="I344" s="37"/>
    </row>
    <row r="345" spans="6:9" ht="15.75" customHeight="1">
      <c r="F345" s="24"/>
      <c r="G345" s="37"/>
      <c r="H345" s="37"/>
      <c r="I345" s="37"/>
    </row>
    <row r="346" spans="6:9" ht="15.75" customHeight="1">
      <c r="F346" s="24"/>
      <c r="G346" s="37"/>
      <c r="H346" s="37"/>
      <c r="I346" s="37"/>
    </row>
    <row r="347" spans="6:9" ht="15.75" customHeight="1">
      <c r="F347" s="24"/>
      <c r="G347" s="37"/>
      <c r="H347" s="37"/>
      <c r="I347" s="37"/>
    </row>
    <row r="348" spans="6:9" ht="15.75" customHeight="1">
      <c r="F348" s="24"/>
      <c r="G348" s="37"/>
      <c r="H348" s="37"/>
      <c r="I348" s="37"/>
    </row>
    <row r="349" spans="6:9" ht="15.75" customHeight="1">
      <c r="F349" s="24"/>
      <c r="G349" s="37"/>
      <c r="H349" s="37"/>
      <c r="I349" s="37"/>
    </row>
    <row r="350" spans="6:9" ht="15.75" customHeight="1">
      <c r="F350" s="24"/>
      <c r="G350" s="37"/>
      <c r="H350" s="37"/>
      <c r="I350" s="37"/>
    </row>
    <row r="351" spans="6:9" ht="15.75" customHeight="1">
      <c r="F351" s="24"/>
      <c r="G351" s="37"/>
      <c r="H351" s="37"/>
      <c r="I351" s="37"/>
    </row>
    <row r="352" spans="6:9" ht="15.75" customHeight="1">
      <c r="F352" s="24"/>
      <c r="G352" s="37"/>
      <c r="H352" s="37"/>
      <c r="I352" s="37"/>
    </row>
    <row r="353" spans="6:9" ht="15.75" customHeight="1">
      <c r="F353" s="24"/>
      <c r="G353" s="37"/>
      <c r="H353" s="37"/>
      <c r="I353" s="37"/>
    </row>
    <row r="354" spans="6:9" ht="15.75" customHeight="1">
      <c r="F354" s="24"/>
      <c r="G354" s="37"/>
      <c r="H354" s="37"/>
      <c r="I354" s="37"/>
    </row>
    <row r="355" spans="6:9" ht="15.75" customHeight="1">
      <c r="F355" s="24"/>
      <c r="G355" s="37"/>
      <c r="H355" s="37"/>
      <c r="I355" s="37"/>
    </row>
    <row r="356" spans="6:9" ht="15.75" customHeight="1">
      <c r="F356" s="24"/>
      <c r="G356" s="37"/>
      <c r="H356" s="37"/>
      <c r="I356" s="37"/>
    </row>
    <row r="357" spans="6:9" ht="15.75" customHeight="1">
      <c r="F357" s="24"/>
      <c r="G357" s="37"/>
      <c r="H357" s="37"/>
      <c r="I357" s="37"/>
    </row>
    <row r="358" spans="6:9" ht="15.75" customHeight="1">
      <c r="F358" s="24"/>
      <c r="G358" s="37"/>
      <c r="H358" s="37"/>
      <c r="I358" s="37"/>
    </row>
    <row r="359" spans="6:9" ht="15.75" customHeight="1">
      <c r="F359" s="24"/>
      <c r="G359" s="37"/>
      <c r="H359" s="37"/>
      <c r="I359" s="37"/>
    </row>
    <row r="360" spans="6:9" ht="15.75" customHeight="1">
      <c r="F360" s="24"/>
      <c r="G360" s="37"/>
      <c r="H360" s="37"/>
      <c r="I360" s="37"/>
    </row>
    <row r="361" spans="6:9" ht="15.75" customHeight="1">
      <c r="F361" s="24"/>
      <c r="G361" s="37"/>
      <c r="H361" s="37"/>
      <c r="I361" s="37"/>
    </row>
    <row r="362" spans="6:9" ht="15.75" customHeight="1">
      <c r="F362" s="24"/>
      <c r="G362" s="37"/>
      <c r="H362" s="37"/>
      <c r="I362" s="37"/>
    </row>
    <row r="363" spans="6:9" ht="15.75" customHeight="1">
      <c r="F363" s="24"/>
      <c r="G363" s="37"/>
      <c r="H363" s="37"/>
      <c r="I363" s="37"/>
    </row>
    <row r="364" spans="6:9" ht="15.75" customHeight="1">
      <c r="F364" s="24"/>
      <c r="G364" s="37"/>
      <c r="H364" s="37"/>
      <c r="I364" s="37"/>
    </row>
    <row r="365" spans="6:9" ht="15.75" customHeight="1">
      <c r="F365" s="24"/>
      <c r="G365" s="37"/>
      <c r="H365" s="37"/>
      <c r="I365" s="37"/>
    </row>
    <row r="366" spans="6:9" ht="15.75" customHeight="1">
      <c r="F366" s="24"/>
      <c r="G366" s="37"/>
      <c r="H366" s="37"/>
      <c r="I366" s="37"/>
    </row>
    <row r="367" spans="6:9" ht="15.75" customHeight="1">
      <c r="F367" s="24"/>
      <c r="G367" s="37"/>
      <c r="H367" s="37"/>
      <c r="I367" s="37"/>
    </row>
    <row r="368" spans="6:9" ht="15.75" customHeight="1">
      <c r="F368" s="24"/>
      <c r="G368" s="37"/>
      <c r="H368" s="37"/>
      <c r="I368" s="37"/>
    </row>
    <row r="369" spans="6:9" ht="15.75" customHeight="1">
      <c r="F369" s="24"/>
      <c r="G369" s="37"/>
      <c r="H369" s="37"/>
      <c r="I369" s="37"/>
    </row>
    <row r="370" spans="6:9" ht="15.75" customHeight="1">
      <c r="F370" s="24"/>
      <c r="G370" s="37"/>
      <c r="H370" s="37"/>
      <c r="I370" s="37"/>
    </row>
    <row r="371" spans="6:9" ht="15.75" customHeight="1">
      <c r="F371" s="24"/>
      <c r="G371" s="37"/>
      <c r="H371" s="37"/>
      <c r="I371" s="37"/>
    </row>
    <row r="372" spans="6:9" ht="15.75" customHeight="1">
      <c r="F372" s="24"/>
      <c r="G372" s="37"/>
      <c r="H372" s="37"/>
      <c r="I372" s="37"/>
    </row>
    <row r="373" spans="6:9" ht="15.75" customHeight="1">
      <c r="F373" s="24"/>
      <c r="G373" s="37"/>
      <c r="H373" s="37"/>
      <c r="I373" s="37"/>
    </row>
    <row r="374" spans="6:9" ht="15.75" customHeight="1">
      <c r="F374" s="24"/>
      <c r="G374" s="37"/>
      <c r="H374" s="37"/>
      <c r="I374" s="37"/>
    </row>
    <row r="375" spans="6:9" ht="15.75" customHeight="1">
      <c r="F375" s="24"/>
      <c r="G375" s="37"/>
      <c r="H375" s="37"/>
      <c r="I375" s="37"/>
    </row>
    <row r="376" spans="6:9" ht="15.75" customHeight="1">
      <c r="F376" s="24"/>
      <c r="G376" s="37"/>
      <c r="H376" s="37"/>
      <c r="I376" s="37"/>
    </row>
    <row r="377" spans="6:9" ht="15.75" customHeight="1">
      <c r="F377" s="24"/>
      <c r="G377" s="37"/>
      <c r="H377" s="37"/>
      <c r="I377" s="37"/>
    </row>
    <row r="378" spans="6:9" ht="15.75" customHeight="1">
      <c r="F378" s="24"/>
      <c r="G378" s="37"/>
      <c r="H378" s="37"/>
      <c r="I378" s="37"/>
    </row>
    <row r="379" spans="6:9" ht="15.75" customHeight="1">
      <c r="F379" s="24"/>
      <c r="G379" s="37"/>
      <c r="H379" s="37"/>
      <c r="I379" s="37"/>
    </row>
    <row r="380" spans="6:9" ht="15.75" customHeight="1">
      <c r="F380" s="24"/>
      <c r="G380" s="37"/>
      <c r="H380" s="37"/>
      <c r="I380" s="37"/>
    </row>
    <row r="381" spans="6:9" ht="15.75" customHeight="1">
      <c r="F381" s="24"/>
      <c r="G381" s="37"/>
      <c r="H381" s="37"/>
      <c r="I381" s="37"/>
    </row>
    <row r="382" spans="6:9" ht="15.75" customHeight="1">
      <c r="F382" s="24"/>
      <c r="G382" s="37"/>
      <c r="H382" s="37"/>
      <c r="I382" s="37"/>
    </row>
    <row r="383" spans="6:9" ht="15.75" customHeight="1">
      <c r="F383" s="24"/>
      <c r="G383" s="37"/>
      <c r="H383" s="37"/>
      <c r="I383" s="37"/>
    </row>
    <row r="384" spans="6:9" ht="15.75" customHeight="1">
      <c r="F384" s="24"/>
      <c r="G384" s="37"/>
      <c r="H384" s="37"/>
      <c r="I384" s="37"/>
    </row>
    <row r="385" spans="6:9" ht="15.75" customHeight="1">
      <c r="F385" s="24"/>
      <c r="G385" s="37"/>
      <c r="H385" s="37"/>
      <c r="I385" s="37"/>
    </row>
    <row r="386" spans="6:9" ht="15.75" customHeight="1">
      <c r="F386" s="24"/>
      <c r="G386" s="37"/>
      <c r="H386" s="37"/>
      <c r="I386" s="37"/>
    </row>
    <row r="387" spans="6:9" ht="15.75" customHeight="1">
      <c r="F387" s="24"/>
      <c r="G387" s="37"/>
      <c r="H387" s="37"/>
      <c r="I387" s="37"/>
    </row>
    <row r="388" spans="6:9" ht="15.75" customHeight="1">
      <c r="F388" s="24"/>
      <c r="G388" s="37"/>
      <c r="H388" s="37"/>
      <c r="I388" s="37"/>
    </row>
    <row r="389" spans="6:9" ht="15.75" customHeight="1">
      <c r="F389" s="24"/>
      <c r="G389" s="37"/>
      <c r="H389" s="37"/>
      <c r="I389" s="37"/>
    </row>
    <row r="390" spans="6:9" ht="15.75" customHeight="1">
      <c r="F390" s="24"/>
      <c r="G390" s="37"/>
      <c r="H390" s="37"/>
      <c r="I390" s="37"/>
    </row>
    <row r="391" spans="6:9" ht="15.75" customHeight="1">
      <c r="F391" s="24"/>
      <c r="G391" s="37"/>
      <c r="H391" s="37"/>
      <c r="I391" s="37"/>
    </row>
    <row r="392" spans="6:9" ht="15.75" customHeight="1">
      <c r="F392" s="24"/>
      <c r="G392" s="37"/>
      <c r="H392" s="37"/>
      <c r="I392" s="37"/>
    </row>
    <row r="393" spans="6:9" ht="15.75" customHeight="1">
      <c r="F393" s="24"/>
      <c r="G393" s="37"/>
      <c r="H393" s="37"/>
      <c r="I393" s="37"/>
    </row>
    <row r="394" spans="6:9" ht="15.75" customHeight="1">
      <c r="F394" s="24"/>
      <c r="G394" s="37"/>
      <c r="H394" s="37"/>
      <c r="I394" s="37"/>
    </row>
    <row r="395" spans="6:9" ht="15.75" customHeight="1">
      <c r="F395" s="24"/>
      <c r="G395" s="37"/>
      <c r="H395" s="37"/>
      <c r="I395" s="37"/>
    </row>
    <row r="396" spans="6:9" ht="15.75" customHeight="1">
      <c r="F396" s="24"/>
      <c r="G396" s="37"/>
      <c r="H396" s="37"/>
      <c r="I396" s="37"/>
    </row>
    <row r="397" spans="6:9" ht="15.75" customHeight="1">
      <c r="F397" s="24"/>
      <c r="G397" s="37"/>
      <c r="H397" s="37"/>
      <c r="I397" s="37"/>
    </row>
    <row r="398" spans="6:9" ht="15.75" customHeight="1">
      <c r="F398" s="24"/>
      <c r="G398" s="37"/>
      <c r="H398" s="37"/>
      <c r="I398" s="37"/>
    </row>
    <row r="399" spans="6:9" ht="15.75" customHeight="1">
      <c r="F399" s="24"/>
      <c r="G399" s="37"/>
      <c r="H399" s="37"/>
      <c r="I399" s="37"/>
    </row>
    <row r="400" spans="6:9" ht="15.75" customHeight="1">
      <c r="F400" s="24"/>
      <c r="G400" s="37"/>
      <c r="H400" s="37"/>
      <c r="I400" s="37"/>
    </row>
    <row r="401" spans="6:9" ht="15.75" customHeight="1">
      <c r="F401" s="24"/>
      <c r="G401" s="37"/>
      <c r="H401" s="37"/>
      <c r="I401" s="37"/>
    </row>
    <row r="402" spans="6:9" ht="15.75" customHeight="1">
      <c r="F402" s="24"/>
      <c r="G402" s="37"/>
      <c r="H402" s="37"/>
      <c r="I402" s="37"/>
    </row>
    <row r="403" spans="6:9" ht="15.75" customHeight="1">
      <c r="F403" s="24"/>
      <c r="G403" s="37"/>
      <c r="H403" s="37"/>
      <c r="I403" s="37"/>
    </row>
    <row r="404" spans="6:9" ht="15.75" customHeight="1">
      <c r="F404" s="24"/>
      <c r="G404" s="37"/>
      <c r="H404" s="37"/>
      <c r="I404" s="37"/>
    </row>
    <row r="405" spans="6:9" ht="15.75" customHeight="1">
      <c r="F405" s="24"/>
      <c r="G405" s="37"/>
      <c r="H405" s="37"/>
      <c r="I405" s="37"/>
    </row>
    <row r="406" spans="6:9" ht="15.75" customHeight="1">
      <c r="F406" s="24"/>
      <c r="G406" s="37"/>
      <c r="H406" s="37"/>
      <c r="I406" s="37"/>
    </row>
    <row r="407" spans="6:9" ht="15.75" customHeight="1">
      <c r="F407" s="24"/>
      <c r="G407" s="37"/>
      <c r="H407" s="37"/>
      <c r="I407" s="37"/>
    </row>
    <row r="408" spans="6:9" ht="15.75" customHeight="1">
      <c r="F408" s="24"/>
      <c r="G408" s="37"/>
      <c r="H408" s="37"/>
      <c r="I408" s="37"/>
    </row>
    <row r="409" spans="6:9" ht="15.75" customHeight="1">
      <c r="F409" s="24"/>
      <c r="G409" s="37"/>
      <c r="H409" s="37"/>
      <c r="I409" s="37"/>
    </row>
    <row r="410" spans="6:9" ht="15.75" customHeight="1">
      <c r="F410" s="24"/>
      <c r="G410" s="37"/>
      <c r="H410" s="37"/>
      <c r="I410" s="37"/>
    </row>
    <row r="411" spans="6:9" ht="15.75" customHeight="1">
      <c r="F411" s="24"/>
      <c r="G411" s="37"/>
      <c r="H411" s="37"/>
      <c r="I411" s="37"/>
    </row>
    <row r="412" spans="6:9" ht="15.75" customHeight="1">
      <c r="F412" s="24"/>
      <c r="G412" s="37"/>
      <c r="H412" s="37"/>
      <c r="I412" s="37"/>
    </row>
    <row r="413" spans="6:9" ht="15.75" customHeight="1">
      <c r="F413" s="24"/>
      <c r="G413" s="37"/>
      <c r="H413" s="37"/>
      <c r="I413" s="37"/>
    </row>
    <row r="414" spans="6:9" ht="15.75" customHeight="1">
      <c r="F414" s="24"/>
      <c r="G414" s="37"/>
      <c r="H414" s="37"/>
      <c r="I414" s="37"/>
    </row>
    <row r="415" spans="6:9" ht="15.75" customHeight="1">
      <c r="F415" s="24"/>
      <c r="G415" s="37"/>
      <c r="H415" s="37"/>
      <c r="I415" s="37"/>
    </row>
    <row r="416" spans="6:9" ht="15.75" customHeight="1">
      <c r="F416" s="24"/>
      <c r="G416" s="37"/>
      <c r="H416" s="37"/>
      <c r="I416" s="37"/>
    </row>
    <row r="417" spans="6:9" ht="15.75" customHeight="1">
      <c r="F417" s="24"/>
      <c r="G417" s="37"/>
      <c r="H417" s="37"/>
      <c r="I417" s="37"/>
    </row>
    <row r="418" spans="6:9" ht="15.75" customHeight="1">
      <c r="F418" s="24"/>
      <c r="G418" s="37"/>
      <c r="H418" s="37"/>
      <c r="I418" s="37"/>
    </row>
    <row r="419" spans="6:9" ht="15.75" customHeight="1">
      <c r="F419" s="24"/>
      <c r="G419" s="37"/>
      <c r="H419" s="37"/>
      <c r="I419" s="37"/>
    </row>
    <row r="420" spans="6:9" ht="15.75" customHeight="1">
      <c r="F420" s="24"/>
      <c r="G420" s="37"/>
      <c r="H420" s="37"/>
      <c r="I420" s="37"/>
    </row>
    <row r="421" spans="6:9" ht="15.75" customHeight="1">
      <c r="F421" s="24"/>
      <c r="G421" s="37"/>
      <c r="H421" s="37"/>
      <c r="I421" s="37"/>
    </row>
    <row r="422" spans="6:9" ht="15.75" customHeight="1">
      <c r="F422" s="24"/>
      <c r="G422" s="37"/>
      <c r="H422" s="37"/>
      <c r="I422" s="37"/>
    </row>
    <row r="423" spans="6:9" ht="15.75" customHeight="1">
      <c r="F423" s="24"/>
      <c r="G423" s="37"/>
      <c r="H423" s="37"/>
      <c r="I423" s="37"/>
    </row>
    <row r="424" spans="6:9" ht="15.75" customHeight="1">
      <c r="F424" s="24"/>
      <c r="G424" s="37"/>
      <c r="H424" s="37"/>
      <c r="I424" s="37"/>
    </row>
    <row r="425" spans="6:9" ht="15.75" customHeight="1">
      <c r="F425" s="24"/>
      <c r="G425" s="37"/>
      <c r="H425" s="37"/>
      <c r="I425" s="37"/>
    </row>
    <row r="426" spans="6:9" ht="15.75" customHeight="1">
      <c r="F426" s="24"/>
      <c r="G426" s="37"/>
      <c r="H426" s="37"/>
      <c r="I426" s="37"/>
    </row>
    <row r="427" spans="6:9" ht="15.75" customHeight="1">
      <c r="F427" s="24"/>
      <c r="G427" s="37"/>
      <c r="H427" s="37"/>
      <c r="I427" s="37"/>
    </row>
    <row r="428" spans="6:9" ht="15.75" customHeight="1">
      <c r="F428" s="24"/>
      <c r="G428" s="37"/>
      <c r="H428" s="37"/>
      <c r="I428" s="37"/>
    </row>
    <row r="429" spans="6:9" ht="15.75" customHeight="1">
      <c r="F429" s="24"/>
      <c r="G429" s="37"/>
      <c r="H429" s="37"/>
      <c r="I429" s="37"/>
    </row>
    <row r="430" spans="6:9" ht="15.75" customHeight="1">
      <c r="F430" s="24"/>
      <c r="G430" s="37"/>
      <c r="H430" s="37"/>
      <c r="I430" s="37"/>
    </row>
    <row r="431" spans="6:9" ht="15.75" customHeight="1">
      <c r="F431" s="24"/>
      <c r="G431" s="37"/>
      <c r="H431" s="37"/>
      <c r="I431" s="37"/>
    </row>
    <row r="432" spans="6:9" ht="15.75" customHeight="1">
      <c r="F432" s="24"/>
      <c r="G432" s="37"/>
      <c r="H432" s="37"/>
      <c r="I432" s="37"/>
    </row>
    <row r="433" spans="6:9" ht="15.75" customHeight="1">
      <c r="F433" s="24"/>
      <c r="G433" s="37"/>
      <c r="H433" s="37"/>
      <c r="I433" s="37"/>
    </row>
    <row r="434" spans="6:9" ht="15.75" customHeight="1">
      <c r="F434" s="24"/>
      <c r="G434" s="37"/>
      <c r="H434" s="37"/>
      <c r="I434" s="37"/>
    </row>
    <row r="435" spans="6:9" ht="15.75" customHeight="1">
      <c r="F435" s="24"/>
      <c r="G435" s="37"/>
      <c r="H435" s="37"/>
      <c r="I435" s="37"/>
    </row>
    <row r="436" spans="6:9" ht="15.75" customHeight="1">
      <c r="F436" s="24"/>
      <c r="G436" s="37"/>
      <c r="H436" s="37"/>
      <c r="I436" s="37"/>
    </row>
    <row r="437" spans="6:9" ht="15.75" customHeight="1">
      <c r="F437" s="24"/>
      <c r="G437" s="37"/>
      <c r="H437" s="37"/>
      <c r="I437" s="37"/>
    </row>
    <row r="438" spans="6:9" ht="15.75" customHeight="1">
      <c r="F438" s="24"/>
      <c r="G438" s="37"/>
      <c r="H438" s="37"/>
      <c r="I438" s="37"/>
    </row>
    <row r="439" spans="6:9" ht="15.75" customHeight="1">
      <c r="F439" s="24"/>
      <c r="G439" s="37"/>
      <c r="H439" s="37"/>
      <c r="I439" s="37"/>
    </row>
    <row r="440" spans="6:9" ht="15.75" customHeight="1">
      <c r="F440" s="24"/>
      <c r="G440" s="37"/>
      <c r="H440" s="37"/>
      <c r="I440" s="37"/>
    </row>
    <row r="441" spans="6:9" ht="15.75" customHeight="1">
      <c r="F441" s="24"/>
      <c r="G441" s="37"/>
      <c r="H441" s="37"/>
      <c r="I441" s="37"/>
    </row>
    <row r="442" spans="6:9" ht="15.75" customHeight="1">
      <c r="F442" s="24"/>
      <c r="G442" s="37"/>
      <c r="H442" s="37"/>
      <c r="I442" s="37"/>
    </row>
    <row r="443" spans="6:9" ht="15.75" customHeight="1">
      <c r="F443" s="24"/>
      <c r="G443" s="37"/>
      <c r="H443" s="37"/>
      <c r="I443" s="37"/>
    </row>
    <row r="444" spans="6:9" ht="15.75" customHeight="1">
      <c r="F444" s="24"/>
      <c r="G444" s="37"/>
      <c r="H444" s="37"/>
      <c r="I444" s="37"/>
    </row>
    <row r="445" spans="6:9" ht="15.75" customHeight="1">
      <c r="F445" s="24"/>
      <c r="G445" s="37"/>
      <c r="H445" s="37"/>
      <c r="I445" s="37"/>
    </row>
    <row r="446" spans="6:9" ht="15.75" customHeight="1">
      <c r="F446" s="24"/>
      <c r="G446" s="37"/>
      <c r="H446" s="37"/>
      <c r="I446" s="37"/>
    </row>
    <row r="447" spans="6:9" ht="15.75" customHeight="1">
      <c r="F447" s="24"/>
      <c r="G447" s="37"/>
      <c r="H447" s="37"/>
      <c r="I447" s="37"/>
    </row>
    <row r="448" spans="6:9" ht="15.75" customHeight="1">
      <c r="F448" s="24"/>
      <c r="G448" s="37"/>
      <c r="H448" s="37"/>
      <c r="I448" s="37"/>
    </row>
    <row r="449" spans="6:9" ht="15.75" customHeight="1">
      <c r="F449" s="24"/>
      <c r="G449" s="37"/>
      <c r="H449" s="37"/>
      <c r="I449" s="37"/>
    </row>
    <row r="450" spans="6:9" ht="15.75" customHeight="1">
      <c r="F450" s="24"/>
      <c r="G450" s="37"/>
      <c r="H450" s="37"/>
      <c r="I450" s="37"/>
    </row>
    <row r="451" spans="6:9" ht="15.75" customHeight="1">
      <c r="F451" s="24"/>
      <c r="G451" s="37"/>
      <c r="H451" s="37"/>
      <c r="I451" s="37"/>
    </row>
    <row r="452" spans="6:9" ht="15.75" customHeight="1">
      <c r="F452" s="24"/>
      <c r="G452" s="37"/>
      <c r="H452" s="37"/>
      <c r="I452" s="37"/>
    </row>
    <row r="453" spans="6:9" ht="15.75" customHeight="1">
      <c r="F453" s="24"/>
      <c r="G453" s="37"/>
      <c r="H453" s="37"/>
      <c r="I453" s="37"/>
    </row>
    <row r="454" spans="6:9" ht="15.75" customHeight="1">
      <c r="F454" s="24"/>
      <c r="G454" s="37"/>
      <c r="H454" s="37"/>
      <c r="I454" s="37"/>
    </row>
    <row r="455" spans="6:9" ht="15.75" customHeight="1">
      <c r="F455" s="24"/>
      <c r="G455" s="37"/>
      <c r="H455" s="37"/>
      <c r="I455" s="37"/>
    </row>
    <row r="456" spans="6:9" ht="15.75" customHeight="1">
      <c r="F456" s="24"/>
      <c r="G456" s="37"/>
      <c r="H456" s="37"/>
      <c r="I456" s="37"/>
    </row>
    <row r="457" spans="6:9" ht="15.75" customHeight="1">
      <c r="F457" s="24"/>
      <c r="G457" s="37"/>
      <c r="H457" s="37"/>
      <c r="I457" s="37"/>
    </row>
    <row r="458" spans="6:9" ht="15.75" customHeight="1">
      <c r="F458" s="24"/>
      <c r="G458" s="37"/>
      <c r="H458" s="37"/>
      <c r="I458" s="37"/>
    </row>
    <row r="459" spans="6:9" ht="15.75" customHeight="1">
      <c r="F459" s="24"/>
      <c r="G459" s="37"/>
      <c r="H459" s="37"/>
      <c r="I459" s="37"/>
    </row>
    <row r="460" spans="6:9" ht="15.75" customHeight="1">
      <c r="F460" s="24"/>
      <c r="G460" s="37"/>
      <c r="H460" s="37"/>
      <c r="I460" s="37"/>
    </row>
    <row r="461" spans="6:9" ht="15.75" customHeight="1">
      <c r="F461" s="24"/>
      <c r="G461" s="37"/>
      <c r="H461" s="37"/>
      <c r="I461" s="37"/>
    </row>
    <row r="462" spans="6:9" ht="15.75" customHeight="1">
      <c r="F462" s="24"/>
      <c r="G462" s="37"/>
      <c r="H462" s="37"/>
      <c r="I462" s="37"/>
    </row>
    <row r="463" spans="6:9" ht="15.75" customHeight="1">
      <c r="F463" s="24"/>
      <c r="G463" s="37"/>
      <c r="H463" s="37"/>
      <c r="I463" s="37"/>
    </row>
    <row r="464" spans="6:9" ht="15.75" customHeight="1">
      <c r="F464" s="24"/>
      <c r="G464" s="37"/>
      <c r="H464" s="37"/>
      <c r="I464" s="37"/>
    </row>
    <row r="465" spans="6:9" ht="15.75" customHeight="1">
      <c r="F465" s="24"/>
      <c r="G465" s="37"/>
      <c r="H465" s="37"/>
      <c r="I465" s="37"/>
    </row>
    <row r="466" spans="6:9" ht="15.75" customHeight="1">
      <c r="F466" s="24"/>
      <c r="G466" s="37"/>
      <c r="H466" s="37"/>
      <c r="I466" s="37"/>
    </row>
    <row r="467" spans="6:9" ht="15.75" customHeight="1">
      <c r="F467" s="24"/>
      <c r="G467" s="37"/>
      <c r="H467" s="37"/>
      <c r="I467" s="37"/>
    </row>
    <row r="468" spans="6:9" ht="15.75" customHeight="1">
      <c r="F468" s="24"/>
      <c r="G468" s="37"/>
      <c r="H468" s="37"/>
      <c r="I468" s="37"/>
    </row>
    <row r="469" spans="6:9" ht="15.75" customHeight="1">
      <c r="F469" s="24"/>
      <c r="G469" s="37"/>
      <c r="H469" s="37"/>
      <c r="I469" s="37"/>
    </row>
    <row r="470" spans="6:9" ht="15.75" customHeight="1">
      <c r="F470" s="24"/>
      <c r="G470" s="37"/>
      <c r="H470" s="37"/>
      <c r="I470" s="37"/>
    </row>
    <row r="471" spans="6:9" ht="15.75" customHeight="1">
      <c r="F471" s="24"/>
      <c r="G471" s="37"/>
      <c r="H471" s="37"/>
      <c r="I471" s="37"/>
    </row>
    <row r="472" spans="6:9" ht="15.75" customHeight="1">
      <c r="F472" s="24"/>
      <c r="G472" s="37"/>
      <c r="H472" s="37"/>
      <c r="I472" s="37"/>
    </row>
    <row r="473" spans="6:9" ht="15.75" customHeight="1">
      <c r="F473" s="24"/>
      <c r="G473" s="37"/>
      <c r="H473" s="37"/>
      <c r="I473" s="37"/>
    </row>
    <row r="474" spans="6:9" ht="15.75" customHeight="1">
      <c r="F474" s="24"/>
      <c r="G474" s="37"/>
      <c r="H474" s="37"/>
      <c r="I474" s="37"/>
    </row>
    <row r="475" spans="6:9" ht="15.75" customHeight="1">
      <c r="F475" s="24"/>
      <c r="G475" s="37"/>
      <c r="H475" s="37"/>
      <c r="I475" s="37"/>
    </row>
    <row r="476" spans="6:9" ht="15.75" customHeight="1">
      <c r="F476" s="24"/>
      <c r="G476" s="37"/>
      <c r="H476" s="37"/>
      <c r="I476" s="37"/>
    </row>
    <row r="477" spans="6:9" ht="15.75" customHeight="1">
      <c r="F477" s="24"/>
      <c r="G477" s="37"/>
      <c r="H477" s="37"/>
      <c r="I477" s="37"/>
    </row>
    <row r="478" spans="6:9" ht="15.75" customHeight="1">
      <c r="F478" s="24"/>
      <c r="G478" s="37"/>
      <c r="H478" s="37"/>
      <c r="I478" s="37"/>
    </row>
    <row r="479" spans="6:9" ht="15.75" customHeight="1">
      <c r="F479" s="24"/>
      <c r="G479" s="37"/>
      <c r="H479" s="37"/>
      <c r="I479" s="37"/>
    </row>
    <row r="480" spans="6:9" ht="15.75" customHeight="1">
      <c r="F480" s="24"/>
      <c r="G480" s="37"/>
      <c r="H480" s="37"/>
      <c r="I480" s="37"/>
    </row>
    <row r="481" spans="6:9" ht="15.75" customHeight="1">
      <c r="F481" s="24"/>
      <c r="G481" s="37"/>
      <c r="H481" s="37"/>
      <c r="I481" s="37"/>
    </row>
    <row r="482" spans="6:9" ht="15.75" customHeight="1">
      <c r="F482" s="24"/>
      <c r="G482" s="37"/>
      <c r="H482" s="37"/>
      <c r="I482" s="37"/>
    </row>
    <row r="483" spans="6:9" ht="15.75" customHeight="1">
      <c r="F483" s="24"/>
      <c r="G483" s="37"/>
      <c r="H483" s="37"/>
      <c r="I483" s="37"/>
    </row>
    <row r="484" spans="6:9" ht="15.75" customHeight="1">
      <c r="F484" s="24"/>
      <c r="G484" s="37"/>
      <c r="H484" s="37"/>
      <c r="I484" s="37"/>
    </row>
    <row r="485" spans="6:9" ht="15.75" customHeight="1">
      <c r="F485" s="24"/>
      <c r="G485" s="37"/>
      <c r="H485" s="37"/>
      <c r="I485" s="37"/>
    </row>
    <row r="486" spans="6:9" ht="15.75" customHeight="1">
      <c r="F486" s="24"/>
      <c r="G486" s="37"/>
      <c r="H486" s="37"/>
      <c r="I486" s="37"/>
    </row>
    <row r="487" spans="6:9" ht="15.75" customHeight="1">
      <c r="F487" s="24"/>
      <c r="G487" s="37"/>
      <c r="H487" s="37"/>
      <c r="I487" s="37"/>
    </row>
    <row r="488" spans="6:9" ht="15.75" customHeight="1">
      <c r="F488" s="24"/>
      <c r="G488" s="37"/>
      <c r="H488" s="37"/>
      <c r="I488" s="37"/>
    </row>
    <row r="489" spans="6:9" ht="15.75" customHeight="1">
      <c r="F489" s="24"/>
      <c r="G489" s="37"/>
      <c r="H489" s="37"/>
      <c r="I489" s="37"/>
    </row>
    <row r="490" spans="6:9" ht="15.75" customHeight="1">
      <c r="F490" s="24"/>
      <c r="G490" s="37"/>
      <c r="H490" s="37"/>
      <c r="I490" s="37"/>
    </row>
    <row r="491" spans="6:9" ht="15.75" customHeight="1">
      <c r="F491" s="24"/>
      <c r="G491" s="37"/>
      <c r="H491" s="37"/>
      <c r="I491" s="37"/>
    </row>
    <row r="492" spans="6:9" ht="15.75" customHeight="1">
      <c r="F492" s="24"/>
      <c r="G492" s="37"/>
      <c r="H492" s="37"/>
      <c r="I492" s="37"/>
    </row>
    <row r="493" spans="6:9" ht="15.75" customHeight="1">
      <c r="F493" s="24"/>
      <c r="G493" s="37"/>
      <c r="H493" s="37"/>
      <c r="I493" s="37"/>
    </row>
    <row r="494" spans="6:9" ht="15.75" customHeight="1">
      <c r="F494" s="24"/>
      <c r="G494" s="37"/>
      <c r="H494" s="37"/>
      <c r="I494" s="37"/>
    </row>
    <row r="495" spans="6:9" ht="15.75" customHeight="1">
      <c r="F495" s="24"/>
      <c r="G495" s="37"/>
      <c r="H495" s="37"/>
      <c r="I495" s="37"/>
    </row>
    <row r="496" spans="6:9" ht="15.75" customHeight="1">
      <c r="F496" s="24"/>
      <c r="G496" s="37"/>
      <c r="H496" s="37"/>
      <c r="I496" s="37"/>
    </row>
    <row r="497" spans="6:9" ht="15.75" customHeight="1">
      <c r="F497" s="24"/>
      <c r="G497" s="37"/>
      <c r="H497" s="37"/>
      <c r="I497" s="37"/>
    </row>
    <row r="498" spans="6:9" ht="15.75" customHeight="1">
      <c r="F498" s="24"/>
      <c r="G498" s="37"/>
      <c r="H498" s="37"/>
      <c r="I498" s="37"/>
    </row>
    <row r="499" spans="6:9" ht="15.75" customHeight="1">
      <c r="F499" s="24"/>
      <c r="G499" s="37"/>
      <c r="H499" s="37"/>
      <c r="I499" s="37"/>
    </row>
    <row r="500" spans="6:9" ht="15.75" customHeight="1">
      <c r="F500" s="24"/>
      <c r="G500" s="37"/>
      <c r="H500" s="37"/>
      <c r="I500" s="37"/>
    </row>
    <row r="501" spans="6:9" ht="15.75" customHeight="1">
      <c r="F501" s="24"/>
      <c r="G501" s="37"/>
      <c r="H501" s="37"/>
      <c r="I501" s="37"/>
    </row>
    <row r="502" spans="6:9" ht="15.75" customHeight="1">
      <c r="F502" s="24"/>
      <c r="G502" s="37"/>
      <c r="H502" s="37"/>
      <c r="I502" s="37"/>
    </row>
    <row r="503" spans="6:9" ht="15.75" customHeight="1">
      <c r="F503" s="24"/>
      <c r="G503" s="37"/>
      <c r="H503" s="37"/>
      <c r="I503" s="37"/>
    </row>
    <row r="504" spans="6:9" ht="15.75" customHeight="1">
      <c r="F504" s="24"/>
      <c r="G504" s="37"/>
      <c r="H504" s="37"/>
      <c r="I504" s="37"/>
    </row>
    <row r="505" spans="6:9" ht="15.75" customHeight="1">
      <c r="F505" s="24"/>
      <c r="G505" s="37"/>
      <c r="H505" s="37"/>
      <c r="I505" s="37"/>
    </row>
    <row r="506" spans="6:9" ht="15.75" customHeight="1">
      <c r="F506" s="24"/>
      <c r="G506" s="37"/>
      <c r="H506" s="37"/>
      <c r="I506" s="37"/>
    </row>
    <row r="507" spans="6:9" ht="15.75" customHeight="1">
      <c r="F507" s="24"/>
      <c r="G507" s="37"/>
      <c r="H507" s="37"/>
      <c r="I507" s="37"/>
    </row>
    <row r="508" spans="6:9" ht="15.75" customHeight="1">
      <c r="F508" s="24"/>
      <c r="G508" s="37"/>
      <c r="H508" s="37"/>
      <c r="I508" s="37"/>
    </row>
    <row r="509" spans="6:9" ht="15.75" customHeight="1">
      <c r="F509" s="24"/>
      <c r="G509" s="37"/>
      <c r="H509" s="37"/>
      <c r="I509" s="37"/>
    </row>
    <row r="510" spans="6:9" ht="15.75" customHeight="1">
      <c r="F510" s="24"/>
      <c r="G510" s="37"/>
      <c r="H510" s="37"/>
      <c r="I510" s="37"/>
    </row>
    <row r="511" spans="6:9" ht="15.75" customHeight="1">
      <c r="F511" s="24"/>
      <c r="G511" s="37"/>
      <c r="H511" s="37"/>
      <c r="I511" s="37"/>
    </row>
    <row r="512" spans="6:9" ht="15.75" customHeight="1">
      <c r="F512" s="24"/>
      <c r="G512" s="37"/>
      <c r="H512" s="37"/>
      <c r="I512" s="37"/>
    </row>
    <row r="513" spans="6:9" ht="15.75" customHeight="1">
      <c r="F513" s="24"/>
      <c r="G513" s="37"/>
      <c r="H513" s="37"/>
      <c r="I513" s="37"/>
    </row>
    <row r="514" spans="6:9" ht="15.75" customHeight="1">
      <c r="F514" s="24"/>
      <c r="G514" s="37"/>
      <c r="H514" s="37"/>
      <c r="I514" s="37"/>
    </row>
    <row r="515" spans="6:9" ht="15.75" customHeight="1">
      <c r="F515" s="24"/>
      <c r="G515" s="37"/>
      <c r="H515" s="37"/>
      <c r="I515" s="37"/>
    </row>
    <row r="516" spans="6:9" ht="15.75" customHeight="1">
      <c r="F516" s="24"/>
      <c r="G516" s="37"/>
      <c r="H516" s="37"/>
      <c r="I516" s="37"/>
    </row>
    <row r="517" spans="6:9" ht="15.75" customHeight="1">
      <c r="F517" s="24"/>
      <c r="G517" s="37"/>
      <c r="H517" s="37"/>
      <c r="I517" s="37"/>
    </row>
    <row r="518" spans="6:9" ht="15.75" customHeight="1">
      <c r="F518" s="24"/>
      <c r="G518" s="37"/>
      <c r="H518" s="37"/>
      <c r="I518" s="37"/>
    </row>
    <row r="519" spans="6:9" ht="15.75" customHeight="1">
      <c r="F519" s="24"/>
      <c r="G519" s="37"/>
      <c r="H519" s="37"/>
      <c r="I519" s="37"/>
    </row>
    <row r="520" spans="6:9" ht="15.75" customHeight="1">
      <c r="F520" s="24"/>
      <c r="G520" s="37"/>
      <c r="H520" s="37"/>
      <c r="I520" s="37"/>
    </row>
    <row r="521" spans="6:9" ht="15.75" customHeight="1">
      <c r="F521" s="24"/>
      <c r="G521" s="37"/>
      <c r="H521" s="37"/>
      <c r="I521" s="37"/>
    </row>
    <row r="522" spans="6:9" ht="15.75" customHeight="1">
      <c r="F522" s="24"/>
      <c r="G522" s="37"/>
      <c r="H522" s="37"/>
      <c r="I522" s="37"/>
    </row>
    <row r="523" spans="6:9" ht="15.75" customHeight="1">
      <c r="F523" s="24"/>
      <c r="G523" s="37"/>
      <c r="H523" s="37"/>
      <c r="I523" s="37"/>
    </row>
    <row r="524" spans="6:9" ht="15.75" customHeight="1">
      <c r="F524" s="24"/>
      <c r="G524" s="37"/>
      <c r="H524" s="37"/>
      <c r="I524" s="37"/>
    </row>
    <row r="525" spans="6:9" ht="15.75" customHeight="1">
      <c r="F525" s="24"/>
      <c r="G525" s="37"/>
      <c r="H525" s="37"/>
      <c r="I525" s="37"/>
    </row>
    <row r="526" spans="6:9" ht="15.75" customHeight="1">
      <c r="F526" s="24"/>
      <c r="G526" s="37"/>
      <c r="H526" s="37"/>
      <c r="I526" s="37"/>
    </row>
    <row r="527" spans="6:9" ht="15.75" customHeight="1">
      <c r="F527" s="24"/>
      <c r="G527" s="37"/>
      <c r="H527" s="37"/>
      <c r="I527" s="37"/>
    </row>
    <row r="528" spans="6:9" ht="15.75" customHeight="1">
      <c r="F528" s="24"/>
      <c r="G528" s="37"/>
      <c r="H528" s="37"/>
      <c r="I528" s="37"/>
    </row>
    <row r="529" spans="6:9" ht="15.75" customHeight="1">
      <c r="F529" s="24"/>
      <c r="G529" s="37"/>
      <c r="H529" s="37"/>
      <c r="I529" s="37"/>
    </row>
    <row r="530" spans="6:9" ht="15.75" customHeight="1">
      <c r="F530" s="24"/>
      <c r="G530" s="37"/>
      <c r="H530" s="37"/>
      <c r="I530" s="37"/>
    </row>
    <row r="531" spans="6:9" ht="15.75" customHeight="1">
      <c r="F531" s="24"/>
      <c r="G531" s="37"/>
      <c r="H531" s="37"/>
      <c r="I531" s="37"/>
    </row>
    <row r="532" spans="6:9" ht="15.75" customHeight="1">
      <c r="F532" s="24"/>
      <c r="G532" s="37"/>
      <c r="H532" s="37"/>
      <c r="I532" s="37"/>
    </row>
    <row r="533" spans="6:9" ht="15.75" customHeight="1">
      <c r="F533" s="24"/>
      <c r="G533" s="37"/>
      <c r="H533" s="37"/>
      <c r="I533" s="37"/>
    </row>
    <row r="534" spans="6:9" ht="15.75" customHeight="1">
      <c r="F534" s="24"/>
      <c r="G534" s="37"/>
      <c r="H534" s="37"/>
      <c r="I534" s="37"/>
    </row>
    <row r="535" spans="6:9" ht="15.75" customHeight="1">
      <c r="F535" s="24"/>
      <c r="G535" s="37"/>
      <c r="H535" s="37"/>
      <c r="I535" s="37"/>
    </row>
    <row r="536" spans="6:9" ht="15.75" customHeight="1">
      <c r="F536" s="24"/>
      <c r="G536" s="37"/>
      <c r="H536" s="37"/>
      <c r="I536" s="37"/>
    </row>
    <row r="537" spans="6:9" ht="15.75" customHeight="1">
      <c r="F537" s="24"/>
      <c r="G537" s="37"/>
      <c r="H537" s="37"/>
      <c r="I537" s="37"/>
    </row>
    <row r="538" spans="6:9" ht="15.75" customHeight="1">
      <c r="F538" s="24"/>
      <c r="G538" s="37"/>
      <c r="H538" s="37"/>
      <c r="I538" s="37"/>
    </row>
    <row r="539" spans="6:9" ht="15.75" customHeight="1">
      <c r="F539" s="24"/>
      <c r="G539" s="37"/>
      <c r="H539" s="37"/>
      <c r="I539" s="37"/>
    </row>
    <row r="540" spans="6:9" ht="15.75" customHeight="1">
      <c r="F540" s="24"/>
      <c r="G540" s="37"/>
      <c r="H540" s="37"/>
      <c r="I540" s="37"/>
    </row>
    <row r="541" spans="6:9" ht="15.75" customHeight="1">
      <c r="F541" s="24"/>
      <c r="G541" s="37"/>
      <c r="H541" s="37"/>
      <c r="I541" s="37"/>
    </row>
    <row r="542" spans="6:9" ht="15.75" customHeight="1">
      <c r="F542" s="24"/>
      <c r="G542" s="37"/>
      <c r="H542" s="37"/>
      <c r="I542" s="37"/>
    </row>
    <row r="543" spans="6:9" ht="15.75" customHeight="1">
      <c r="F543" s="24"/>
      <c r="G543" s="37"/>
      <c r="H543" s="37"/>
      <c r="I543" s="37"/>
    </row>
    <row r="544" spans="6:9" ht="15.75" customHeight="1">
      <c r="F544" s="24"/>
      <c r="G544" s="37"/>
      <c r="H544" s="37"/>
      <c r="I544" s="37"/>
    </row>
    <row r="545" spans="6:9" ht="15.75" customHeight="1">
      <c r="F545" s="24"/>
      <c r="G545" s="37"/>
      <c r="H545" s="37"/>
      <c r="I545" s="37"/>
    </row>
    <row r="546" spans="6:9" ht="15.75" customHeight="1">
      <c r="F546" s="24"/>
      <c r="G546" s="37"/>
      <c r="H546" s="37"/>
      <c r="I546" s="37"/>
    </row>
    <row r="547" spans="6:9" ht="15.75" customHeight="1">
      <c r="F547" s="24"/>
      <c r="G547" s="37"/>
      <c r="H547" s="37"/>
      <c r="I547" s="37"/>
    </row>
    <row r="548" spans="6:9" ht="15.75" customHeight="1">
      <c r="F548" s="24"/>
      <c r="G548" s="37"/>
      <c r="H548" s="37"/>
      <c r="I548" s="37"/>
    </row>
    <row r="549" spans="6:9" ht="15.75" customHeight="1">
      <c r="F549" s="24"/>
      <c r="G549" s="37"/>
      <c r="H549" s="37"/>
      <c r="I549" s="37"/>
    </row>
    <row r="550" spans="6:9" ht="15.75" customHeight="1">
      <c r="F550" s="24"/>
      <c r="G550" s="37"/>
      <c r="H550" s="37"/>
      <c r="I550" s="37"/>
    </row>
    <row r="551" spans="6:9" ht="15.75" customHeight="1">
      <c r="F551" s="24"/>
      <c r="G551" s="37"/>
      <c r="H551" s="37"/>
      <c r="I551" s="37"/>
    </row>
    <row r="552" spans="6:9" ht="15.75" customHeight="1">
      <c r="F552" s="24"/>
      <c r="G552" s="37"/>
      <c r="H552" s="37"/>
      <c r="I552" s="37"/>
    </row>
    <row r="553" spans="6:9" ht="15.75" customHeight="1">
      <c r="F553" s="24"/>
      <c r="G553" s="37"/>
      <c r="H553" s="37"/>
      <c r="I553" s="37"/>
    </row>
    <row r="554" spans="6:9" ht="15.75" customHeight="1">
      <c r="F554" s="24"/>
      <c r="G554" s="37"/>
      <c r="H554" s="37"/>
      <c r="I554" s="37"/>
    </row>
    <row r="555" spans="6:9" ht="15.75" customHeight="1">
      <c r="F555" s="24"/>
      <c r="G555" s="37"/>
      <c r="H555" s="37"/>
      <c r="I555" s="37"/>
    </row>
    <row r="556" spans="6:9" ht="15.75" customHeight="1">
      <c r="F556" s="24"/>
      <c r="G556" s="37"/>
      <c r="H556" s="37"/>
      <c r="I556" s="37"/>
    </row>
    <row r="557" spans="6:9" ht="15.75" customHeight="1">
      <c r="F557" s="24"/>
      <c r="G557" s="37"/>
      <c r="H557" s="37"/>
      <c r="I557" s="37"/>
    </row>
    <row r="558" spans="6:9" ht="15.75" customHeight="1">
      <c r="F558" s="24"/>
      <c r="G558" s="37"/>
      <c r="H558" s="37"/>
      <c r="I558" s="37"/>
    </row>
    <row r="559" spans="6:9" ht="15.75" customHeight="1">
      <c r="F559" s="24"/>
      <c r="G559" s="37"/>
      <c r="H559" s="37"/>
      <c r="I559" s="37"/>
    </row>
    <row r="560" spans="6:9" ht="15.75" customHeight="1">
      <c r="F560" s="24"/>
      <c r="G560" s="37"/>
      <c r="H560" s="37"/>
      <c r="I560" s="37"/>
    </row>
    <row r="561" spans="6:9" ht="15.75" customHeight="1">
      <c r="F561" s="24"/>
      <c r="G561" s="37"/>
      <c r="H561" s="37"/>
      <c r="I561" s="37"/>
    </row>
    <row r="562" spans="6:9" ht="15.75" customHeight="1">
      <c r="F562" s="24"/>
      <c r="G562" s="37"/>
      <c r="H562" s="37"/>
      <c r="I562" s="37"/>
    </row>
    <row r="563" spans="6:9" ht="15.75" customHeight="1">
      <c r="F563" s="24"/>
      <c r="G563" s="37"/>
      <c r="H563" s="37"/>
      <c r="I563" s="37"/>
    </row>
    <row r="564" spans="6:9" ht="15.75" customHeight="1">
      <c r="F564" s="24"/>
      <c r="G564" s="37"/>
      <c r="H564" s="37"/>
      <c r="I564" s="37"/>
    </row>
    <row r="565" spans="6:9" ht="15.75" customHeight="1">
      <c r="F565" s="24"/>
      <c r="G565" s="37"/>
      <c r="H565" s="37"/>
      <c r="I565" s="37"/>
    </row>
    <row r="566" spans="6:9" ht="15.75" customHeight="1">
      <c r="F566" s="24"/>
      <c r="G566" s="37"/>
      <c r="H566" s="37"/>
      <c r="I566" s="37"/>
    </row>
    <row r="567" spans="6:9" ht="15.75" customHeight="1">
      <c r="F567" s="24"/>
      <c r="G567" s="37"/>
      <c r="H567" s="37"/>
      <c r="I567" s="37"/>
    </row>
    <row r="568" spans="6:9" ht="15.75" customHeight="1">
      <c r="F568" s="24"/>
      <c r="G568" s="37"/>
      <c r="H568" s="37"/>
      <c r="I568" s="37"/>
    </row>
    <row r="569" spans="6:9" ht="15.75" customHeight="1">
      <c r="F569" s="24"/>
      <c r="G569" s="37"/>
      <c r="H569" s="37"/>
      <c r="I569" s="37"/>
    </row>
    <row r="570" spans="6:9" ht="15.75" customHeight="1">
      <c r="F570" s="24"/>
      <c r="G570" s="37"/>
      <c r="H570" s="37"/>
      <c r="I570" s="37"/>
    </row>
    <row r="571" spans="6:9" ht="15.75" customHeight="1">
      <c r="F571" s="24"/>
      <c r="G571" s="37"/>
      <c r="H571" s="37"/>
      <c r="I571" s="37"/>
    </row>
    <row r="572" spans="6:9" ht="15.75" customHeight="1">
      <c r="F572" s="24"/>
      <c r="G572" s="37"/>
      <c r="H572" s="37"/>
      <c r="I572" s="37"/>
    </row>
    <row r="573" spans="6:9" ht="15.75" customHeight="1">
      <c r="F573" s="24"/>
      <c r="G573" s="37"/>
      <c r="H573" s="37"/>
      <c r="I573" s="37"/>
    </row>
    <row r="574" spans="6:9" ht="15.75" customHeight="1">
      <c r="F574" s="24"/>
      <c r="G574" s="37"/>
      <c r="H574" s="37"/>
      <c r="I574" s="37"/>
    </row>
    <row r="575" spans="6:9" ht="15.75" customHeight="1">
      <c r="F575" s="24"/>
      <c r="G575" s="37"/>
      <c r="H575" s="37"/>
      <c r="I575" s="37"/>
    </row>
    <row r="576" spans="6:9" ht="15.75" customHeight="1">
      <c r="F576" s="24"/>
      <c r="G576" s="37"/>
      <c r="H576" s="37"/>
      <c r="I576" s="37"/>
    </row>
    <row r="577" spans="6:9" ht="15.75" customHeight="1">
      <c r="F577" s="24"/>
      <c r="G577" s="37"/>
      <c r="H577" s="37"/>
      <c r="I577" s="37"/>
    </row>
    <row r="578" spans="6:9" ht="15.75" customHeight="1">
      <c r="F578" s="24"/>
      <c r="G578" s="37"/>
      <c r="H578" s="37"/>
      <c r="I578" s="37"/>
    </row>
    <row r="579" spans="6:9" ht="15.75" customHeight="1">
      <c r="F579" s="24"/>
      <c r="G579" s="37"/>
      <c r="H579" s="37"/>
      <c r="I579" s="37"/>
    </row>
    <row r="580" spans="6:9" ht="15.75" customHeight="1">
      <c r="F580" s="24"/>
      <c r="G580" s="37"/>
      <c r="H580" s="37"/>
      <c r="I580" s="37"/>
    </row>
    <row r="581" spans="6:9" ht="15.75" customHeight="1">
      <c r="F581" s="24"/>
      <c r="G581" s="37"/>
      <c r="H581" s="37"/>
      <c r="I581" s="37"/>
    </row>
    <row r="582" spans="6:9" ht="15.75" customHeight="1">
      <c r="F582" s="24"/>
      <c r="G582" s="37"/>
      <c r="H582" s="37"/>
      <c r="I582" s="37"/>
    </row>
    <row r="583" spans="6:9" ht="15.75" customHeight="1">
      <c r="F583" s="24"/>
      <c r="G583" s="37"/>
      <c r="H583" s="37"/>
      <c r="I583" s="37"/>
    </row>
    <row r="584" spans="6:9" ht="15.75" customHeight="1">
      <c r="F584" s="24"/>
      <c r="G584" s="37"/>
      <c r="H584" s="37"/>
      <c r="I584" s="37"/>
    </row>
    <row r="585" spans="6:9" ht="15.75" customHeight="1">
      <c r="F585" s="24"/>
      <c r="G585" s="37"/>
      <c r="H585" s="37"/>
      <c r="I585" s="37"/>
    </row>
    <row r="586" spans="6:9" ht="15.75" customHeight="1">
      <c r="F586" s="24"/>
      <c r="G586" s="37"/>
      <c r="H586" s="37"/>
      <c r="I586" s="37"/>
    </row>
    <row r="587" spans="6:9" ht="15.75" customHeight="1">
      <c r="F587" s="24"/>
      <c r="G587" s="37"/>
      <c r="H587" s="37"/>
      <c r="I587" s="37"/>
    </row>
    <row r="588" spans="6:9" ht="15.75" customHeight="1">
      <c r="F588" s="24"/>
      <c r="G588" s="37"/>
      <c r="H588" s="37"/>
      <c r="I588" s="37"/>
    </row>
    <row r="589" spans="6:9" ht="15.75" customHeight="1">
      <c r="F589" s="24"/>
      <c r="G589" s="37"/>
      <c r="H589" s="37"/>
      <c r="I589" s="37"/>
    </row>
    <row r="590" spans="6:9" ht="15.75" customHeight="1">
      <c r="F590" s="24"/>
      <c r="G590" s="37"/>
      <c r="H590" s="37"/>
      <c r="I590" s="37"/>
    </row>
    <row r="591" spans="6:9" ht="15.75" customHeight="1">
      <c r="F591" s="24"/>
      <c r="G591" s="37"/>
      <c r="H591" s="37"/>
      <c r="I591" s="37"/>
    </row>
    <row r="592" spans="6:9" ht="15.75" customHeight="1">
      <c r="F592" s="24"/>
      <c r="G592" s="37"/>
      <c r="H592" s="37"/>
      <c r="I592" s="37"/>
    </row>
    <row r="593" spans="6:9" ht="15.75" customHeight="1">
      <c r="F593" s="24"/>
      <c r="G593" s="37"/>
      <c r="H593" s="37"/>
      <c r="I593" s="37"/>
    </row>
    <row r="594" spans="6:9" ht="15.75" customHeight="1">
      <c r="F594" s="24"/>
      <c r="G594" s="37"/>
      <c r="H594" s="37"/>
      <c r="I594" s="37"/>
    </row>
    <row r="595" spans="6:9" ht="15.75" customHeight="1">
      <c r="F595" s="24"/>
      <c r="G595" s="37"/>
      <c r="H595" s="37"/>
      <c r="I595" s="37"/>
    </row>
    <row r="596" spans="6:9" ht="15.75" customHeight="1">
      <c r="F596" s="24"/>
      <c r="G596" s="37"/>
      <c r="H596" s="37"/>
      <c r="I596" s="37"/>
    </row>
    <row r="597" spans="6:9" ht="15.75" customHeight="1">
      <c r="F597" s="24"/>
      <c r="G597" s="37"/>
      <c r="H597" s="37"/>
      <c r="I597" s="37"/>
    </row>
    <row r="598" spans="6:9" ht="15.75" customHeight="1">
      <c r="F598" s="24"/>
      <c r="G598" s="37"/>
      <c r="H598" s="37"/>
      <c r="I598" s="37"/>
    </row>
    <row r="599" spans="6:9" ht="15.75" customHeight="1">
      <c r="F599" s="24"/>
      <c r="G599" s="37"/>
      <c r="H599" s="37"/>
      <c r="I599" s="37"/>
    </row>
    <row r="600" spans="6:9" ht="15.75" customHeight="1">
      <c r="F600" s="24"/>
      <c r="G600" s="37"/>
      <c r="H600" s="37"/>
      <c r="I600" s="37"/>
    </row>
    <row r="601" spans="6:9" ht="15.75" customHeight="1">
      <c r="F601" s="24"/>
      <c r="G601" s="37"/>
      <c r="H601" s="37"/>
      <c r="I601" s="37"/>
    </row>
    <row r="602" spans="6:9" ht="15.75" customHeight="1">
      <c r="F602" s="24"/>
      <c r="G602" s="37"/>
      <c r="H602" s="37"/>
      <c r="I602" s="37"/>
    </row>
    <row r="603" spans="6:9" ht="15.75" customHeight="1">
      <c r="F603" s="24"/>
      <c r="G603" s="37"/>
      <c r="H603" s="37"/>
      <c r="I603" s="37"/>
    </row>
    <row r="604" spans="6:9" ht="15.75" customHeight="1">
      <c r="F604" s="24"/>
      <c r="G604" s="37"/>
      <c r="H604" s="37"/>
      <c r="I604" s="37"/>
    </row>
    <row r="605" spans="6:9" ht="15.75" customHeight="1">
      <c r="F605" s="24"/>
      <c r="G605" s="37"/>
      <c r="H605" s="37"/>
      <c r="I605" s="37"/>
    </row>
    <row r="606" spans="6:9" ht="15.75" customHeight="1">
      <c r="F606" s="24"/>
      <c r="G606" s="37"/>
      <c r="H606" s="37"/>
      <c r="I606" s="37"/>
    </row>
    <row r="607" spans="6:9" ht="15.75" customHeight="1">
      <c r="F607" s="24"/>
      <c r="G607" s="37"/>
      <c r="H607" s="37"/>
      <c r="I607" s="37"/>
    </row>
    <row r="608" spans="6:9" ht="15.75" customHeight="1">
      <c r="F608" s="24"/>
      <c r="G608" s="37"/>
      <c r="H608" s="37"/>
      <c r="I608" s="37"/>
    </row>
    <row r="609" spans="6:9" ht="15.75" customHeight="1">
      <c r="F609" s="24"/>
      <c r="G609" s="37"/>
      <c r="H609" s="37"/>
      <c r="I609" s="37"/>
    </row>
    <row r="610" spans="6:9" ht="15.75" customHeight="1">
      <c r="F610" s="24"/>
      <c r="G610" s="37"/>
      <c r="H610" s="37"/>
      <c r="I610" s="37"/>
    </row>
    <row r="611" spans="6:9" ht="15.75" customHeight="1">
      <c r="F611" s="24"/>
      <c r="G611" s="37"/>
      <c r="H611" s="37"/>
      <c r="I611" s="37"/>
    </row>
    <row r="612" spans="6:9" ht="15.75" customHeight="1">
      <c r="F612" s="24"/>
      <c r="G612" s="37"/>
      <c r="H612" s="37"/>
      <c r="I612" s="37"/>
    </row>
    <row r="613" spans="6:9" ht="15.75" customHeight="1">
      <c r="F613" s="24"/>
      <c r="G613" s="37"/>
      <c r="H613" s="37"/>
      <c r="I613" s="37"/>
    </row>
    <row r="614" spans="6:9" ht="15.75" customHeight="1">
      <c r="F614" s="24"/>
      <c r="G614" s="37"/>
      <c r="H614" s="37"/>
      <c r="I614" s="37"/>
    </row>
    <row r="615" spans="6:9" ht="15.75" customHeight="1">
      <c r="F615" s="24"/>
      <c r="G615" s="37"/>
      <c r="H615" s="37"/>
      <c r="I615" s="37"/>
    </row>
    <row r="616" spans="6:9" ht="15.75" customHeight="1">
      <c r="F616" s="24"/>
      <c r="G616" s="37"/>
      <c r="H616" s="37"/>
      <c r="I616" s="37"/>
    </row>
    <row r="617" spans="6:9" ht="15.75" customHeight="1">
      <c r="F617" s="24"/>
      <c r="G617" s="37"/>
      <c r="H617" s="37"/>
      <c r="I617" s="37"/>
    </row>
    <row r="618" spans="6:9" ht="15.75" customHeight="1">
      <c r="F618" s="24"/>
      <c r="G618" s="37"/>
      <c r="H618" s="37"/>
      <c r="I618" s="37"/>
    </row>
    <row r="619" spans="6:9" ht="15.75" customHeight="1">
      <c r="F619" s="24"/>
      <c r="G619" s="37"/>
      <c r="H619" s="37"/>
      <c r="I619" s="37"/>
    </row>
    <row r="620" spans="6:9" ht="15.75" customHeight="1">
      <c r="F620" s="24"/>
      <c r="G620" s="37"/>
      <c r="H620" s="37"/>
      <c r="I620" s="37"/>
    </row>
    <row r="621" spans="6:9" ht="15.75" customHeight="1">
      <c r="F621" s="24"/>
      <c r="G621" s="37"/>
      <c r="H621" s="37"/>
      <c r="I621" s="37"/>
    </row>
    <row r="622" spans="6:9" ht="15.75" customHeight="1">
      <c r="F622" s="24"/>
      <c r="G622" s="37"/>
      <c r="H622" s="37"/>
      <c r="I622" s="37"/>
    </row>
    <row r="623" spans="6:9" ht="15.75" customHeight="1">
      <c r="F623" s="24"/>
      <c r="G623" s="37"/>
      <c r="H623" s="37"/>
      <c r="I623" s="37"/>
    </row>
    <row r="624" spans="6:9" ht="15.75" customHeight="1">
      <c r="F624" s="24"/>
      <c r="G624" s="37"/>
      <c r="H624" s="37"/>
      <c r="I624" s="37"/>
    </row>
    <row r="625" spans="6:9" ht="15.75" customHeight="1">
      <c r="F625" s="24"/>
      <c r="G625" s="37"/>
      <c r="H625" s="37"/>
      <c r="I625" s="37"/>
    </row>
    <row r="626" spans="6:9" ht="15.75" customHeight="1">
      <c r="F626" s="24"/>
      <c r="G626" s="37"/>
      <c r="H626" s="37"/>
      <c r="I626" s="37"/>
    </row>
    <row r="627" spans="6:9" ht="15.75" customHeight="1">
      <c r="F627" s="24"/>
      <c r="G627" s="37"/>
      <c r="H627" s="37"/>
      <c r="I627" s="37"/>
    </row>
    <row r="628" spans="6:9" ht="15.75" customHeight="1">
      <c r="F628" s="24"/>
      <c r="G628" s="37"/>
      <c r="H628" s="37"/>
      <c r="I628" s="37"/>
    </row>
    <row r="629" spans="6:9" ht="15.75" customHeight="1">
      <c r="F629" s="24"/>
      <c r="G629" s="37"/>
      <c r="H629" s="37"/>
      <c r="I629" s="37"/>
    </row>
    <row r="630" spans="6:9" ht="15.75" customHeight="1">
      <c r="F630" s="24"/>
      <c r="G630" s="37"/>
      <c r="H630" s="37"/>
      <c r="I630" s="37"/>
    </row>
    <row r="631" spans="6:9" ht="15.75" customHeight="1">
      <c r="F631" s="24"/>
      <c r="G631" s="37"/>
      <c r="H631" s="37"/>
      <c r="I631" s="37"/>
    </row>
    <row r="632" spans="6:9" ht="15.75" customHeight="1">
      <c r="F632" s="24"/>
      <c r="G632" s="37"/>
      <c r="H632" s="37"/>
      <c r="I632" s="37"/>
    </row>
    <row r="633" spans="6:9" ht="15.75" customHeight="1">
      <c r="F633" s="24"/>
      <c r="G633" s="37"/>
      <c r="H633" s="37"/>
      <c r="I633" s="37"/>
    </row>
    <row r="634" spans="6:9" ht="15.75" customHeight="1">
      <c r="F634" s="24"/>
      <c r="G634" s="37"/>
      <c r="H634" s="37"/>
      <c r="I634" s="37"/>
    </row>
    <row r="635" spans="6:9" ht="15.75" customHeight="1">
      <c r="F635" s="24"/>
      <c r="G635" s="37"/>
      <c r="H635" s="37"/>
      <c r="I635" s="37"/>
    </row>
    <row r="636" spans="6:9" ht="15.75" customHeight="1">
      <c r="F636" s="24"/>
      <c r="G636" s="37"/>
      <c r="H636" s="37"/>
      <c r="I636" s="37"/>
    </row>
    <row r="637" spans="6:9" ht="15.75" customHeight="1">
      <c r="F637" s="24"/>
      <c r="G637" s="37"/>
      <c r="H637" s="37"/>
      <c r="I637" s="37"/>
    </row>
    <row r="638" spans="6:9" ht="15.75" customHeight="1">
      <c r="F638" s="24"/>
      <c r="G638" s="37"/>
      <c r="H638" s="37"/>
      <c r="I638" s="37"/>
    </row>
    <row r="639" spans="6:9" ht="15.75" customHeight="1">
      <c r="F639" s="24"/>
      <c r="G639" s="37"/>
      <c r="H639" s="37"/>
      <c r="I639" s="37"/>
    </row>
    <row r="640" spans="6:9" ht="15.75" customHeight="1">
      <c r="F640" s="24"/>
      <c r="G640" s="37"/>
      <c r="H640" s="37"/>
      <c r="I640" s="37"/>
    </row>
    <row r="641" spans="6:9" ht="15.75" customHeight="1">
      <c r="F641" s="24"/>
      <c r="G641" s="37"/>
      <c r="H641" s="37"/>
      <c r="I641" s="37"/>
    </row>
    <row r="642" spans="6:9" ht="15.75" customHeight="1">
      <c r="F642" s="24"/>
      <c r="G642" s="37"/>
      <c r="H642" s="37"/>
      <c r="I642" s="37"/>
    </row>
    <row r="643" spans="6:9" ht="15.75" customHeight="1">
      <c r="F643" s="24"/>
      <c r="G643" s="37"/>
      <c r="H643" s="37"/>
      <c r="I643" s="37"/>
    </row>
    <row r="644" spans="6:9" ht="15.75" customHeight="1">
      <c r="F644" s="24"/>
      <c r="G644" s="37"/>
      <c r="H644" s="37"/>
      <c r="I644" s="37"/>
    </row>
    <row r="645" spans="6:9" ht="15.75" customHeight="1">
      <c r="F645" s="24"/>
      <c r="G645" s="37"/>
      <c r="H645" s="37"/>
      <c r="I645" s="37"/>
    </row>
    <row r="646" spans="6:9" ht="15.75" customHeight="1">
      <c r="F646" s="24"/>
      <c r="G646" s="37"/>
      <c r="H646" s="37"/>
      <c r="I646" s="37"/>
    </row>
    <row r="647" spans="6:9" ht="15.75" customHeight="1">
      <c r="F647" s="24"/>
      <c r="G647" s="37"/>
      <c r="H647" s="37"/>
      <c r="I647" s="37"/>
    </row>
    <row r="648" spans="6:9" ht="15.75" customHeight="1">
      <c r="F648" s="24"/>
      <c r="G648" s="37"/>
      <c r="H648" s="37"/>
      <c r="I648" s="37"/>
    </row>
    <row r="649" spans="6:9" ht="15.75" customHeight="1">
      <c r="F649" s="24"/>
      <c r="G649" s="37"/>
      <c r="H649" s="37"/>
      <c r="I649" s="37"/>
    </row>
    <row r="650" spans="6:9" ht="15.75" customHeight="1">
      <c r="F650" s="24"/>
      <c r="G650" s="37"/>
      <c r="H650" s="37"/>
      <c r="I650" s="37"/>
    </row>
    <row r="651" spans="6:9" ht="15.75" customHeight="1">
      <c r="F651" s="24"/>
      <c r="G651" s="37"/>
      <c r="H651" s="37"/>
      <c r="I651" s="37"/>
    </row>
    <row r="652" spans="6:9" ht="15.75" customHeight="1">
      <c r="F652" s="24"/>
      <c r="G652" s="37"/>
      <c r="H652" s="37"/>
      <c r="I652" s="37"/>
    </row>
    <row r="653" spans="6:9" ht="15.75" customHeight="1">
      <c r="F653" s="24"/>
      <c r="G653" s="37"/>
      <c r="H653" s="37"/>
      <c r="I653" s="37"/>
    </row>
    <row r="654" spans="6:9" ht="15.75" customHeight="1">
      <c r="F654" s="24"/>
      <c r="G654" s="37"/>
      <c r="H654" s="37"/>
      <c r="I654" s="37"/>
    </row>
    <row r="655" spans="6:9" ht="15.75" customHeight="1">
      <c r="F655" s="24"/>
      <c r="G655" s="37"/>
      <c r="H655" s="37"/>
      <c r="I655" s="37"/>
    </row>
    <row r="656" spans="6:9" ht="15.75" customHeight="1">
      <c r="F656" s="24"/>
      <c r="G656" s="37"/>
      <c r="H656" s="37"/>
      <c r="I656" s="37"/>
    </row>
    <row r="657" spans="6:9" ht="15.75" customHeight="1">
      <c r="F657" s="24"/>
      <c r="G657" s="37"/>
      <c r="H657" s="37"/>
      <c r="I657" s="37"/>
    </row>
    <row r="658" spans="6:9" ht="15.75" customHeight="1">
      <c r="F658" s="24"/>
      <c r="G658" s="37"/>
      <c r="H658" s="37"/>
      <c r="I658" s="37"/>
    </row>
    <row r="659" spans="6:9" ht="15.75" customHeight="1">
      <c r="F659" s="24"/>
      <c r="G659" s="37"/>
      <c r="H659" s="37"/>
      <c r="I659" s="37"/>
    </row>
    <row r="660" spans="6:9" ht="15.75" customHeight="1">
      <c r="F660" s="24"/>
      <c r="G660" s="37"/>
      <c r="H660" s="37"/>
      <c r="I660" s="37"/>
    </row>
    <row r="661" spans="6:9" ht="15.75" customHeight="1">
      <c r="F661" s="24"/>
      <c r="G661" s="37"/>
      <c r="H661" s="37"/>
      <c r="I661" s="37"/>
    </row>
    <row r="662" spans="6:9" ht="15.75" customHeight="1">
      <c r="F662" s="24"/>
      <c r="G662" s="37"/>
      <c r="H662" s="37"/>
      <c r="I662" s="37"/>
    </row>
    <row r="663" spans="6:9" ht="15.75" customHeight="1">
      <c r="F663" s="24"/>
      <c r="G663" s="37"/>
      <c r="H663" s="37"/>
      <c r="I663" s="37"/>
    </row>
    <row r="664" spans="6:9" ht="15.75" customHeight="1">
      <c r="F664" s="24"/>
      <c r="G664" s="37"/>
      <c r="H664" s="37"/>
      <c r="I664" s="37"/>
    </row>
    <row r="665" spans="6:9" ht="15.75" customHeight="1">
      <c r="F665" s="24"/>
      <c r="G665" s="37"/>
      <c r="H665" s="37"/>
      <c r="I665" s="37"/>
    </row>
    <row r="666" spans="6:9" ht="15.75" customHeight="1">
      <c r="F666" s="24"/>
      <c r="G666" s="37"/>
      <c r="H666" s="37"/>
      <c r="I666" s="37"/>
    </row>
    <row r="667" spans="6:9" ht="15.75" customHeight="1">
      <c r="F667" s="24"/>
      <c r="G667" s="37"/>
      <c r="H667" s="37"/>
      <c r="I667" s="37"/>
    </row>
    <row r="668" spans="6:9" ht="15.75" customHeight="1">
      <c r="F668" s="24"/>
      <c r="G668" s="37"/>
      <c r="H668" s="37"/>
      <c r="I668" s="37"/>
    </row>
    <row r="669" spans="6:9" ht="15.75" customHeight="1">
      <c r="F669" s="24"/>
      <c r="G669" s="37"/>
      <c r="H669" s="37"/>
      <c r="I669" s="37"/>
    </row>
    <row r="670" spans="6:9" ht="15.75" customHeight="1">
      <c r="F670" s="24"/>
      <c r="G670" s="37"/>
      <c r="H670" s="37"/>
      <c r="I670" s="37"/>
    </row>
    <row r="671" spans="6:9" ht="15.75" customHeight="1">
      <c r="F671" s="24"/>
      <c r="G671" s="37"/>
      <c r="H671" s="37"/>
      <c r="I671" s="37"/>
    </row>
    <row r="672" spans="6:9" ht="15.75" customHeight="1">
      <c r="F672" s="24"/>
      <c r="G672" s="37"/>
      <c r="H672" s="37"/>
      <c r="I672" s="37"/>
    </row>
    <row r="673" spans="6:9" ht="15.75" customHeight="1">
      <c r="F673" s="24"/>
      <c r="G673" s="37"/>
      <c r="H673" s="37"/>
      <c r="I673" s="37"/>
    </row>
    <row r="674" spans="6:9" ht="15.75" customHeight="1">
      <c r="F674" s="24"/>
      <c r="G674" s="37"/>
      <c r="H674" s="37"/>
      <c r="I674" s="37"/>
    </row>
    <row r="675" spans="6:9" ht="15.75" customHeight="1">
      <c r="F675" s="24"/>
      <c r="G675" s="37"/>
      <c r="H675" s="37"/>
      <c r="I675" s="37"/>
    </row>
    <row r="676" spans="6:9" ht="15.75" customHeight="1">
      <c r="F676" s="24"/>
      <c r="G676" s="37"/>
      <c r="H676" s="37"/>
      <c r="I676" s="37"/>
    </row>
    <row r="677" spans="6:9" ht="15.75" customHeight="1">
      <c r="F677" s="24"/>
      <c r="G677" s="37"/>
      <c r="H677" s="37"/>
      <c r="I677" s="37"/>
    </row>
    <row r="678" spans="6:9" ht="15.75" customHeight="1">
      <c r="F678" s="24"/>
      <c r="G678" s="37"/>
      <c r="H678" s="37"/>
      <c r="I678" s="37"/>
    </row>
    <row r="679" spans="6:9" ht="15.75" customHeight="1">
      <c r="F679" s="24"/>
      <c r="G679" s="37"/>
      <c r="H679" s="37"/>
      <c r="I679" s="37"/>
    </row>
    <row r="680" spans="6:9" ht="15.75" customHeight="1">
      <c r="F680" s="24"/>
      <c r="G680" s="37"/>
      <c r="H680" s="37"/>
      <c r="I680" s="37"/>
    </row>
    <row r="681" spans="6:9" ht="15.75" customHeight="1">
      <c r="F681" s="24"/>
      <c r="G681" s="37"/>
      <c r="H681" s="37"/>
      <c r="I681" s="37"/>
    </row>
    <row r="682" spans="6:9" ht="15.75" customHeight="1">
      <c r="F682" s="24"/>
      <c r="G682" s="37"/>
      <c r="H682" s="37"/>
      <c r="I682" s="37"/>
    </row>
    <row r="683" spans="6:9" ht="15.75" customHeight="1">
      <c r="F683" s="24"/>
      <c r="G683" s="37"/>
      <c r="H683" s="37"/>
      <c r="I683" s="37"/>
    </row>
    <row r="684" spans="6:9" ht="15.75" customHeight="1">
      <c r="F684" s="24"/>
      <c r="G684" s="37"/>
      <c r="H684" s="37"/>
      <c r="I684" s="37"/>
    </row>
    <row r="685" spans="6:9" ht="15.75" customHeight="1">
      <c r="F685" s="24"/>
      <c r="G685" s="37"/>
      <c r="H685" s="37"/>
      <c r="I685" s="37"/>
    </row>
    <row r="686" spans="6:9" ht="15.75" customHeight="1">
      <c r="F686" s="24"/>
      <c r="G686" s="37"/>
      <c r="H686" s="37"/>
      <c r="I686" s="37"/>
    </row>
    <row r="687" spans="6:9" ht="15.75" customHeight="1">
      <c r="F687" s="24"/>
      <c r="G687" s="37"/>
      <c r="H687" s="37"/>
      <c r="I687" s="37"/>
    </row>
    <row r="688" spans="6:9" ht="15.75" customHeight="1">
      <c r="F688" s="24"/>
      <c r="G688" s="37"/>
      <c r="H688" s="37"/>
      <c r="I688" s="37"/>
    </row>
    <row r="689" spans="6:9" ht="15.75" customHeight="1">
      <c r="F689" s="24"/>
      <c r="G689" s="37"/>
      <c r="H689" s="37"/>
      <c r="I689" s="37"/>
    </row>
    <row r="690" spans="6:9" ht="15.75" customHeight="1">
      <c r="F690" s="24"/>
      <c r="G690" s="37"/>
      <c r="H690" s="37"/>
      <c r="I690" s="37"/>
    </row>
    <row r="691" spans="6:9" ht="15.75" customHeight="1">
      <c r="F691" s="24"/>
      <c r="G691" s="37"/>
      <c r="H691" s="37"/>
      <c r="I691" s="37"/>
    </row>
    <row r="692" spans="6:9" ht="15.75" customHeight="1">
      <c r="F692" s="24"/>
      <c r="G692" s="37"/>
      <c r="H692" s="37"/>
      <c r="I692" s="37"/>
    </row>
    <row r="693" spans="6:9" ht="15.75" customHeight="1">
      <c r="F693" s="24"/>
      <c r="G693" s="37"/>
      <c r="H693" s="37"/>
      <c r="I693" s="37"/>
    </row>
    <row r="694" spans="6:9" ht="15.75" customHeight="1">
      <c r="F694" s="24"/>
      <c r="G694" s="37"/>
      <c r="H694" s="37"/>
      <c r="I694" s="37"/>
    </row>
    <row r="695" spans="6:9" ht="15.75" customHeight="1">
      <c r="F695" s="24"/>
      <c r="G695" s="37"/>
      <c r="H695" s="37"/>
      <c r="I695" s="37"/>
    </row>
    <row r="696" spans="6:9" ht="15.75" customHeight="1">
      <c r="F696" s="24"/>
      <c r="G696" s="37"/>
      <c r="H696" s="37"/>
      <c r="I696" s="37"/>
    </row>
    <row r="697" spans="6:9" ht="15.75" customHeight="1">
      <c r="F697" s="24"/>
      <c r="G697" s="37"/>
      <c r="H697" s="37"/>
      <c r="I697" s="37"/>
    </row>
    <row r="698" spans="6:9" ht="15.75" customHeight="1">
      <c r="F698" s="24"/>
      <c r="G698" s="37"/>
      <c r="H698" s="37"/>
      <c r="I698" s="37"/>
    </row>
    <row r="699" spans="6:9" ht="15.75" customHeight="1">
      <c r="F699" s="24"/>
      <c r="G699" s="37"/>
      <c r="H699" s="37"/>
      <c r="I699" s="37"/>
    </row>
    <row r="700" spans="6:9" ht="15.75" customHeight="1">
      <c r="F700" s="24"/>
      <c r="G700" s="37"/>
      <c r="H700" s="37"/>
      <c r="I700" s="37"/>
    </row>
    <row r="701" spans="6:9" ht="15.75" customHeight="1">
      <c r="F701" s="24"/>
      <c r="G701" s="37"/>
      <c r="H701" s="37"/>
      <c r="I701" s="37"/>
    </row>
    <row r="702" spans="6:9" ht="15.75" customHeight="1">
      <c r="F702" s="24"/>
      <c r="G702" s="37"/>
      <c r="H702" s="37"/>
      <c r="I702" s="37"/>
    </row>
    <row r="703" spans="6:9" ht="15.75" customHeight="1">
      <c r="F703" s="24"/>
      <c r="G703" s="37"/>
      <c r="H703" s="37"/>
      <c r="I703" s="37"/>
    </row>
    <row r="704" spans="6:9" ht="15.75" customHeight="1">
      <c r="F704" s="24"/>
      <c r="G704" s="37"/>
      <c r="H704" s="37"/>
      <c r="I704" s="37"/>
    </row>
    <row r="705" spans="6:9" ht="15.75" customHeight="1">
      <c r="F705" s="24"/>
      <c r="G705" s="37"/>
      <c r="H705" s="37"/>
      <c r="I705" s="37"/>
    </row>
    <row r="706" spans="6:9" ht="15.75" customHeight="1">
      <c r="F706" s="24"/>
      <c r="G706" s="37"/>
      <c r="H706" s="37"/>
      <c r="I706" s="37"/>
    </row>
    <row r="707" spans="6:9" ht="15.75" customHeight="1">
      <c r="F707" s="24"/>
      <c r="G707" s="37"/>
      <c r="H707" s="37"/>
      <c r="I707" s="37"/>
    </row>
    <row r="708" spans="6:9" ht="15.75" customHeight="1">
      <c r="F708" s="24"/>
      <c r="G708" s="37"/>
      <c r="H708" s="37"/>
      <c r="I708" s="37"/>
    </row>
    <row r="709" spans="6:9" ht="15.75" customHeight="1">
      <c r="F709" s="24"/>
      <c r="G709" s="37"/>
      <c r="H709" s="37"/>
      <c r="I709" s="37"/>
    </row>
    <row r="710" spans="6:9" ht="15.75" customHeight="1">
      <c r="F710" s="24"/>
      <c r="G710" s="37"/>
      <c r="H710" s="37"/>
      <c r="I710" s="37"/>
    </row>
    <row r="711" spans="6:9" ht="15.75" customHeight="1">
      <c r="F711" s="24"/>
      <c r="G711" s="37"/>
      <c r="H711" s="37"/>
      <c r="I711" s="37"/>
    </row>
    <row r="712" spans="6:9" ht="15.75" customHeight="1">
      <c r="F712" s="24"/>
      <c r="G712" s="37"/>
      <c r="H712" s="37"/>
      <c r="I712" s="37"/>
    </row>
    <row r="713" spans="6:9" ht="15.75" customHeight="1">
      <c r="F713" s="24"/>
      <c r="G713" s="37"/>
      <c r="H713" s="37"/>
      <c r="I713" s="37"/>
    </row>
    <row r="714" spans="6:9" ht="15.75" customHeight="1">
      <c r="F714" s="24"/>
      <c r="G714" s="37"/>
      <c r="H714" s="37"/>
      <c r="I714" s="37"/>
    </row>
    <row r="715" spans="6:9" ht="15.75" customHeight="1">
      <c r="F715" s="24"/>
      <c r="G715" s="37"/>
      <c r="H715" s="37"/>
      <c r="I715" s="37"/>
    </row>
    <row r="716" spans="6:9" ht="15.75" customHeight="1">
      <c r="F716" s="24"/>
      <c r="G716" s="37"/>
      <c r="H716" s="37"/>
      <c r="I716" s="37"/>
    </row>
    <row r="717" spans="6:9" ht="15.75" customHeight="1">
      <c r="F717" s="24"/>
      <c r="G717" s="37"/>
      <c r="H717" s="37"/>
      <c r="I717" s="37"/>
    </row>
    <row r="718" spans="6:9" ht="15.75" customHeight="1">
      <c r="F718" s="24"/>
      <c r="G718" s="37"/>
      <c r="H718" s="37"/>
      <c r="I718" s="37"/>
    </row>
    <row r="719" spans="6:9" ht="15.75" customHeight="1">
      <c r="F719" s="24"/>
      <c r="G719" s="37"/>
      <c r="H719" s="37"/>
      <c r="I719" s="37"/>
    </row>
    <row r="720" spans="6:9" ht="15.75" customHeight="1">
      <c r="F720" s="24"/>
      <c r="G720" s="37"/>
      <c r="H720" s="37"/>
      <c r="I720" s="37"/>
    </row>
    <row r="721" spans="6:9" ht="15.75" customHeight="1">
      <c r="F721" s="24"/>
      <c r="G721" s="37"/>
      <c r="H721" s="37"/>
      <c r="I721" s="37"/>
    </row>
    <row r="722" spans="6:9" ht="15.75" customHeight="1">
      <c r="F722" s="24"/>
      <c r="G722" s="37"/>
      <c r="H722" s="37"/>
      <c r="I722" s="37"/>
    </row>
    <row r="723" spans="6:9" ht="15.75" customHeight="1">
      <c r="F723" s="24"/>
      <c r="G723" s="37"/>
      <c r="H723" s="37"/>
      <c r="I723" s="37"/>
    </row>
    <row r="724" spans="6:9" ht="15.75" customHeight="1">
      <c r="F724" s="24"/>
      <c r="G724" s="37"/>
      <c r="H724" s="37"/>
      <c r="I724" s="37"/>
    </row>
    <row r="725" spans="6:9" ht="15.75" customHeight="1">
      <c r="F725" s="24"/>
      <c r="G725" s="37"/>
      <c r="H725" s="37"/>
      <c r="I725" s="37"/>
    </row>
    <row r="726" spans="6:9" ht="15.75" customHeight="1">
      <c r="F726" s="24"/>
      <c r="G726" s="37"/>
      <c r="H726" s="37"/>
      <c r="I726" s="37"/>
    </row>
    <row r="727" spans="6:9" ht="15.75" customHeight="1">
      <c r="F727" s="24"/>
      <c r="G727" s="37"/>
      <c r="H727" s="37"/>
      <c r="I727" s="37"/>
    </row>
    <row r="728" spans="6:9" ht="15.75" customHeight="1">
      <c r="F728" s="24"/>
      <c r="G728" s="37"/>
      <c r="H728" s="37"/>
      <c r="I728" s="37"/>
    </row>
    <row r="729" spans="6:9" ht="15.75" customHeight="1">
      <c r="F729" s="24"/>
      <c r="G729" s="37"/>
      <c r="H729" s="37"/>
      <c r="I729" s="37"/>
    </row>
    <row r="730" spans="6:9" ht="15.75" customHeight="1">
      <c r="F730" s="24"/>
      <c r="G730" s="37"/>
      <c r="H730" s="37"/>
      <c r="I730" s="37"/>
    </row>
    <row r="731" spans="6:9" ht="15.75" customHeight="1">
      <c r="F731" s="24"/>
      <c r="G731" s="37"/>
      <c r="H731" s="37"/>
      <c r="I731" s="37"/>
    </row>
    <row r="732" spans="6:9" ht="15.75" customHeight="1">
      <c r="F732" s="24"/>
      <c r="G732" s="37"/>
      <c r="H732" s="37"/>
      <c r="I732" s="37"/>
    </row>
    <row r="733" spans="6:9" ht="15.75" customHeight="1">
      <c r="F733" s="24"/>
      <c r="G733" s="37"/>
      <c r="H733" s="37"/>
      <c r="I733" s="37"/>
    </row>
    <row r="734" spans="6:9" ht="15.75" customHeight="1">
      <c r="F734" s="24"/>
      <c r="G734" s="37"/>
      <c r="H734" s="37"/>
      <c r="I734" s="37"/>
    </row>
    <row r="735" spans="6:9" ht="15.75" customHeight="1">
      <c r="F735" s="24"/>
      <c r="G735" s="37"/>
      <c r="H735" s="37"/>
      <c r="I735" s="37"/>
    </row>
    <row r="736" spans="6:9" ht="15.75" customHeight="1">
      <c r="F736" s="24"/>
      <c r="G736" s="37"/>
      <c r="H736" s="37"/>
      <c r="I736" s="37"/>
    </row>
    <row r="737" spans="6:9" ht="15.75" customHeight="1">
      <c r="F737" s="24"/>
      <c r="G737" s="37"/>
      <c r="H737" s="37"/>
      <c r="I737" s="37"/>
    </row>
    <row r="738" spans="6:9" ht="15.75" customHeight="1">
      <c r="F738" s="24"/>
      <c r="G738" s="37"/>
      <c r="H738" s="37"/>
      <c r="I738" s="37"/>
    </row>
    <row r="739" spans="6:9" ht="15.75" customHeight="1">
      <c r="F739" s="24"/>
      <c r="G739" s="37"/>
      <c r="H739" s="37"/>
      <c r="I739" s="37"/>
    </row>
    <row r="740" spans="6:9" ht="15.75" customHeight="1">
      <c r="F740" s="24"/>
      <c r="G740" s="37"/>
      <c r="H740" s="37"/>
      <c r="I740" s="37"/>
    </row>
    <row r="741" spans="6:9" ht="15.75" customHeight="1">
      <c r="F741" s="24"/>
      <c r="G741" s="37"/>
      <c r="H741" s="37"/>
      <c r="I741" s="37"/>
    </row>
    <row r="742" spans="6:9" ht="15.75" customHeight="1">
      <c r="F742" s="24"/>
      <c r="G742" s="37"/>
      <c r="H742" s="37"/>
      <c r="I742" s="37"/>
    </row>
    <row r="743" spans="6:9" ht="15.75" customHeight="1">
      <c r="F743" s="24"/>
      <c r="G743" s="37"/>
      <c r="H743" s="37"/>
      <c r="I743" s="37"/>
    </row>
    <row r="744" spans="6:9" ht="15.75" customHeight="1">
      <c r="F744" s="24"/>
      <c r="G744" s="37"/>
      <c r="H744" s="37"/>
      <c r="I744" s="37"/>
    </row>
    <row r="745" spans="6:9" ht="15.75" customHeight="1">
      <c r="F745" s="24"/>
      <c r="G745" s="37"/>
      <c r="H745" s="37"/>
      <c r="I745" s="37"/>
    </row>
    <row r="746" spans="6:9" ht="15.75" customHeight="1">
      <c r="F746" s="24"/>
      <c r="G746" s="37"/>
      <c r="H746" s="37"/>
      <c r="I746" s="37"/>
    </row>
    <row r="747" spans="6:9" ht="15.75" customHeight="1">
      <c r="F747" s="24"/>
      <c r="G747" s="37"/>
      <c r="H747" s="37"/>
      <c r="I747" s="37"/>
    </row>
    <row r="748" spans="6:9" ht="15.75" customHeight="1">
      <c r="F748" s="24"/>
      <c r="G748" s="37"/>
      <c r="H748" s="37"/>
      <c r="I748" s="37"/>
    </row>
    <row r="749" spans="6:9" ht="15.75" customHeight="1">
      <c r="F749" s="24"/>
      <c r="G749" s="37"/>
      <c r="H749" s="37"/>
      <c r="I749" s="37"/>
    </row>
    <row r="750" spans="6:9" ht="15.75" customHeight="1">
      <c r="F750" s="24"/>
      <c r="G750" s="37"/>
      <c r="H750" s="37"/>
      <c r="I750" s="37"/>
    </row>
    <row r="751" spans="6:9" ht="15.75" customHeight="1">
      <c r="F751" s="24"/>
      <c r="G751" s="37"/>
      <c r="H751" s="37"/>
      <c r="I751" s="37"/>
    </row>
    <row r="752" spans="6:9" ht="15.75" customHeight="1">
      <c r="F752" s="24"/>
      <c r="G752" s="37"/>
      <c r="H752" s="37"/>
      <c r="I752" s="37"/>
    </row>
    <row r="753" spans="6:9" ht="15.75" customHeight="1">
      <c r="F753" s="24"/>
      <c r="G753" s="37"/>
      <c r="H753" s="37"/>
      <c r="I753" s="37"/>
    </row>
    <row r="754" spans="6:9" ht="15.75" customHeight="1">
      <c r="F754" s="24"/>
      <c r="G754" s="37"/>
      <c r="H754" s="37"/>
      <c r="I754" s="37"/>
    </row>
    <row r="755" spans="6:9" ht="15.75" customHeight="1">
      <c r="F755" s="24"/>
      <c r="G755" s="37"/>
      <c r="H755" s="37"/>
      <c r="I755" s="37"/>
    </row>
    <row r="756" spans="6:9" ht="15.75" customHeight="1">
      <c r="F756" s="24"/>
      <c r="G756" s="37"/>
      <c r="H756" s="37"/>
      <c r="I756" s="37"/>
    </row>
    <row r="757" spans="6:9" ht="15.75" customHeight="1">
      <c r="F757" s="24"/>
      <c r="G757" s="37"/>
      <c r="H757" s="37"/>
      <c r="I757" s="37"/>
    </row>
    <row r="758" spans="6:9" ht="15.75" customHeight="1">
      <c r="F758" s="24"/>
      <c r="G758" s="37"/>
      <c r="H758" s="37"/>
      <c r="I758" s="37"/>
    </row>
    <row r="759" spans="6:9" ht="15.75" customHeight="1">
      <c r="F759" s="24"/>
      <c r="G759" s="37"/>
      <c r="H759" s="37"/>
      <c r="I759" s="37"/>
    </row>
    <row r="760" spans="6:9" ht="15.75" customHeight="1">
      <c r="F760" s="24"/>
      <c r="G760" s="37"/>
      <c r="H760" s="37"/>
      <c r="I760" s="37"/>
    </row>
    <row r="761" spans="6:9" ht="15.75" customHeight="1">
      <c r="F761" s="24"/>
      <c r="G761" s="37"/>
      <c r="H761" s="37"/>
      <c r="I761" s="37"/>
    </row>
    <row r="762" spans="6:9" ht="15.75" customHeight="1">
      <c r="F762" s="24"/>
      <c r="G762" s="37"/>
      <c r="H762" s="37"/>
      <c r="I762" s="37"/>
    </row>
    <row r="763" spans="6:9" ht="15.75" customHeight="1">
      <c r="F763" s="24"/>
      <c r="G763" s="37"/>
      <c r="H763" s="37"/>
      <c r="I763" s="37"/>
    </row>
    <row r="764" spans="6:9" ht="15.75" customHeight="1">
      <c r="F764" s="24"/>
      <c r="G764" s="37"/>
      <c r="H764" s="37"/>
      <c r="I764" s="37"/>
    </row>
    <row r="765" spans="6:9" ht="15.75" customHeight="1">
      <c r="F765" s="24"/>
      <c r="G765" s="37"/>
      <c r="H765" s="37"/>
      <c r="I765" s="37"/>
    </row>
    <row r="766" spans="6:9" ht="15.75" customHeight="1">
      <c r="F766" s="24"/>
      <c r="G766" s="37"/>
      <c r="H766" s="37"/>
      <c r="I766" s="37"/>
    </row>
    <row r="767" spans="6:9" ht="15.75" customHeight="1">
      <c r="F767" s="24"/>
      <c r="G767" s="37"/>
      <c r="H767" s="37"/>
      <c r="I767" s="37"/>
    </row>
    <row r="768" spans="6:9" ht="15.75" customHeight="1">
      <c r="F768" s="24"/>
      <c r="G768" s="37"/>
      <c r="H768" s="37"/>
      <c r="I768" s="37"/>
    </row>
    <row r="769" spans="6:9" ht="15.75" customHeight="1">
      <c r="F769" s="24"/>
      <c r="G769" s="37"/>
      <c r="H769" s="37"/>
      <c r="I769" s="37"/>
    </row>
    <row r="770" spans="6:9" ht="15.75" customHeight="1">
      <c r="F770" s="24"/>
      <c r="G770" s="37"/>
      <c r="H770" s="37"/>
      <c r="I770" s="37"/>
    </row>
    <row r="771" spans="6:9" ht="15.75" customHeight="1">
      <c r="F771" s="24"/>
      <c r="G771" s="37"/>
      <c r="H771" s="37"/>
      <c r="I771" s="37"/>
    </row>
    <row r="772" spans="6:9" ht="15.75" customHeight="1">
      <c r="F772" s="24"/>
      <c r="G772" s="37"/>
      <c r="H772" s="37"/>
      <c r="I772" s="37"/>
    </row>
    <row r="773" spans="6:9" ht="15.75" customHeight="1">
      <c r="F773" s="24"/>
      <c r="G773" s="37"/>
      <c r="H773" s="37"/>
      <c r="I773" s="37"/>
    </row>
    <row r="774" spans="6:9" ht="15.75" customHeight="1">
      <c r="F774" s="24"/>
      <c r="G774" s="37"/>
      <c r="H774" s="37"/>
      <c r="I774" s="37"/>
    </row>
    <row r="775" spans="6:9" ht="15.75" customHeight="1">
      <c r="F775" s="24"/>
      <c r="G775" s="37"/>
      <c r="H775" s="37"/>
      <c r="I775" s="37"/>
    </row>
    <row r="776" spans="6:9" ht="15.75" customHeight="1">
      <c r="F776" s="24"/>
      <c r="G776" s="37"/>
      <c r="H776" s="37"/>
      <c r="I776" s="37"/>
    </row>
    <row r="777" spans="6:9" ht="15.75" customHeight="1">
      <c r="F777" s="24"/>
      <c r="G777" s="37"/>
      <c r="H777" s="37"/>
      <c r="I777" s="37"/>
    </row>
    <row r="778" spans="6:9" ht="15.75" customHeight="1">
      <c r="F778" s="24"/>
      <c r="G778" s="37"/>
      <c r="H778" s="37"/>
      <c r="I778" s="37"/>
    </row>
    <row r="779" spans="6:9" ht="15.75" customHeight="1">
      <c r="F779" s="24"/>
      <c r="G779" s="37"/>
      <c r="H779" s="37"/>
      <c r="I779" s="37"/>
    </row>
    <row r="780" spans="6:9" ht="15.75" customHeight="1">
      <c r="F780" s="24"/>
      <c r="G780" s="37"/>
      <c r="H780" s="37"/>
      <c r="I780" s="37"/>
    </row>
    <row r="781" spans="6:9" ht="15.75" customHeight="1">
      <c r="F781" s="24"/>
      <c r="G781" s="37"/>
      <c r="H781" s="37"/>
      <c r="I781" s="37"/>
    </row>
    <row r="782" spans="6:9" ht="15.75" customHeight="1">
      <c r="F782" s="24"/>
      <c r="G782" s="37"/>
      <c r="H782" s="37"/>
      <c r="I782" s="37"/>
    </row>
    <row r="783" spans="6:9" ht="15.75" customHeight="1">
      <c r="F783" s="24"/>
      <c r="G783" s="37"/>
      <c r="H783" s="37"/>
      <c r="I783" s="37"/>
    </row>
    <row r="784" spans="6:9" ht="15.75" customHeight="1">
      <c r="F784" s="24"/>
      <c r="G784" s="37"/>
      <c r="H784" s="37"/>
      <c r="I784" s="37"/>
    </row>
    <row r="785" spans="6:9" ht="15.75" customHeight="1">
      <c r="F785" s="24"/>
      <c r="G785" s="37"/>
      <c r="H785" s="37"/>
      <c r="I785" s="37"/>
    </row>
    <row r="786" spans="6:9" ht="15.75" customHeight="1">
      <c r="F786" s="24"/>
      <c r="G786" s="37"/>
      <c r="H786" s="37"/>
      <c r="I786" s="37"/>
    </row>
    <row r="787" spans="6:9" ht="15.75" customHeight="1">
      <c r="F787" s="24"/>
      <c r="G787" s="37"/>
      <c r="H787" s="37"/>
      <c r="I787" s="37"/>
    </row>
    <row r="788" spans="6:9" ht="15.75" customHeight="1">
      <c r="F788" s="24"/>
      <c r="G788" s="37"/>
      <c r="H788" s="37"/>
      <c r="I788" s="37"/>
    </row>
    <row r="789" spans="6:9" ht="15.75" customHeight="1">
      <c r="F789" s="24"/>
      <c r="G789" s="37"/>
      <c r="H789" s="37"/>
      <c r="I789" s="37"/>
    </row>
    <row r="790" spans="6:9" ht="15.75" customHeight="1">
      <c r="F790" s="24"/>
      <c r="G790" s="37"/>
      <c r="H790" s="37"/>
      <c r="I790" s="37"/>
    </row>
    <row r="791" spans="6:9" ht="15.75" customHeight="1">
      <c r="F791" s="24"/>
      <c r="G791" s="37"/>
      <c r="H791" s="37"/>
      <c r="I791" s="37"/>
    </row>
    <row r="792" spans="6:9" ht="15.75" customHeight="1">
      <c r="F792" s="24"/>
      <c r="G792" s="37"/>
      <c r="H792" s="37"/>
      <c r="I792" s="37"/>
    </row>
    <row r="793" spans="6:9" ht="15.75" customHeight="1">
      <c r="F793" s="24"/>
      <c r="G793" s="37"/>
      <c r="H793" s="37"/>
      <c r="I793" s="37"/>
    </row>
    <row r="794" spans="6:9" ht="15.75" customHeight="1">
      <c r="F794" s="24"/>
      <c r="G794" s="37"/>
      <c r="H794" s="37"/>
      <c r="I794" s="37"/>
    </row>
    <row r="795" spans="6:9" ht="15.75" customHeight="1">
      <c r="F795" s="24"/>
      <c r="G795" s="37"/>
      <c r="H795" s="37"/>
      <c r="I795" s="37"/>
    </row>
    <row r="796" spans="6:9" ht="15.75" customHeight="1">
      <c r="F796" s="24"/>
      <c r="G796" s="37"/>
      <c r="H796" s="37"/>
      <c r="I796" s="37"/>
    </row>
    <row r="797" spans="6:9" ht="15.75" customHeight="1">
      <c r="F797" s="24"/>
      <c r="G797" s="37"/>
      <c r="H797" s="37"/>
      <c r="I797" s="37"/>
    </row>
    <row r="798" spans="6:9" ht="15.75" customHeight="1">
      <c r="F798" s="24"/>
      <c r="G798" s="37"/>
      <c r="H798" s="37"/>
      <c r="I798" s="37"/>
    </row>
    <row r="799" spans="6:9" ht="15.75" customHeight="1">
      <c r="F799" s="24"/>
      <c r="G799" s="37"/>
      <c r="H799" s="37"/>
      <c r="I799" s="37"/>
    </row>
    <row r="800" spans="6:9" ht="15.75" customHeight="1">
      <c r="F800" s="24"/>
      <c r="G800" s="37"/>
      <c r="H800" s="37"/>
      <c r="I800" s="37"/>
    </row>
    <row r="801" spans="6:9" ht="15.75" customHeight="1">
      <c r="F801" s="24"/>
      <c r="G801" s="37"/>
      <c r="H801" s="37"/>
      <c r="I801" s="37"/>
    </row>
    <row r="802" spans="6:9" ht="15.75" customHeight="1">
      <c r="F802" s="24"/>
      <c r="G802" s="37"/>
      <c r="H802" s="37"/>
      <c r="I802" s="37"/>
    </row>
    <row r="803" spans="6:9" ht="15.75" customHeight="1">
      <c r="F803" s="24"/>
      <c r="G803" s="37"/>
      <c r="H803" s="37"/>
      <c r="I803" s="37"/>
    </row>
    <row r="804" spans="6:9" ht="15.75" customHeight="1">
      <c r="F804" s="24"/>
      <c r="G804" s="37"/>
      <c r="H804" s="37"/>
      <c r="I804" s="37"/>
    </row>
    <row r="805" spans="6:9" ht="15.75" customHeight="1">
      <c r="F805" s="24"/>
      <c r="G805" s="37"/>
      <c r="H805" s="37"/>
      <c r="I805" s="37"/>
    </row>
    <row r="806" spans="6:9" ht="15.75" customHeight="1">
      <c r="F806" s="24"/>
      <c r="G806" s="37"/>
      <c r="H806" s="37"/>
      <c r="I806" s="37"/>
    </row>
    <row r="807" spans="6:9" ht="15.75" customHeight="1">
      <c r="F807" s="24"/>
      <c r="G807" s="37"/>
      <c r="H807" s="37"/>
      <c r="I807" s="37"/>
    </row>
    <row r="808" spans="6:9" ht="15.75" customHeight="1">
      <c r="F808" s="24"/>
      <c r="G808" s="37"/>
      <c r="H808" s="37"/>
      <c r="I808" s="37"/>
    </row>
    <row r="809" spans="6:9" ht="15.75" customHeight="1">
      <c r="F809" s="24"/>
      <c r="G809" s="37"/>
      <c r="H809" s="37"/>
      <c r="I809" s="37"/>
    </row>
    <row r="810" spans="6:9" ht="15.75" customHeight="1">
      <c r="F810" s="24"/>
      <c r="G810" s="37"/>
      <c r="H810" s="37"/>
      <c r="I810" s="37"/>
    </row>
    <row r="811" spans="6:9" ht="15.75" customHeight="1">
      <c r="F811" s="24"/>
      <c r="G811" s="37"/>
      <c r="H811" s="37"/>
      <c r="I811" s="37"/>
    </row>
    <row r="812" spans="6:9" ht="15.75" customHeight="1">
      <c r="F812" s="24"/>
      <c r="G812" s="37"/>
      <c r="H812" s="37"/>
      <c r="I812" s="37"/>
    </row>
    <row r="813" spans="6:9" ht="15.75" customHeight="1">
      <c r="F813" s="24"/>
      <c r="G813" s="37"/>
      <c r="H813" s="37"/>
      <c r="I813" s="37"/>
    </row>
    <row r="814" spans="6:9" ht="15.75" customHeight="1">
      <c r="F814" s="24"/>
      <c r="G814" s="37"/>
      <c r="H814" s="37"/>
      <c r="I814" s="37"/>
    </row>
    <row r="815" spans="6:9" ht="15.75" customHeight="1">
      <c r="F815" s="24"/>
      <c r="G815" s="37"/>
      <c r="H815" s="37"/>
      <c r="I815" s="37"/>
    </row>
    <row r="816" spans="6:9" ht="15.75" customHeight="1">
      <c r="F816" s="24"/>
      <c r="G816" s="37"/>
      <c r="H816" s="37"/>
      <c r="I816" s="37"/>
    </row>
    <row r="817" spans="6:9" ht="15.75" customHeight="1">
      <c r="F817" s="24"/>
      <c r="G817" s="37"/>
      <c r="H817" s="37"/>
      <c r="I817" s="37"/>
    </row>
    <row r="818" spans="6:9" ht="15.75" customHeight="1">
      <c r="F818" s="24"/>
      <c r="G818" s="37"/>
      <c r="H818" s="37"/>
      <c r="I818" s="37"/>
    </row>
    <row r="819" spans="6:9" ht="15.75" customHeight="1">
      <c r="F819" s="24"/>
      <c r="G819" s="37"/>
      <c r="H819" s="37"/>
      <c r="I819" s="37"/>
    </row>
    <row r="820" spans="6:9" ht="15.75" customHeight="1">
      <c r="F820" s="24"/>
      <c r="G820" s="37"/>
      <c r="H820" s="37"/>
      <c r="I820" s="37"/>
    </row>
    <row r="821" spans="6:9" ht="15.75" customHeight="1">
      <c r="F821" s="24"/>
      <c r="G821" s="37"/>
      <c r="H821" s="37"/>
      <c r="I821" s="37"/>
    </row>
    <row r="822" spans="6:9" ht="15.75" customHeight="1">
      <c r="F822" s="24"/>
      <c r="G822" s="37"/>
      <c r="H822" s="37"/>
      <c r="I822" s="37"/>
    </row>
    <row r="823" spans="6:9" ht="15.75" customHeight="1">
      <c r="F823" s="24"/>
      <c r="G823" s="37"/>
      <c r="H823" s="37"/>
      <c r="I823" s="37"/>
    </row>
    <row r="824" spans="6:9" ht="15.75" customHeight="1">
      <c r="F824" s="24"/>
      <c r="G824" s="37"/>
      <c r="H824" s="37"/>
      <c r="I824" s="37"/>
    </row>
    <row r="825" spans="6:9" ht="15.75" customHeight="1">
      <c r="F825" s="24"/>
      <c r="G825" s="37"/>
      <c r="H825" s="37"/>
      <c r="I825" s="37"/>
    </row>
    <row r="826" spans="6:9" ht="15.75" customHeight="1">
      <c r="F826" s="24"/>
      <c r="G826" s="37"/>
      <c r="H826" s="37"/>
      <c r="I826" s="37"/>
    </row>
    <row r="827" spans="6:9" ht="15.75" customHeight="1">
      <c r="F827" s="24"/>
      <c r="G827" s="37"/>
      <c r="H827" s="37"/>
      <c r="I827" s="37"/>
    </row>
    <row r="828" spans="6:9" ht="15.75" customHeight="1">
      <c r="F828" s="24"/>
      <c r="G828" s="37"/>
      <c r="H828" s="37"/>
      <c r="I828" s="37"/>
    </row>
    <row r="829" spans="6:9" ht="15.75" customHeight="1">
      <c r="F829" s="24"/>
      <c r="G829" s="37"/>
      <c r="H829" s="37"/>
      <c r="I829" s="37"/>
    </row>
    <row r="830" spans="6:9" ht="15.75" customHeight="1">
      <c r="F830" s="24"/>
      <c r="G830" s="37"/>
      <c r="H830" s="37"/>
      <c r="I830" s="37"/>
    </row>
    <row r="831" spans="6:9" ht="15.75" customHeight="1">
      <c r="F831" s="24"/>
      <c r="G831" s="37"/>
      <c r="H831" s="37"/>
      <c r="I831" s="37"/>
    </row>
    <row r="832" spans="6:9" ht="15.75" customHeight="1">
      <c r="F832" s="24"/>
      <c r="G832" s="37"/>
      <c r="H832" s="37"/>
      <c r="I832" s="37"/>
    </row>
    <row r="833" spans="6:9" ht="15.75" customHeight="1">
      <c r="F833" s="24"/>
      <c r="G833" s="37"/>
      <c r="H833" s="37"/>
      <c r="I833" s="37"/>
    </row>
    <row r="834" spans="6:9" ht="15.75" customHeight="1">
      <c r="F834" s="24"/>
      <c r="G834" s="37"/>
      <c r="H834" s="37"/>
      <c r="I834" s="37"/>
    </row>
    <row r="835" spans="6:9" ht="15.75" customHeight="1">
      <c r="F835" s="24"/>
      <c r="G835" s="37"/>
      <c r="H835" s="37"/>
      <c r="I835" s="37"/>
    </row>
    <row r="836" spans="6:9" ht="15.75" customHeight="1">
      <c r="F836" s="24"/>
      <c r="G836" s="37"/>
      <c r="H836" s="37"/>
      <c r="I836" s="37"/>
    </row>
    <row r="837" spans="6:9" ht="15.75" customHeight="1">
      <c r="F837" s="24"/>
      <c r="G837" s="37"/>
      <c r="H837" s="37"/>
      <c r="I837" s="37"/>
    </row>
    <row r="838" spans="6:9" ht="15.75" customHeight="1">
      <c r="F838" s="24"/>
      <c r="G838" s="37"/>
      <c r="H838" s="37"/>
      <c r="I838" s="37"/>
    </row>
    <row r="839" spans="6:9" ht="15.75" customHeight="1">
      <c r="F839" s="24"/>
      <c r="G839" s="37"/>
      <c r="H839" s="37"/>
      <c r="I839" s="37"/>
    </row>
    <row r="840" spans="6:9" ht="15.75" customHeight="1">
      <c r="F840" s="24"/>
      <c r="G840" s="37"/>
      <c r="H840" s="37"/>
      <c r="I840" s="37"/>
    </row>
    <row r="841" spans="6:9" ht="15.75" customHeight="1">
      <c r="F841" s="24"/>
      <c r="G841" s="37"/>
      <c r="H841" s="37"/>
      <c r="I841" s="37"/>
    </row>
    <row r="842" spans="6:9" ht="15.75" customHeight="1">
      <c r="F842" s="24"/>
      <c r="G842" s="37"/>
      <c r="H842" s="37"/>
      <c r="I842" s="37"/>
    </row>
    <row r="843" spans="6:9" ht="15.75" customHeight="1">
      <c r="F843" s="24"/>
      <c r="G843" s="37"/>
      <c r="H843" s="37"/>
      <c r="I843" s="37"/>
    </row>
    <row r="844" spans="6:9" ht="15.75" customHeight="1">
      <c r="F844" s="24"/>
      <c r="G844" s="37"/>
      <c r="H844" s="37"/>
      <c r="I844" s="37"/>
    </row>
    <row r="845" spans="6:9" ht="15.75" customHeight="1">
      <c r="F845" s="24"/>
      <c r="G845" s="37"/>
      <c r="H845" s="37"/>
      <c r="I845" s="37"/>
    </row>
    <row r="846" spans="6:9" ht="15.75" customHeight="1">
      <c r="F846" s="24"/>
      <c r="G846" s="37"/>
      <c r="H846" s="37"/>
      <c r="I846" s="37"/>
    </row>
    <row r="847" spans="6:9" ht="15.75" customHeight="1">
      <c r="F847" s="24"/>
      <c r="G847" s="37"/>
      <c r="H847" s="37"/>
      <c r="I847" s="37"/>
    </row>
    <row r="848" spans="6:9" ht="15.75" customHeight="1">
      <c r="F848" s="24"/>
      <c r="G848" s="37"/>
      <c r="H848" s="37"/>
      <c r="I848" s="37"/>
    </row>
    <row r="849" spans="6:9" ht="15.75" customHeight="1">
      <c r="F849" s="24"/>
      <c r="G849" s="37"/>
      <c r="H849" s="37"/>
      <c r="I849" s="37"/>
    </row>
    <row r="850" spans="6:9" ht="15.75" customHeight="1">
      <c r="F850" s="24"/>
      <c r="G850" s="37"/>
      <c r="H850" s="37"/>
      <c r="I850" s="37"/>
    </row>
    <row r="851" spans="6:9" ht="15.75" customHeight="1">
      <c r="F851" s="24"/>
      <c r="G851" s="37"/>
      <c r="H851" s="37"/>
      <c r="I851" s="37"/>
    </row>
    <row r="852" spans="6:9" ht="15.75" customHeight="1">
      <c r="F852" s="24"/>
      <c r="G852" s="37"/>
      <c r="H852" s="37"/>
      <c r="I852" s="37"/>
    </row>
    <row r="853" spans="6:9" ht="15.75" customHeight="1">
      <c r="F853" s="24"/>
      <c r="G853" s="37"/>
      <c r="H853" s="37"/>
      <c r="I853" s="37"/>
    </row>
    <row r="854" spans="6:9" ht="15.75" customHeight="1">
      <c r="F854" s="24"/>
      <c r="G854" s="37"/>
      <c r="H854" s="37"/>
      <c r="I854" s="37"/>
    </row>
    <row r="855" spans="6:9" ht="15.75" customHeight="1">
      <c r="F855" s="24"/>
      <c r="G855" s="37"/>
      <c r="H855" s="37"/>
      <c r="I855" s="37"/>
    </row>
    <row r="856" spans="6:9" ht="15.75" customHeight="1">
      <c r="F856" s="24"/>
      <c r="G856" s="37"/>
      <c r="H856" s="37"/>
      <c r="I856" s="37"/>
    </row>
    <row r="857" spans="6:9" ht="15.75" customHeight="1">
      <c r="F857" s="24"/>
      <c r="G857" s="37"/>
      <c r="H857" s="37"/>
      <c r="I857" s="37"/>
    </row>
    <row r="858" spans="6:9" ht="15.75" customHeight="1">
      <c r="F858" s="24"/>
      <c r="G858" s="37"/>
      <c r="H858" s="37"/>
      <c r="I858" s="37"/>
    </row>
    <row r="859" spans="6:9" ht="15.75" customHeight="1">
      <c r="F859" s="24"/>
      <c r="G859" s="37"/>
      <c r="H859" s="37"/>
      <c r="I859" s="37"/>
    </row>
    <row r="860" spans="6:9" ht="15.75" customHeight="1">
      <c r="F860" s="24"/>
      <c r="G860" s="37"/>
      <c r="H860" s="37"/>
      <c r="I860" s="37"/>
    </row>
    <row r="861" spans="6:9" ht="15.75" customHeight="1">
      <c r="F861" s="24"/>
      <c r="G861" s="37"/>
      <c r="H861" s="37"/>
      <c r="I861" s="37"/>
    </row>
    <row r="862" spans="6:9" ht="15.75" customHeight="1">
      <c r="F862" s="24"/>
      <c r="G862" s="37"/>
      <c r="H862" s="37"/>
      <c r="I862" s="37"/>
    </row>
    <row r="863" spans="6:9" ht="15.75" customHeight="1">
      <c r="F863" s="24"/>
      <c r="G863" s="37"/>
      <c r="H863" s="37"/>
      <c r="I863" s="37"/>
    </row>
    <row r="864" spans="6:9" ht="15.75" customHeight="1">
      <c r="F864" s="24"/>
      <c r="G864" s="37"/>
      <c r="H864" s="37"/>
      <c r="I864" s="37"/>
    </row>
    <row r="865" spans="6:9" ht="15.75" customHeight="1">
      <c r="F865" s="24"/>
      <c r="G865" s="37"/>
      <c r="H865" s="37"/>
      <c r="I865" s="37"/>
    </row>
    <row r="866" spans="6:9" ht="15.75" customHeight="1">
      <c r="F866" s="24"/>
      <c r="G866" s="37"/>
      <c r="H866" s="37"/>
      <c r="I866" s="37"/>
    </row>
    <row r="867" spans="6:9" ht="15.75" customHeight="1">
      <c r="F867" s="24"/>
      <c r="G867" s="37"/>
      <c r="H867" s="37"/>
      <c r="I867" s="37"/>
    </row>
    <row r="868" spans="6:9" ht="15.75" customHeight="1">
      <c r="F868" s="24"/>
      <c r="G868" s="37"/>
      <c r="H868" s="37"/>
      <c r="I868" s="37"/>
    </row>
    <row r="869" spans="6:9" ht="15.75" customHeight="1">
      <c r="F869" s="24"/>
      <c r="G869" s="37"/>
      <c r="H869" s="37"/>
      <c r="I869" s="37"/>
    </row>
    <row r="870" spans="6:9" ht="15.75" customHeight="1">
      <c r="F870" s="24"/>
      <c r="G870" s="37"/>
      <c r="H870" s="37"/>
      <c r="I870" s="37"/>
    </row>
    <row r="871" spans="6:9" ht="15.75" customHeight="1">
      <c r="F871" s="24"/>
      <c r="G871" s="37"/>
      <c r="H871" s="37"/>
      <c r="I871" s="37"/>
    </row>
    <row r="872" spans="6:9" ht="15.75" customHeight="1">
      <c r="F872" s="24"/>
      <c r="G872" s="37"/>
      <c r="H872" s="37"/>
      <c r="I872" s="37"/>
    </row>
    <row r="873" spans="6:9" ht="15.75" customHeight="1">
      <c r="F873" s="24"/>
      <c r="G873" s="37"/>
      <c r="H873" s="37"/>
      <c r="I873" s="37"/>
    </row>
    <row r="874" spans="6:9" ht="15.75" customHeight="1">
      <c r="F874" s="24"/>
      <c r="G874" s="37"/>
      <c r="H874" s="37"/>
      <c r="I874" s="37"/>
    </row>
    <row r="875" spans="6:9" ht="15.75" customHeight="1">
      <c r="F875" s="24"/>
      <c r="G875" s="37"/>
      <c r="H875" s="37"/>
      <c r="I875" s="37"/>
    </row>
    <row r="876" spans="6:9" ht="15.75" customHeight="1">
      <c r="F876" s="24"/>
      <c r="G876" s="37"/>
      <c r="H876" s="37"/>
      <c r="I876" s="37"/>
    </row>
    <row r="877" spans="6:9" ht="15.75" customHeight="1">
      <c r="F877" s="24"/>
      <c r="G877" s="37"/>
      <c r="H877" s="37"/>
      <c r="I877" s="37"/>
    </row>
    <row r="878" spans="6:9" ht="15.75" customHeight="1">
      <c r="F878" s="24"/>
      <c r="G878" s="37"/>
      <c r="H878" s="37"/>
      <c r="I878" s="37"/>
    </row>
    <row r="879" spans="6:9" ht="15.75" customHeight="1">
      <c r="F879" s="24"/>
      <c r="G879" s="37"/>
      <c r="H879" s="37"/>
      <c r="I879" s="37"/>
    </row>
    <row r="880" spans="6:9" ht="15.75" customHeight="1">
      <c r="F880" s="24"/>
      <c r="G880" s="37"/>
      <c r="H880" s="37"/>
      <c r="I880" s="37"/>
    </row>
    <row r="881" spans="6:9" ht="15.75" customHeight="1">
      <c r="F881" s="24"/>
      <c r="G881" s="37"/>
      <c r="H881" s="37"/>
      <c r="I881" s="37"/>
    </row>
    <row r="882" spans="6:9" ht="15.75" customHeight="1">
      <c r="F882" s="24"/>
      <c r="G882" s="37"/>
      <c r="H882" s="37"/>
      <c r="I882" s="37"/>
    </row>
    <row r="883" spans="6:9" ht="15.75" customHeight="1">
      <c r="F883" s="24"/>
      <c r="G883" s="37"/>
      <c r="H883" s="37"/>
      <c r="I883" s="37"/>
    </row>
    <row r="884" spans="6:9" ht="15.75" customHeight="1">
      <c r="F884" s="24"/>
      <c r="G884" s="37"/>
      <c r="H884" s="37"/>
      <c r="I884" s="37"/>
    </row>
    <row r="885" spans="6:9" ht="15.75" customHeight="1">
      <c r="F885" s="24"/>
      <c r="G885" s="37"/>
      <c r="H885" s="37"/>
      <c r="I885" s="37"/>
    </row>
    <row r="886" spans="6:9" ht="15.75" customHeight="1">
      <c r="F886" s="24"/>
      <c r="G886" s="37"/>
      <c r="H886" s="37"/>
      <c r="I886" s="37"/>
    </row>
    <row r="887" spans="6:9" ht="15.75" customHeight="1">
      <c r="F887" s="24"/>
      <c r="G887" s="37"/>
      <c r="H887" s="37"/>
      <c r="I887" s="37"/>
    </row>
    <row r="888" spans="6:9" ht="15.75" customHeight="1">
      <c r="F888" s="24"/>
      <c r="G888" s="37"/>
      <c r="H888" s="37"/>
      <c r="I888" s="37"/>
    </row>
    <row r="889" spans="6:9" ht="15.75" customHeight="1">
      <c r="F889" s="24"/>
      <c r="G889" s="37"/>
      <c r="H889" s="37"/>
      <c r="I889" s="37"/>
    </row>
    <row r="890" spans="6:9" ht="15.75" customHeight="1">
      <c r="F890" s="24"/>
      <c r="G890" s="37"/>
      <c r="H890" s="37"/>
      <c r="I890" s="37"/>
    </row>
    <row r="891" spans="6:9" ht="15.75" customHeight="1">
      <c r="F891" s="24"/>
      <c r="G891" s="37"/>
      <c r="H891" s="37"/>
      <c r="I891" s="37"/>
    </row>
    <row r="892" spans="6:9" ht="15.75" customHeight="1">
      <c r="F892" s="24"/>
      <c r="G892" s="37"/>
      <c r="H892" s="37"/>
      <c r="I892" s="37"/>
    </row>
    <row r="893" spans="6:9" ht="15.75" customHeight="1">
      <c r="F893" s="24"/>
      <c r="G893" s="37"/>
      <c r="H893" s="37"/>
      <c r="I893" s="37"/>
    </row>
    <row r="894" spans="6:9" ht="15.75" customHeight="1">
      <c r="F894" s="24"/>
      <c r="G894" s="37"/>
      <c r="H894" s="37"/>
      <c r="I894" s="37"/>
    </row>
    <row r="895" spans="6:9" ht="15.75" customHeight="1">
      <c r="F895" s="24"/>
      <c r="G895" s="37"/>
      <c r="H895" s="37"/>
      <c r="I895" s="37"/>
    </row>
    <row r="896" spans="6:9" ht="15.75" customHeight="1">
      <c r="F896" s="24"/>
      <c r="G896" s="37"/>
      <c r="H896" s="37"/>
      <c r="I896" s="37"/>
    </row>
    <row r="897" spans="6:9" ht="15.75" customHeight="1">
      <c r="F897" s="24"/>
      <c r="G897" s="37"/>
      <c r="H897" s="37"/>
      <c r="I897" s="37"/>
    </row>
    <row r="898" spans="6:9" ht="15.75" customHeight="1">
      <c r="F898" s="24"/>
      <c r="G898" s="37"/>
      <c r="H898" s="37"/>
      <c r="I898" s="37"/>
    </row>
    <row r="899" spans="6:9" ht="15.75" customHeight="1">
      <c r="F899" s="24"/>
      <c r="G899" s="37"/>
      <c r="H899" s="37"/>
      <c r="I899" s="37"/>
    </row>
    <row r="900" spans="6:9" ht="15.75" customHeight="1">
      <c r="F900" s="24"/>
      <c r="G900" s="37"/>
      <c r="H900" s="37"/>
      <c r="I900" s="37"/>
    </row>
    <row r="901" spans="6:9" ht="15.75" customHeight="1">
      <c r="F901" s="24"/>
      <c r="G901" s="37"/>
      <c r="H901" s="37"/>
      <c r="I901" s="37"/>
    </row>
    <row r="902" spans="6:9" ht="15.75" customHeight="1">
      <c r="F902" s="24"/>
      <c r="G902" s="37"/>
      <c r="H902" s="37"/>
      <c r="I902" s="37"/>
    </row>
    <row r="903" spans="6:9" ht="15.75" customHeight="1">
      <c r="F903" s="24"/>
      <c r="G903" s="37"/>
      <c r="H903" s="37"/>
      <c r="I903" s="37"/>
    </row>
    <row r="904" spans="6:9" ht="15.75" customHeight="1">
      <c r="F904" s="24"/>
      <c r="G904" s="37"/>
      <c r="H904" s="37"/>
      <c r="I904" s="37"/>
    </row>
    <row r="905" spans="6:9" ht="15.75" customHeight="1">
      <c r="F905" s="24"/>
      <c r="G905" s="37"/>
      <c r="H905" s="37"/>
      <c r="I905" s="37"/>
    </row>
    <row r="906" spans="6:9" ht="15.75" customHeight="1">
      <c r="F906" s="24"/>
      <c r="G906" s="37"/>
      <c r="H906" s="37"/>
      <c r="I906" s="37"/>
    </row>
    <row r="907" spans="6:9" ht="15.75" customHeight="1">
      <c r="F907" s="24"/>
      <c r="G907" s="37"/>
      <c r="H907" s="37"/>
      <c r="I907" s="37"/>
    </row>
    <row r="908" spans="6:9" ht="15.75" customHeight="1">
      <c r="F908" s="24"/>
      <c r="G908" s="37"/>
      <c r="H908" s="37"/>
      <c r="I908" s="37"/>
    </row>
    <row r="909" spans="6:9" ht="15.75" customHeight="1">
      <c r="F909" s="24"/>
      <c r="G909" s="37"/>
      <c r="H909" s="37"/>
      <c r="I909" s="37"/>
    </row>
    <row r="910" spans="6:9" ht="15.75" customHeight="1">
      <c r="F910" s="24"/>
      <c r="G910" s="37"/>
      <c r="H910" s="37"/>
      <c r="I910" s="37"/>
    </row>
    <row r="911" spans="6:9" ht="15.75" customHeight="1">
      <c r="F911" s="24"/>
      <c r="G911" s="37"/>
      <c r="H911" s="37"/>
      <c r="I911" s="37"/>
    </row>
    <row r="912" spans="6:9" ht="15.75" customHeight="1">
      <c r="F912" s="24"/>
      <c r="G912" s="37"/>
      <c r="H912" s="37"/>
      <c r="I912" s="37"/>
    </row>
    <row r="913" spans="6:9" ht="15.75" customHeight="1">
      <c r="F913" s="24"/>
      <c r="G913" s="37"/>
      <c r="H913" s="37"/>
      <c r="I913" s="37"/>
    </row>
    <row r="914" spans="6:9" ht="15.75" customHeight="1">
      <c r="F914" s="24"/>
      <c r="G914" s="37"/>
      <c r="H914" s="37"/>
      <c r="I914" s="37"/>
    </row>
    <row r="915" spans="6:9" ht="15.75" customHeight="1">
      <c r="F915" s="24"/>
      <c r="G915" s="37"/>
      <c r="H915" s="37"/>
      <c r="I915" s="37"/>
    </row>
    <row r="916" spans="6:9" ht="15.75" customHeight="1">
      <c r="F916" s="24"/>
      <c r="G916" s="37"/>
      <c r="H916" s="37"/>
      <c r="I916" s="37"/>
    </row>
    <row r="917" spans="6:9" ht="15.75" customHeight="1">
      <c r="F917" s="24"/>
      <c r="G917" s="37"/>
      <c r="H917" s="37"/>
      <c r="I917" s="37"/>
    </row>
    <row r="918" spans="6:9" ht="15.75" customHeight="1">
      <c r="F918" s="24"/>
      <c r="G918" s="37"/>
      <c r="H918" s="37"/>
      <c r="I918" s="37"/>
    </row>
    <row r="919" spans="6:9" ht="15.75" customHeight="1">
      <c r="F919" s="24"/>
      <c r="G919" s="37"/>
      <c r="H919" s="37"/>
      <c r="I919" s="37"/>
    </row>
    <row r="920" spans="6:9" ht="15.75" customHeight="1">
      <c r="F920" s="24"/>
      <c r="G920" s="37"/>
      <c r="H920" s="37"/>
      <c r="I920" s="37"/>
    </row>
    <row r="921" spans="6:9" ht="15.75" customHeight="1">
      <c r="F921" s="24"/>
      <c r="G921" s="37"/>
      <c r="H921" s="37"/>
      <c r="I921" s="37"/>
    </row>
    <row r="922" spans="6:9" ht="15.75" customHeight="1">
      <c r="F922" s="24"/>
      <c r="G922" s="37"/>
      <c r="H922" s="37"/>
      <c r="I922" s="37"/>
    </row>
    <row r="923" spans="6:9" ht="15.75" customHeight="1">
      <c r="F923" s="24"/>
      <c r="G923" s="37"/>
      <c r="H923" s="37"/>
      <c r="I923" s="37"/>
    </row>
    <row r="924" spans="6:9" ht="15.75" customHeight="1">
      <c r="F924" s="24"/>
      <c r="G924" s="37"/>
      <c r="H924" s="37"/>
      <c r="I924" s="37"/>
    </row>
    <row r="925" spans="6:9" ht="15.75" customHeight="1">
      <c r="F925" s="24"/>
      <c r="G925" s="37"/>
      <c r="H925" s="37"/>
      <c r="I925" s="37"/>
    </row>
    <row r="926" spans="6:9" ht="15.75" customHeight="1">
      <c r="F926" s="24"/>
      <c r="G926" s="37"/>
      <c r="H926" s="37"/>
      <c r="I926" s="37"/>
    </row>
    <row r="927" spans="6:9" ht="15.75" customHeight="1">
      <c r="F927" s="24"/>
      <c r="G927" s="37"/>
      <c r="H927" s="37"/>
      <c r="I927" s="37"/>
    </row>
    <row r="928" spans="6:9" ht="15.75" customHeight="1">
      <c r="F928" s="24"/>
      <c r="G928" s="37"/>
      <c r="H928" s="37"/>
      <c r="I928" s="37"/>
    </row>
    <row r="929" spans="6:9" ht="15.75" customHeight="1">
      <c r="F929" s="24"/>
      <c r="G929" s="37"/>
      <c r="H929" s="37"/>
      <c r="I929" s="37"/>
    </row>
    <row r="930" spans="6:9" ht="15.75" customHeight="1">
      <c r="F930" s="24"/>
      <c r="G930" s="37"/>
      <c r="H930" s="37"/>
      <c r="I930" s="37"/>
    </row>
    <row r="931" spans="6:9" ht="15.75" customHeight="1">
      <c r="F931" s="24"/>
      <c r="G931" s="37"/>
      <c r="H931" s="37"/>
      <c r="I931" s="37"/>
    </row>
    <row r="932" spans="6:9" ht="15.75" customHeight="1">
      <c r="F932" s="24"/>
      <c r="G932" s="37"/>
      <c r="H932" s="37"/>
      <c r="I932" s="37"/>
    </row>
    <row r="933" spans="6:9" ht="15.75" customHeight="1">
      <c r="F933" s="24"/>
      <c r="G933" s="37"/>
      <c r="H933" s="37"/>
      <c r="I933" s="37"/>
    </row>
    <row r="934" spans="6:9" ht="15.75" customHeight="1">
      <c r="F934" s="24"/>
      <c r="G934" s="37"/>
      <c r="H934" s="37"/>
      <c r="I934" s="37"/>
    </row>
    <row r="935" spans="6:9" ht="15.75" customHeight="1">
      <c r="F935" s="24"/>
      <c r="G935" s="37"/>
      <c r="H935" s="37"/>
      <c r="I935" s="37"/>
    </row>
    <row r="936" spans="6:9" ht="15.75" customHeight="1">
      <c r="F936" s="24"/>
      <c r="G936" s="37"/>
      <c r="H936" s="37"/>
      <c r="I936" s="37"/>
    </row>
    <row r="937" spans="6:9" ht="15.75" customHeight="1">
      <c r="F937" s="24"/>
      <c r="G937" s="37"/>
      <c r="H937" s="37"/>
      <c r="I937" s="37"/>
    </row>
    <row r="938" spans="6:9" ht="15.75" customHeight="1">
      <c r="F938" s="24"/>
      <c r="G938" s="37"/>
      <c r="H938" s="37"/>
      <c r="I938" s="37"/>
    </row>
    <row r="939" spans="6:9" ht="15.75" customHeight="1">
      <c r="F939" s="24"/>
      <c r="G939" s="37"/>
      <c r="H939" s="37"/>
      <c r="I939" s="37"/>
    </row>
    <row r="940" spans="6:9" ht="15.75" customHeight="1">
      <c r="F940" s="24"/>
      <c r="G940" s="37"/>
      <c r="H940" s="37"/>
      <c r="I940" s="37"/>
    </row>
    <row r="941" spans="6:9" ht="15.75" customHeight="1">
      <c r="F941" s="24"/>
      <c r="G941" s="37"/>
      <c r="H941" s="37"/>
      <c r="I941" s="37"/>
    </row>
    <row r="942" spans="6:9" ht="15.75" customHeight="1">
      <c r="F942" s="24"/>
      <c r="G942" s="37"/>
      <c r="H942" s="37"/>
      <c r="I942" s="37"/>
    </row>
    <row r="943" spans="6:9" ht="15.75" customHeight="1">
      <c r="F943" s="24"/>
      <c r="G943" s="37"/>
      <c r="H943" s="37"/>
      <c r="I943" s="37"/>
    </row>
    <row r="944" spans="6:9" ht="15.75" customHeight="1">
      <c r="F944" s="24"/>
      <c r="G944" s="37"/>
      <c r="H944" s="37"/>
      <c r="I944" s="37"/>
    </row>
    <row r="945" spans="6:9" ht="15.75" customHeight="1">
      <c r="F945" s="24"/>
      <c r="G945" s="37"/>
      <c r="H945" s="37"/>
      <c r="I945" s="37"/>
    </row>
    <row r="946" spans="6:9" ht="15.75" customHeight="1">
      <c r="F946" s="24"/>
      <c r="G946" s="37"/>
      <c r="H946" s="37"/>
      <c r="I946" s="37"/>
    </row>
    <row r="947" spans="6:9" ht="15.75" customHeight="1">
      <c r="F947" s="24"/>
      <c r="G947" s="37"/>
      <c r="H947" s="37"/>
      <c r="I947" s="37"/>
    </row>
    <row r="948" spans="6:9" ht="15.75" customHeight="1">
      <c r="F948" s="24"/>
      <c r="G948" s="37"/>
      <c r="H948" s="37"/>
      <c r="I948" s="37"/>
    </row>
    <row r="949" spans="6:9" ht="15.75" customHeight="1">
      <c r="F949" s="24"/>
      <c r="G949" s="37"/>
      <c r="H949" s="37"/>
      <c r="I949" s="37"/>
    </row>
    <row r="950" spans="6:9" ht="15.75" customHeight="1">
      <c r="F950" s="24"/>
      <c r="G950" s="37"/>
      <c r="H950" s="37"/>
      <c r="I950" s="37"/>
    </row>
    <row r="951" spans="6:9" ht="15.75" customHeight="1">
      <c r="F951" s="24"/>
      <c r="G951" s="37"/>
      <c r="H951" s="37"/>
      <c r="I951" s="37"/>
    </row>
    <row r="952" spans="6:9" ht="15.75" customHeight="1">
      <c r="F952" s="24"/>
      <c r="G952" s="37"/>
      <c r="H952" s="37"/>
      <c r="I952" s="37"/>
    </row>
    <row r="953" spans="6:9" ht="15.75" customHeight="1">
      <c r="F953" s="24"/>
      <c r="G953" s="37"/>
      <c r="H953" s="37"/>
      <c r="I953" s="37"/>
    </row>
    <row r="954" spans="6:9" ht="15.75" customHeight="1">
      <c r="F954" s="24"/>
      <c r="G954" s="37"/>
      <c r="H954" s="37"/>
      <c r="I954" s="37"/>
    </row>
    <row r="955" spans="6:9" ht="15.75" customHeight="1">
      <c r="F955" s="24"/>
      <c r="G955" s="37"/>
      <c r="H955" s="37"/>
      <c r="I955" s="37"/>
    </row>
    <row r="956" spans="6:9" ht="15.75" customHeight="1">
      <c r="F956" s="24"/>
      <c r="G956" s="37"/>
      <c r="H956" s="37"/>
      <c r="I956" s="37"/>
    </row>
    <row r="957" spans="6:9" ht="15.75" customHeight="1">
      <c r="F957" s="24"/>
      <c r="G957" s="37"/>
      <c r="H957" s="37"/>
      <c r="I957" s="37"/>
    </row>
    <row r="958" spans="6:9" ht="15.75" customHeight="1">
      <c r="F958" s="24"/>
      <c r="G958" s="37"/>
      <c r="H958" s="37"/>
      <c r="I958" s="37"/>
    </row>
    <row r="959" spans="6:9" ht="15.75" customHeight="1">
      <c r="F959" s="24"/>
      <c r="G959" s="37"/>
      <c r="H959" s="37"/>
      <c r="I959" s="37"/>
    </row>
    <row r="960" spans="6:9" ht="15.75" customHeight="1">
      <c r="F960" s="24"/>
      <c r="G960" s="37"/>
      <c r="H960" s="37"/>
      <c r="I960" s="37"/>
    </row>
    <row r="961" spans="6:9" ht="15.75" customHeight="1">
      <c r="F961" s="24"/>
      <c r="G961" s="37"/>
      <c r="H961" s="37"/>
      <c r="I961" s="37"/>
    </row>
    <row r="962" spans="6:9" ht="15.75" customHeight="1">
      <c r="F962" s="24"/>
      <c r="G962" s="37"/>
      <c r="H962" s="37"/>
      <c r="I962" s="37"/>
    </row>
    <row r="963" spans="6:9" ht="15.75" customHeight="1">
      <c r="F963" s="24"/>
      <c r="G963" s="37"/>
      <c r="H963" s="37"/>
      <c r="I963" s="37"/>
    </row>
    <row r="964" spans="6:9" ht="15.75" customHeight="1">
      <c r="F964" s="24"/>
      <c r="G964" s="37"/>
      <c r="H964" s="37"/>
      <c r="I964" s="37"/>
    </row>
    <row r="965" spans="6:9" ht="15.75" customHeight="1">
      <c r="F965" s="24"/>
      <c r="G965" s="37"/>
      <c r="H965" s="37"/>
      <c r="I965" s="37"/>
    </row>
    <row r="966" spans="6:9" ht="15.75" customHeight="1">
      <c r="F966" s="24"/>
      <c r="G966" s="37"/>
      <c r="H966" s="37"/>
      <c r="I966" s="37"/>
    </row>
    <row r="967" spans="6:9" ht="15.75" customHeight="1">
      <c r="F967" s="24"/>
      <c r="G967" s="37"/>
      <c r="H967" s="37"/>
      <c r="I967" s="37"/>
    </row>
    <row r="968" spans="6:9" ht="15.75" customHeight="1">
      <c r="F968" s="24"/>
      <c r="G968" s="37"/>
      <c r="H968" s="37"/>
      <c r="I968" s="37"/>
    </row>
    <row r="969" spans="6:9" ht="15.75" customHeight="1">
      <c r="F969" s="24"/>
      <c r="G969" s="37"/>
      <c r="H969" s="37"/>
      <c r="I969" s="37"/>
    </row>
    <row r="970" spans="6:9" ht="15.75" customHeight="1">
      <c r="F970" s="24"/>
      <c r="G970" s="37"/>
      <c r="H970" s="37"/>
      <c r="I970" s="37"/>
    </row>
    <row r="971" spans="6:9" ht="15.75" customHeight="1">
      <c r="F971" s="24"/>
      <c r="G971" s="37"/>
      <c r="H971" s="37"/>
      <c r="I971" s="37"/>
    </row>
    <row r="972" spans="6:9" ht="15.75" customHeight="1">
      <c r="F972" s="24"/>
      <c r="G972" s="37"/>
      <c r="H972" s="37"/>
      <c r="I972" s="37"/>
    </row>
    <row r="973" spans="6:9" ht="15.75" customHeight="1">
      <c r="F973" s="24"/>
      <c r="G973" s="37"/>
      <c r="H973" s="37"/>
      <c r="I973" s="37"/>
    </row>
    <row r="974" spans="6:9" ht="15.75" customHeight="1">
      <c r="F974" s="24"/>
      <c r="G974" s="37"/>
      <c r="H974" s="37"/>
      <c r="I974" s="37"/>
    </row>
    <row r="975" spans="6:9" ht="15.75" customHeight="1">
      <c r="F975" s="24"/>
      <c r="G975" s="37"/>
      <c r="H975" s="37"/>
      <c r="I975" s="37"/>
    </row>
    <row r="976" spans="6:9" ht="15.75" customHeight="1">
      <c r="F976" s="24"/>
      <c r="G976" s="37"/>
      <c r="H976" s="37"/>
      <c r="I976" s="37"/>
    </row>
    <row r="977" spans="6:9" ht="15.75" customHeight="1">
      <c r="F977" s="24"/>
      <c r="G977" s="37"/>
      <c r="H977" s="37"/>
      <c r="I977" s="37"/>
    </row>
    <row r="978" spans="6:9" ht="15.75" customHeight="1">
      <c r="F978" s="24"/>
      <c r="G978" s="37"/>
      <c r="H978" s="37"/>
      <c r="I978" s="37"/>
    </row>
    <row r="979" spans="6:9" ht="15.75" customHeight="1">
      <c r="F979" s="24"/>
      <c r="G979" s="37"/>
      <c r="H979" s="37"/>
      <c r="I979" s="37"/>
    </row>
    <row r="980" spans="6:9" ht="15.75" customHeight="1">
      <c r="F980" s="24"/>
      <c r="G980" s="37"/>
      <c r="H980" s="37"/>
      <c r="I980" s="37"/>
    </row>
    <row r="981" spans="6:9" ht="15.75" customHeight="1">
      <c r="F981" s="24"/>
      <c r="G981" s="37"/>
      <c r="H981" s="37"/>
      <c r="I981" s="37"/>
    </row>
    <row r="982" spans="6:9" ht="15.75" customHeight="1">
      <c r="F982" s="24"/>
      <c r="G982" s="37"/>
      <c r="H982" s="37"/>
      <c r="I982" s="37"/>
    </row>
    <row r="983" spans="6:9" ht="15.75" customHeight="1">
      <c r="F983" s="24"/>
      <c r="G983" s="37"/>
      <c r="H983" s="37"/>
      <c r="I983" s="37"/>
    </row>
    <row r="984" spans="6:9" ht="15.75" customHeight="1">
      <c r="F984" s="24"/>
      <c r="G984" s="37"/>
      <c r="H984" s="37"/>
      <c r="I984" s="37"/>
    </row>
    <row r="985" spans="6:9" ht="15.75" customHeight="1">
      <c r="F985" s="24"/>
      <c r="G985" s="37"/>
      <c r="H985" s="37"/>
      <c r="I985" s="37"/>
    </row>
    <row r="986" spans="6:9" ht="15.75" customHeight="1">
      <c r="F986" s="24"/>
      <c r="G986" s="37"/>
      <c r="H986" s="37"/>
      <c r="I986" s="37"/>
    </row>
    <row r="987" spans="6:9" ht="15.75" customHeight="1">
      <c r="F987" s="24"/>
      <c r="G987" s="37"/>
      <c r="H987" s="37"/>
      <c r="I987" s="37"/>
    </row>
    <row r="988" spans="6:9" ht="15.75" customHeight="1">
      <c r="F988" s="24"/>
      <c r="G988" s="37"/>
      <c r="H988" s="37"/>
      <c r="I988" s="37"/>
    </row>
    <row r="989" spans="6:9" ht="15.75" customHeight="1">
      <c r="F989" s="24"/>
      <c r="G989" s="37"/>
      <c r="H989" s="37"/>
      <c r="I989" s="37"/>
    </row>
    <row r="990" spans="6:9" ht="15.75" customHeight="1">
      <c r="F990" s="24"/>
      <c r="G990" s="37"/>
      <c r="H990" s="37"/>
      <c r="I990" s="37"/>
    </row>
    <row r="991" spans="6:9" ht="15.75" customHeight="1">
      <c r="F991" s="24"/>
      <c r="G991" s="37"/>
      <c r="H991" s="37"/>
      <c r="I991" s="37"/>
    </row>
    <row r="992" spans="6:9" ht="15.75" customHeight="1">
      <c r="F992" s="24"/>
      <c r="G992" s="37"/>
      <c r="H992" s="37"/>
      <c r="I992" s="37"/>
    </row>
    <row r="993" spans="6:9" ht="15.75" customHeight="1">
      <c r="F993" s="24"/>
      <c r="G993" s="37"/>
      <c r="H993" s="37"/>
      <c r="I993" s="37"/>
    </row>
    <row r="994" spans="6:9" ht="15.75" customHeight="1">
      <c r="F994" s="24"/>
      <c r="G994" s="37"/>
      <c r="H994" s="37"/>
      <c r="I994" s="37"/>
    </row>
    <row r="995" spans="6:9" ht="15.75" customHeight="1">
      <c r="F995" s="24"/>
      <c r="G995" s="37"/>
      <c r="H995" s="37"/>
      <c r="I995" s="37"/>
    </row>
    <row r="996" spans="6:9" ht="15.75" customHeight="1">
      <c r="F996" s="24"/>
      <c r="G996" s="37"/>
      <c r="H996" s="37"/>
      <c r="I996" s="37"/>
    </row>
    <row r="997" spans="6:9" ht="15.75" customHeight="1">
      <c r="F997" s="24"/>
      <c r="G997" s="37"/>
      <c r="H997" s="37"/>
      <c r="I997" s="37"/>
    </row>
    <row r="998" spans="6:9" ht="15.75" customHeight="1">
      <c r="F998" s="24"/>
      <c r="G998" s="37"/>
      <c r="H998" s="37"/>
      <c r="I998" s="37"/>
    </row>
    <row r="999" spans="6:9" ht="15.75" customHeight="1">
      <c r="F999" s="24"/>
      <c r="G999" s="37"/>
      <c r="H999" s="37"/>
      <c r="I999" s="37"/>
    </row>
    <row r="1000" spans="6:9" ht="15.75" customHeight="1">
      <c r="F1000" s="24"/>
      <c r="G1000" s="37"/>
      <c r="H1000" s="37"/>
      <c r="I1000" s="37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0"/>
  <sheetViews>
    <sheetView tabSelected="1"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1037</v>
      </c>
      <c r="B2" s="5">
        <v>0</v>
      </c>
      <c r="C2" s="5">
        <v>18742</v>
      </c>
      <c r="D2" s="6">
        <f t="shared" ref="D2:D74" si="0">( B2/1000)*(10/60)*3159.1*(1-0.0035*(I2-25))*0.9459*0.9857*0.9784</f>
        <v>0</v>
      </c>
      <c r="E2" s="7">
        <f t="shared" ref="E2:E74" si="1">(C2-C3)</f>
        <v>0</v>
      </c>
      <c r="F2" s="8">
        <f t="shared" ref="F2:F74" si="2">E2-D2</f>
        <v>0</v>
      </c>
      <c r="G2" s="5">
        <v>29.75</v>
      </c>
      <c r="H2" s="5">
        <v>4.8890000000000002</v>
      </c>
      <c r="I2" s="5">
        <v>42.19</v>
      </c>
    </row>
    <row r="3" spans="1:26" ht="15.75" customHeight="1">
      <c r="A3" s="5" t="s">
        <v>1038</v>
      </c>
      <c r="B3" s="5">
        <v>3</v>
      </c>
      <c r="C3" s="5">
        <v>18742</v>
      </c>
      <c r="D3" s="6">
        <f t="shared" si="0"/>
        <v>1.3527643103883527</v>
      </c>
      <c r="E3" s="7">
        <f t="shared" si="1"/>
        <v>4</v>
      </c>
      <c r="F3" s="8">
        <f t="shared" si="2"/>
        <v>2.6472356896116471</v>
      </c>
      <c r="G3" s="5">
        <v>30.06</v>
      </c>
      <c r="H3" s="5">
        <v>4.6669999999999998</v>
      </c>
      <c r="I3" s="5">
        <v>42.48</v>
      </c>
    </row>
    <row r="4" spans="1:26" ht="15.75" customHeight="1">
      <c r="A4" s="5" t="s">
        <v>1039</v>
      </c>
      <c r="B4" s="5">
        <v>17</v>
      </c>
      <c r="C4" s="5">
        <v>18738</v>
      </c>
      <c r="D4" s="6">
        <f t="shared" si="0"/>
        <v>7.6410871371071893</v>
      </c>
      <c r="E4" s="7">
        <f t="shared" si="1"/>
        <v>6.6500000000014552</v>
      </c>
      <c r="F4" s="8">
        <f t="shared" si="2"/>
        <v>-0.99108713710573415</v>
      </c>
      <c r="G4" s="5">
        <v>30.31</v>
      </c>
      <c r="H4" s="5">
        <v>3.556</v>
      </c>
      <c r="I4" s="5">
        <v>43.34</v>
      </c>
    </row>
    <row r="5" spans="1:26" ht="15.75" customHeight="1">
      <c r="A5" s="5" t="s">
        <v>1040</v>
      </c>
      <c r="B5" s="5">
        <v>24</v>
      </c>
      <c r="C5" s="5">
        <v>18731.349999999999</v>
      </c>
      <c r="D5" s="6">
        <f t="shared" si="0"/>
        <v>10.764420055007774</v>
      </c>
      <c r="E5" s="7">
        <f t="shared" si="1"/>
        <v>12.349999999998545</v>
      </c>
      <c r="F5" s="8">
        <f t="shared" si="2"/>
        <v>1.585579944990771</v>
      </c>
      <c r="G5" s="5">
        <v>30.63</v>
      </c>
      <c r="H5" s="5">
        <v>3.1110000000000002</v>
      </c>
      <c r="I5" s="5">
        <v>43.91</v>
      </c>
    </row>
    <row r="6" spans="1:26" ht="15.75" customHeight="1">
      <c r="A6" s="5" t="s">
        <v>1041</v>
      </c>
      <c r="B6" s="5">
        <v>44</v>
      </c>
      <c r="C6" s="5">
        <v>18719</v>
      </c>
      <c r="D6" s="6">
        <f t="shared" si="0"/>
        <v>19.671158295507603</v>
      </c>
      <c r="E6" s="7">
        <f t="shared" si="1"/>
        <v>18</v>
      </c>
      <c r="F6" s="8">
        <f t="shared" si="2"/>
        <v>-1.6711582955076025</v>
      </c>
      <c r="G6" s="5">
        <v>30.87</v>
      </c>
      <c r="H6" s="5">
        <v>3.6669999999999998</v>
      </c>
      <c r="I6" s="5">
        <v>44.77</v>
      </c>
    </row>
    <row r="7" spans="1:26" ht="15.75" customHeight="1">
      <c r="A7" s="5" t="s">
        <v>1042</v>
      </c>
      <c r="B7" s="5">
        <v>55</v>
      </c>
      <c r="C7" s="5">
        <v>18701</v>
      </c>
      <c r="D7" s="6">
        <f t="shared" si="0"/>
        <v>24.562134753761548</v>
      </c>
      <c r="E7" s="7">
        <f t="shared" si="1"/>
        <v>20.650000000001455</v>
      </c>
      <c r="F7" s="8">
        <f t="shared" si="2"/>
        <v>-3.9121347537600926</v>
      </c>
      <c r="G7" s="5">
        <v>31</v>
      </c>
      <c r="H7" s="5">
        <v>1.556</v>
      </c>
      <c r="I7" s="5">
        <v>45.06</v>
      </c>
    </row>
    <row r="8" spans="1:26" ht="15.75" customHeight="1">
      <c r="A8" s="5" t="s">
        <v>1043</v>
      </c>
      <c r="B8" s="5">
        <v>60</v>
      </c>
      <c r="C8" s="5">
        <v>18680.349999999999</v>
      </c>
      <c r="D8" s="6">
        <f t="shared" si="0"/>
        <v>26.708312724094444</v>
      </c>
      <c r="E8" s="7">
        <f t="shared" si="1"/>
        <v>27.349999999998545</v>
      </c>
      <c r="F8" s="8">
        <f t="shared" si="2"/>
        <v>0.64168727590410057</v>
      </c>
      <c r="G8" s="5">
        <v>31.31</v>
      </c>
      <c r="H8" s="5">
        <v>2.1110000000000002</v>
      </c>
      <c r="I8" s="5">
        <v>45.92</v>
      </c>
    </row>
    <row r="9" spans="1:26" ht="15.75" customHeight="1">
      <c r="A9" s="5" t="s">
        <v>1044</v>
      </c>
      <c r="B9" s="5">
        <v>82</v>
      </c>
      <c r="C9" s="5">
        <v>18653</v>
      </c>
      <c r="D9" s="6">
        <f t="shared" si="0"/>
        <v>36.342835531503077</v>
      </c>
      <c r="E9" s="7">
        <f t="shared" si="1"/>
        <v>38.650000000001455</v>
      </c>
      <c r="F9" s="8">
        <f t="shared" si="2"/>
        <v>2.3071644684983781</v>
      </c>
      <c r="G9" s="5">
        <v>31.56</v>
      </c>
      <c r="H9" s="5">
        <v>2.8889999999999998</v>
      </c>
      <c r="I9" s="5">
        <v>47.07</v>
      </c>
    </row>
    <row r="10" spans="1:26" ht="15.75" customHeight="1">
      <c r="A10" s="5" t="s">
        <v>1045</v>
      </c>
      <c r="B10" s="5">
        <v>96</v>
      </c>
      <c r="C10" s="5">
        <v>18614.349999999999</v>
      </c>
      <c r="D10" s="6">
        <f t="shared" si="0"/>
        <v>42.362119422529254</v>
      </c>
      <c r="E10" s="7">
        <f t="shared" si="1"/>
        <v>52.349999999998545</v>
      </c>
      <c r="F10" s="8">
        <f t="shared" si="2"/>
        <v>9.9878805774692907</v>
      </c>
      <c r="G10" s="5">
        <v>31.81</v>
      </c>
      <c r="H10" s="5">
        <v>3.222</v>
      </c>
      <c r="I10" s="5">
        <v>48.22</v>
      </c>
    </row>
    <row r="11" spans="1:26" ht="15.75" customHeight="1">
      <c r="A11" s="5" t="s">
        <v>1046</v>
      </c>
      <c r="B11" s="5">
        <v>131</v>
      </c>
      <c r="C11" s="5">
        <v>18562</v>
      </c>
      <c r="D11" s="6">
        <f t="shared" si="0"/>
        <v>57.744980368092314</v>
      </c>
      <c r="E11" s="7">
        <f t="shared" si="1"/>
        <v>60.650000000001455</v>
      </c>
      <c r="F11" s="8">
        <f t="shared" si="2"/>
        <v>2.9050196319091413</v>
      </c>
      <c r="G11" s="5">
        <v>31.94</v>
      </c>
      <c r="H11" s="5">
        <v>3.778</v>
      </c>
      <c r="I11" s="5">
        <v>48.5</v>
      </c>
    </row>
    <row r="12" spans="1:26" ht="15.75" customHeight="1">
      <c r="A12" s="5" t="s">
        <v>1047</v>
      </c>
      <c r="B12" s="5">
        <v>140</v>
      </c>
      <c r="C12" s="5">
        <v>18501.349999999999</v>
      </c>
      <c r="D12" s="6">
        <f t="shared" si="0"/>
        <v>61.643941192753061</v>
      </c>
      <c r="E12" s="7">
        <f t="shared" si="1"/>
        <v>68.349999999998545</v>
      </c>
      <c r="F12" s="8">
        <f t="shared" si="2"/>
        <v>6.7060588072454834</v>
      </c>
      <c r="G12" s="5">
        <v>32.25</v>
      </c>
      <c r="H12" s="5">
        <v>2.8889999999999998</v>
      </c>
      <c r="I12" s="5">
        <v>48.79</v>
      </c>
    </row>
    <row r="13" spans="1:26" ht="15.75" customHeight="1">
      <c r="A13" s="5" t="s">
        <v>1048</v>
      </c>
      <c r="B13" s="5">
        <v>149</v>
      </c>
      <c r="C13" s="5">
        <v>18433</v>
      </c>
      <c r="D13" s="6">
        <f t="shared" si="0"/>
        <v>65.534126815937199</v>
      </c>
      <c r="E13" s="7">
        <f t="shared" si="1"/>
        <v>70</v>
      </c>
      <c r="F13" s="8">
        <f t="shared" si="2"/>
        <v>4.4658731840628008</v>
      </c>
      <c r="G13" s="5">
        <v>32.31</v>
      </c>
      <c r="H13" s="5">
        <v>1.333</v>
      </c>
      <c r="I13" s="5">
        <v>49.08</v>
      </c>
    </row>
    <row r="14" spans="1:26" ht="15.75" customHeight="1">
      <c r="A14" s="5" t="s">
        <v>1049</v>
      </c>
      <c r="B14" s="5">
        <v>184</v>
      </c>
      <c r="C14" s="5">
        <v>18363</v>
      </c>
      <c r="D14" s="6">
        <f t="shared" si="0"/>
        <v>80.841440337293648</v>
      </c>
      <c r="E14" s="7">
        <f t="shared" si="1"/>
        <v>112.65000000000146</v>
      </c>
      <c r="F14" s="8">
        <f t="shared" si="2"/>
        <v>31.808559662707808</v>
      </c>
      <c r="G14" s="5">
        <v>32.44</v>
      </c>
      <c r="H14" s="5">
        <v>3.8889999999999998</v>
      </c>
      <c r="I14" s="5">
        <v>49.36</v>
      </c>
    </row>
    <row r="15" spans="1:26" ht="15.75" customHeight="1">
      <c r="A15" s="5" t="s">
        <v>1050</v>
      </c>
      <c r="B15" s="5">
        <v>268</v>
      </c>
      <c r="C15" s="5">
        <v>18250.349999999999</v>
      </c>
      <c r="D15" s="6">
        <f t="shared" si="0"/>
        <v>117.6166622741215</v>
      </c>
      <c r="E15" s="7">
        <f t="shared" si="1"/>
        <v>114</v>
      </c>
      <c r="F15" s="8">
        <f t="shared" si="2"/>
        <v>-3.6166622741214951</v>
      </c>
      <c r="G15" s="5">
        <v>32.31</v>
      </c>
      <c r="H15" s="5">
        <v>3.6669999999999998</v>
      </c>
      <c r="I15" s="5">
        <v>49.65</v>
      </c>
    </row>
    <row r="16" spans="1:26" ht="15.75" customHeight="1">
      <c r="A16" s="5" t="s">
        <v>1051</v>
      </c>
      <c r="B16" s="5">
        <v>239</v>
      </c>
      <c r="C16" s="5">
        <v>18136.349999999999</v>
      </c>
      <c r="D16" s="6">
        <f t="shared" si="0"/>
        <v>105.00600130768034</v>
      </c>
      <c r="E16" s="7">
        <f t="shared" si="1"/>
        <v>124.34999999999854</v>
      </c>
      <c r="F16" s="8">
        <f t="shared" si="2"/>
        <v>19.343998692318209</v>
      </c>
      <c r="G16" s="5">
        <v>32.75</v>
      </c>
      <c r="H16" s="5">
        <v>3</v>
      </c>
      <c r="I16" s="5">
        <v>49.36</v>
      </c>
    </row>
    <row r="17" spans="1:9" ht="15.75" customHeight="1">
      <c r="A17" s="5" t="s">
        <v>1052</v>
      </c>
      <c r="B17" s="5">
        <v>316</v>
      </c>
      <c r="C17" s="5">
        <v>18012</v>
      </c>
      <c r="D17" s="6">
        <f t="shared" si="0"/>
        <v>138.8363866662217</v>
      </c>
      <c r="E17" s="7">
        <f t="shared" si="1"/>
        <v>196.65000000000146</v>
      </c>
      <c r="F17" s="8">
        <f t="shared" si="2"/>
        <v>57.813613333779756</v>
      </c>
      <c r="G17" s="5">
        <v>33.31</v>
      </c>
      <c r="H17" s="5">
        <v>3.556</v>
      </c>
      <c r="I17" s="5">
        <v>49.36</v>
      </c>
    </row>
    <row r="18" spans="1:9" ht="15.75" customHeight="1">
      <c r="A18" s="5" t="s">
        <v>1053</v>
      </c>
      <c r="B18" s="5">
        <v>499</v>
      </c>
      <c r="C18" s="5">
        <v>17815.349999999999</v>
      </c>
      <c r="D18" s="6">
        <f t="shared" si="0"/>
        <v>218.99520326412915</v>
      </c>
      <c r="E18" s="7">
        <f t="shared" si="1"/>
        <v>235.34999999999854</v>
      </c>
      <c r="F18" s="8">
        <f t="shared" si="2"/>
        <v>16.3547967358694</v>
      </c>
      <c r="G18" s="5">
        <v>33.69</v>
      </c>
      <c r="H18" s="5">
        <v>3.3330000000000002</v>
      </c>
      <c r="I18" s="5">
        <v>49.65</v>
      </c>
    </row>
    <row r="19" spans="1:9" ht="15.75" customHeight="1">
      <c r="A19" s="5" t="s">
        <v>1054</v>
      </c>
      <c r="B19" s="5">
        <v>563</v>
      </c>
      <c r="C19" s="5">
        <v>17580</v>
      </c>
      <c r="D19" s="6">
        <f t="shared" si="0"/>
        <v>246.80829560247741</v>
      </c>
      <c r="E19" s="7">
        <f t="shared" si="1"/>
        <v>256</v>
      </c>
      <c r="F19" s="8">
        <f t="shared" si="2"/>
        <v>9.1917043975225852</v>
      </c>
      <c r="G19" s="5">
        <v>34</v>
      </c>
      <c r="H19" s="5">
        <v>3.1110000000000002</v>
      </c>
      <c r="I19" s="5">
        <v>49.94</v>
      </c>
    </row>
    <row r="20" spans="1:9" ht="15.75" customHeight="1">
      <c r="A20" s="5" t="s">
        <v>1055</v>
      </c>
      <c r="B20" s="5">
        <v>605</v>
      </c>
      <c r="C20" s="5">
        <v>17324</v>
      </c>
      <c r="D20" s="6">
        <f t="shared" si="0"/>
        <v>265.22028213054858</v>
      </c>
      <c r="E20" s="7">
        <f t="shared" si="1"/>
        <v>277</v>
      </c>
      <c r="F20" s="8">
        <f t="shared" si="2"/>
        <v>11.779717869451417</v>
      </c>
      <c r="G20" s="5">
        <v>33.380000000000003</v>
      </c>
      <c r="H20" s="5">
        <v>2.6669999999999998</v>
      </c>
      <c r="I20" s="5">
        <v>49.94</v>
      </c>
    </row>
    <row r="21" spans="1:9" ht="15.75" customHeight="1">
      <c r="A21" s="5" t="s">
        <v>1056</v>
      </c>
      <c r="B21" s="5">
        <v>650</v>
      </c>
      <c r="C21" s="5">
        <v>17047</v>
      </c>
      <c r="D21" s="6">
        <f t="shared" si="0"/>
        <v>284.63052827793791</v>
      </c>
      <c r="E21" s="7">
        <f t="shared" si="1"/>
        <v>288</v>
      </c>
      <c r="F21" s="8">
        <f t="shared" si="2"/>
        <v>3.3694717220620873</v>
      </c>
      <c r="G21" s="5">
        <v>33.56</v>
      </c>
      <c r="H21" s="5">
        <v>5.7779999999999996</v>
      </c>
      <c r="I21" s="5">
        <v>50.23</v>
      </c>
    </row>
    <row r="22" spans="1:9" ht="15.75" customHeight="1">
      <c r="A22" s="5" t="s">
        <v>1057</v>
      </c>
      <c r="B22" s="5">
        <v>652</v>
      </c>
      <c r="C22" s="5">
        <v>16759</v>
      </c>
      <c r="D22" s="6">
        <f t="shared" si="0"/>
        <v>285.82417181672338</v>
      </c>
      <c r="E22" s="7">
        <f t="shared" si="1"/>
        <v>297</v>
      </c>
      <c r="F22" s="8">
        <f t="shared" si="2"/>
        <v>11.175828183276622</v>
      </c>
      <c r="G22" s="5">
        <v>33.75</v>
      </c>
      <c r="H22" s="5">
        <v>3.1110000000000002</v>
      </c>
      <c r="I22" s="5">
        <v>49.94</v>
      </c>
    </row>
    <row r="23" spans="1:9" ht="15.75" customHeight="1">
      <c r="A23" s="5" t="s">
        <v>1058</v>
      </c>
      <c r="B23" s="5">
        <v>723</v>
      </c>
      <c r="C23" s="5">
        <v>16462</v>
      </c>
      <c r="D23" s="6">
        <f t="shared" si="0"/>
        <v>316.94919666179601</v>
      </c>
      <c r="E23" s="7">
        <f t="shared" si="1"/>
        <v>322</v>
      </c>
      <c r="F23" s="8">
        <f t="shared" si="2"/>
        <v>5.0508033382039912</v>
      </c>
      <c r="G23" s="5">
        <v>33.380000000000003</v>
      </c>
      <c r="H23" s="5">
        <v>2.778</v>
      </c>
      <c r="I23" s="5">
        <v>49.94</v>
      </c>
    </row>
    <row r="24" spans="1:9" ht="15.75" customHeight="1">
      <c r="A24" s="5" t="s">
        <v>1059</v>
      </c>
      <c r="B24" s="5">
        <v>757</v>
      </c>
      <c r="C24" s="5">
        <v>16140</v>
      </c>
      <c r="D24" s="6">
        <f t="shared" si="0"/>
        <v>331.85413813690121</v>
      </c>
      <c r="E24" s="7">
        <f t="shared" si="1"/>
        <v>327</v>
      </c>
      <c r="F24" s="8">
        <f t="shared" si="2"/>
        <v>-4.8541381369012129</v>
      </c>
      <c r="G24" s="5">
        <v>32.81</v>
      </c>
      <c r="H24" s="5">
        <v>6.6669999999999998</v>
      </c>
      <c r="I24" s="5">
        <v>49.94</v>
      </c>
    </row>
    <row r="25" spans="1:9" ht="15.75" customHeight="1">
      <c r="A25" s="5" t="s">
        <v>1060</v>
      </c>
      <c r="B25" s="5">
        <v>745</v>
      </c>
      <c r="C25" s="5">
        <v>15813</v>
      </c>
      <c r="D25" s="6">
        <f t="shared" si="0"/>
        <v>326.59357055745238</v>
      </c>
      <c r="E25" s="7">
        <f t="shared" si="1"/>
        <v>349</v>
      </c>
      <c r="F25" s="8">
        <f t="shared" si="2"/>
        <v>22.406429442547619</v>
      </c>
      <c r="G25" s="5">
        <v>33.06</v>
      </c>
      <c r="H25" s="5">
        <v>4.2220000000000004</v>
      </c>
      <c r="I25" s="5">
        <v>49.94</v>
      </c>
    </row>
    <row r="26" spans="1:9" ht="15.75" customHeight="1">
      <c r="A26" s="5" t="s">
        <v>1061</v>
      </c>
      <c r="B26" s="5">
        <v>838</v>
      </c>
      <c r="C26" s="5">
        <v>15464</v>
      </c>
      <c r="D26" s="6">
        <f t="shared" si="0"/>
        <v>367.36296929818127</v>
      </c>
      <c r="E26" s="7">
        <f t="shared" si="1"/>
        <v>367</v>
      </c>
      <c r="F26" s="8">
        <f t="shared" si="2"/>
        <v>-0.36296929818126955</v>
      </c>
      <c r="G26" s="5">
        <v>33.130000000000003</v>
      </c>
      <c r="H26" s="5">
        <v>6.556</v>
      </c>
      <c r="I26" s="5">
        <v>49.94</v>
      </c>
    </row>
    <row r="27" spans="1:9" ht="15.75" customHeight="1">
      <c r="A27" s="5" t="s">
        <v>1062</v>
      </c>
      <c r="B27" s="5">
        <v>863</v>
      </c>
      <c r="C27" s="5">
        <v>15097</v>
      </c>
      <c r="D27" s="6">
        <f t="shared" si="0"/>
        <v>378.74320724838356</v>
      </c>
      <c r="E27" s="7">
        <f t="shared" si="1"/>
        <v>362.64999999999964</v>
      </c>
      <c r="F27" s="8">
        <f t="shared" si="2"/>
        <v>-16.093207248383919</v>
      </c>
      <c r="G27" s="5">
        <v>33.06</v>
      </c>
      <c r="H27" s="5">
        <v>6</v>
      </c>
      <c r="I27" s="5">
        <v>49.65</v>
      </c>
    </row>
    <row r="28" spans="1:9" ht="15.75" customHeight="1">
      <c r="A28" s="5" t="s">
        <v>1063</v>
      </c>
      <c r="B28" s="5">
        <v>828</v>
      </c>
      <c r="C28" s="5">
        <v>14734.35</v>
      </c>
      <c r="D28" s="6">
        <f t="shared" si="0"/>
        <v>363.38282224989763</v>
      </c>
      <c r="E28" s="7">
        <f t="shared" si="1"/>
        <v>341.35000000000036</v>
      </c>
      <c r="F28" s="8">
        <f t="shared" si="2"/>
        <v>-22.032822249897265</v>
      </c>
      <c r="G28" s="5">
        <v>32.69</v>
      </c>
      <c r="H28" s="5">
        <v>1.667</v>
      </c>
      <c r="I28" s="5">
        <v>49.65</v>
      </c>
    </row>
    <row r="29" spans="1:9" ht="15.75" customHeight="1">
      <c r="A29" s="5" t="s">
        <v>1064</v>
      </c>
      <c r="B29" s="5">
        <v>785</v>
      </c>
      <c r="C29" s="5">
        <v>14393</v>
      </c>
      <c r="D29" s="6">
        <f t="shared" si="0"/>
        <v>344.12879582228203</v>
      </c>
      <c r="E29" s="7">
        <f t="shared" si="1"/>
        <v>401</v>
      </c>
      <c r="F29" s="8">
        <f t="shared" si="2"/>
        <v>56.871204177717971</v>
      </c>
      <c r="G29" s="5">
        <v>33.31</v>
      </c>
      <c r="H29" s="5">
        <v>5.3330000000000002</v>
      </c>
      <c r="I29" s="5">
        <v>49.94</v>
      </c>
    </row>
    <row r="30" spans="1:9" ht="15.75" customHeight="1">
      <c r="A30" s="5" t="s">
        <v>1065</v>
      </c>
      <c r="B30" s="5">
        <v>920</v>
      </c>
      <c r="C30" s="5">
        <v>13992</v>
      </c>
      <c r="D30" s="6">
        <f t="shared" si="0"/>
        <v>403.31018109108209</v>
      </c>
      <c r="E30" s="7">
        <f t="shared" si="1"/>
        <v>407</v>
      </c>
      <c r="F30" s="8">
        <f t="shared" si="2"/>
        <v>3.6898189089179141</v>
      </c>
      <c r="G30" s="5">
        <v>32.56</v>
      </c>
      <c r="H30" s="5">
        <v>3.778</v>
      </c>
      <c r="I30" s="5">
        <v>49.94</v>
      </c>
    </row>
    <row r="31" spans="1:9" ht="15.75" customHeight="1">
      <c r="A31" s="5" t="s">
        <v>1066</v>
      </c>
      <c r="B31" s="5">
        <v>977</v>
      </c>
      <c r="C31" s="5">
        <v>13585</v>
      </c>
      <c r="D31" s="6">
        <f t="shared" si="0"/>
        <v>428.77417552916671</v>
      </c>
      <c r="E31" s="7">
        <f t="shared" si="1"/>
        <v>422</v>
      </c>
      <c r="F31" s="8">
        <f t="shared" si="2"/>
        <v>-6.7741755291667118</v>
      </c>
      <c r="G31" s="5">
        <v>32.94</v>
      </c>
      <c r="H31" s="5">
        <v>4.1109999999999998</v>
      </c>
      <c r="I31" s="5">
        <v>49.65</v>
      </c>
    </row>
    <row r="32" spans="1:9" ht="15.75" customHeight="1">
      <c r="A32" s="5" t="s">
        <v>1067</v>
      </c>
      <c r="B32" s="5">
        <v>1002</v>
      </c>
      <c r="C32" s="5">
        <v>13163</v>
      </c>
      <c r="D32" s="6">
        <f t="shared" si="0"/>
        <v>439.74587909951379</v>
      </c>
      <c r="E32" s="7">
        <f t="shared" si="1"/>
        <v>429</v>
      </c>
      <c r="F32" s="8">
        <f t="shared" si="2"/>
        <v>-10.745879099513786</v>
      </c>
      <c r="G32" s="5">
        <v>32.75</v>
      </c>
      <c r="H32" s="5">
        <v>6.6669999999999998</v>
      </c>
      <c r="I32" s="5">
        <v>49.65</v>
      </c>
    </row>
    <row r="33" spans="1:9" ht="15.75" customHeight="1">
      <c r="A33" s="5" t="s">
        <v>1068</v>
      </c>
      <c r="B33" s="5">
        <v>1021</v>
      </c>
      <c r="C33" s="5">
        <v>12734</v>
      </c>
      <c r="D33" s="6">
        <f t="shared" si="0"/>
        <v>447.58662488477694</v>
      </c>
      <c r="E33" s="7">
        <f t="shared" si="1"/>
        <v>434</v>
      </c>
      <c r="F33" s="8">
        <f t="shared" si="2"/>
        <v>-13.586624884776938</v>
      </c>
      <c r="G33" s="5">
        <v>32</v>
      </c>
      <c r="H33" s="5">
        <v>3.3330000000000002</v>
      </c>
      <c r="I33" s="5">
        <v>49.94</v>
      </c>
    </row>
    <row r="34" spans="1:9" ht="15.75" customHeight="1">
      <c r="A34" s="5" t="s">
        <v>1069</v>
      </c>
      <c r="B34" s="5">
        <v>1043</v>
      </c>
      <c r="C34" s="5">
        <v>12300</v>
      </c>
      <c r="D34" s="6">
        <f t="shared" si="0"/>
        <v>457.2309987804332</v>
      </c>
      <c r="E34" s="7">
        <f t="shared" si="1"/>
        <v>438.64999999999964</v>
      </c>
      <c r="F34" s="8">
        <f t="shared" si="2"/>
        <v>-18.580998780433561</v>
      </c>
      <c r="G34" s="5">
        <v>31.5</v>
      </c>
      <c r="H34" s="5">
        <v>3.3330000000000002</v>
      </c>
      <c r="I34" s="5">
        <v>49.94</v>
      </c>
    </row>
    <row r="35" spans="1:9" ht="15.75" customHeight="1">
      <c r="A35" s="5" t="s">
        <v>1070</v>
      </c>
      <c r="B35" s="5">
        <v>1051</v>
      </c>
      <c r="C35" s="5">
        <v>11861.35</v>
      </c>
      <c r="D35" s="6">
        <f t="shared" si="0"/>
        <v>460.73804383339916</v>
      </c>
      <c r="E35" s="7">
        <f t="shared" si="1"/>
        <v>445</v>
      </c>
      <c r="F35" s="8">
        <f t="shared" si="2"/>
        <v>-15.738043833399161</v>
      </c>
      <c r="G35" s="5">
        <v>31.87</v>
      </c>
      <c r="H35" s="5">
        <v>4.6669999999999998</v>
      </c>
      <c r="I35" s="5">
        <v>49.94</v>
      </c>
    </row>
    <row r="36" spans="1:9" ht="15.75" customHeight="1">
      <c r="A36" s="5" t="s">
        <v>1071</v>
      </c>
      <c r="B36" s="5">
        <v>1061</v>
      </c>
      <c r="C36" s="5">
        <v>11416.35</v>
      </c>
      <c r="D36" s="6">
        <f t="shared" si="0"/>
        <v>464.60460077368009</v>
      </c>
      <c r="E36" s="7">
        <f t="shared" si="1"/>
        <v>450.35000000000036</v>
      </c>
      <c r="F36" s="8">
        <f t="shared" si="2"/>
        <v>-14.254600773679726</v>
      </c>
      <c r="G36" s="5">
        <v>31.25</v>
      </c>
      <c r="H36" s="5">
        <v>4.6669999999999998</v>
      </c>
      <c r="I36" s="5">
        <v>50.23</v>
      </c>
    </row>
    <row r="37" spans="1:9" ht="15.75" customHeight="1">
      <c r="A37" s="5" t="s">
        <v>1072</v>
      </c>
      <c r="B37" s="5">
        <v>1033</v>
      </c>
      <c r="C37" s="5">
        <v>10966</v>
      </c>
      <c r="D37" s="6">
        <f t="shared" si="0"/>
        <v>451.85735982410336</v>
      </c>
      <c r="E37" s="7">
        <f t="shared" si="1"/>
        <v>443</v>
      </c>
      <c r="F37" s="8">
        <f t="shared" si="2"/>
        <v>-8.8573598241033551</v>
      </c>
      <c r="G37" s="5">
        <v>31.19</v>
      </c>
      <c r="H37" s="5">
        <v>6</v>
      </c>
      <c r="I37" s="5">
        <v>50.51</v>
      </c>
    </row>
    <row r="38" spans="1:9" ht="15.75" customHeight="1">
      <c r="A38" s="5" t="s">
        <v>1073</v>
      </c>
      <c r="B38" s="5">
        <v>1082</v>
      </c>
      <c r="C38" s="5">
        <v>10523</v>
      </c>
      <c r="D38" s="6">
        <f t="shared" si="0"/>
        <v>473.80035630265974</v>
      </c>
      <c r="E38" s="7">
        <f t="shared" si="1"/>
        <v>449</v>
      </c>
      <c r="F38" s="8">
        <f t="shared" si="2"/>
        <v>-24.800356302659736</v>
      </c>
      <c r="G38" s="5">
        <v>31.06</v>
      </c>
      <c r="H38" s="5">
        <v>3</v>
      </c>
      <c r="I38" s="5">
        <v>50.23</v>
      </c>
    </row>
    <row r="39" spans="1:9" ht="15.75" customHeight="1">
      <c r="A39" s="5" t="s">
        <v>1074</v>
      </c>
      <c r="B39" s="5">
        <v>1077</v>
      </c>
      <c r="C39" s="5">
        <v>10074</v>
      </c>
      <c r="D39" s="6">
        <f t="shared" si="0"/>
        <v>472.13594025553846</v>
      </c>
      <c r="E39" s="7">
        <f t="shared" si="1"/>
        <v>453</v>
      </c>
      <c r="F39" s="8">
        <f t="shared" si="2"/>
        <v>-19.135940255538458</v>
      </c>
      <c r="G39" s="5">
        <v>31.25</v>
      </c>
      <c r="H39" s="5">
        <v>4.3330000000000002</v>
      </c>
      <c r="I39" s="5">
        <v>49.94</v>
      </c>
    </row>
    <row r="40" spans="1:9" ht="15.75" customHeight="1">
      <c r="A40" s="5" t="s">
        <v>1075</v>
      </c>
      <c r="B40" s="5">
        <v>1091</v>
      </c>
      <c r="C40" s="5">
        <v>9621</v>
      </c>
      <c r="D40" s="6">
        <f t="shared" si="0"/>
        <v>477.74139438650809</v>
      </c>
      <c r="E40" s="7">
        <f t="shared" si="1"/>
        <v>451.64700000000084</v>
      </c>
      <c r="F40" s="8">
        <f t="shared" si="2"/>
        <v>-26.094394386507247</v>
      </c>
      <c r="G40" s="5">
        <v>31.13</v>
      </c>
      <c r="H40" s="5">
        <v>5.444</v>
      </c>
      <c r="I40" s="5">
        <v>50.23</v>
      </c>
    </row>
    <row r="41" spans="1:9" ht="15.75" customHeight="1">
      <c r="A41" s="5" t="s">
        <v>1076</v>
      </c>
      <c r="B41" s="5">
        <v>1080</v>
      </c>
      <c r="C41" s="5">
        <v>9169.3529999999992</v>
      </c>
      <c r="D41" s="6">
        <f t="shared" si="0"/>
        <v>472.41621356247015</v>
      </c>
      <c r="E41" s="7">
        <f t="shared" si="1"/>
        <v>452.35299999999916</v>
      </c>
      <c r="F41" s="8">
        <f t="shared" si="2"/>
        <v>-20.063213562470992</v>
      </c>
      <c r="G41" s="5">
        <v>30.13</v>
      </c>
      <c r="H41" s="5">
        <v>3.444</v>
      </c>
      <c r="I41" s="5">
        <v>50.51</v>
      </c>
    </row>
    <row r="42" spans="1:9" ht="15.75" customHeight="1">
      <c r="A42" s="5" t="s">
        <v>1077</v>
      </c>
      <c r="B42" s="5">
        <v>1086</v>
      </c>
      <c r="C42" s="5">
        <v>8717</v>
      </c>
      <c r="D42" s="6">
        <f t="shared" si="0"/>
        <v>475.04074808226181</v>
      </c>
      <c r="E42" s="7">
        <f t="shared" si="1"/>
        <v>450.64700000000084</v>
      </c>
      <c r="F42" s="8">
        <f t="shared" si="2"/>
        <v>-24.39374808226097</v>
      </c>
      <c r="G42" s="5">
        <v>30.75</v>
      </c>
      <c r="H42" s="5">
        <v>3.8889999999999998</v>
      </c>
      <c r="I42" s="5">
        <v>50.51</v>
      </c>
    </row>
    <row r="43" spans="1:9" ht="15.75" customHeight="1">
      <c r="A43" s="5" t="s">
        <v>1078</v>
      </c>
      <c r="B43" s="5">
        <v>1071</v>
      </c>
      <c r="C43" s="5">
        <v>8266.3529999999992</v>
      </c>
      <c r="D43" s="6">
        <f t="shared" si="0"/>
        <v>466.93104261189393</v>
      </c>
      <c r="E43" s="7">
        <f t="shared" si="1"/>
        <v>450.99999999999909</v>
      </c>
      <c r="F43" s="8">
        <f t="shared" si="2"/>
        <v>-15.931042611894839</v>
      </c>
      <c r="G43" s="5">
        <v>30.31</v>
      </c>
      <c r="H43" s="5">
        <v>4</v>
      </c>
      <c r="I43" s="5">
        <v>51.37</v>
      </c>
    </row>
    <row r="44" spans="1:9" ht="15.75" customHeight="1">
      <c r="A44" s="5" t="s">
        <v>1079</v>
      </c>
      <c r="B44" s="5">
        <v>1061</v>
      </c>
      <c r="C44" s="5">
        <v>7815.3530000000001</v>
      </c>
      <c r="D44" s="6">
        <f t="shared" si="0"/>
        <v>461.03736369832512</v>
      </c>
      <c r="E44" s="7">
        <f t="shared" si="1"/>
        <v>447</v>
      </c>
      <c r="F44" s="8">
        <f t="shared" si="2"/>
        <v>-14.037363698325123</v>
      </c>
      <c r="G44" s="5">
        <v>30.06</v>
      </c>
      <c r="H44" s="5">
        <v>4.1109999999999998</v>
      </c>
      <c r="I44" s="5">
        <v>52.23</v>
      </c>
    </row>
    <row r="45" spans="1:9" ht="15.75" customHeight="1">
      <c r="A45" s="5" t="s">
        <v>1080</v>
      </c>
      <c r="B45" s="5">
        <v>1046</v>
      </c>
      <c r="C45" s="5">
        <v>7368.3530000000001</v>
      </c>
      <c r="D45" s="6">
        <f t="shared" si="0"/>
        <v>454.00946237627625</v>
      </c>
      <c r="E45" s="7">
        <f t="shared" si="1"/>
        <v>446</v>
      </c>
      <c r="F45" s="8">
        <f t="shared" si="2"/>
        <v>-8.0094623762762467</v>
      </c>
      <c r="G45" s="5">
        <v>30.13</v>
      </c>
      <c r="H45" s="5">
        <v>4.2220000000000004</v>
      </c>
      <c r="I45" s="5">
        <v>52.52</v>
      </c>
    </row>
    <row r="46" spans="1:9" ht="15.75" customHeight="1">
      <c r="A46" s="5" t="s">
        <v>1081</v>
      </c>
      <c r="B46" s="5">
        <v>1041</v>
      </c>
      <c r="C46" s="5">
        <v>6922.3530000000001</v>
      </c>
      <c r="D46" s="6">
        <f t="shared" si="0"/>
        <v>451.33174590883846</v>
      </c>
      <c r="E46" s="7">
        <f t="shared" si="1"/>
        <v>441.35300000000007</v>
      </c>
      <c r="F46" s="8">
        <f t="shared" si="2"/>
        <v>-9.9787459088383912</v>
      </c>
      <c r="G46" s="5">
        <v>29.87</v>
      </c>
      <c r="H46" s="5">
        <v>5.1109999999999998</v>
      </c>
      <c r="I46" s="5">
        <v>52.81</v>
      </c>
    </row>
    <row r="47" spans="1:9" ht="15.75" customHeight="1">
      <c r="A47" s="5" t="s">
        <v>1082</v>
      </c>
      <c r="B47" s="5">
        <v>853</v>
      </c>
      <c r="C47" s="5">
        <v>6481</v>
      </c>
      <c r="D47" s="6">
        <f t="shared" si="0"/>
        <v>369.00587241294687</v>
      </c>
      <c r="E47" s="7">
        <f t="shared" si="1"/>
        <v>448</v>
      </c>
      <c r="F47" s="8">
        <f t="shared" si="2"/>
        <v>78.994127587053129</v>
      </c>
      <c r="G47" s="5">
        <v>29.94</v>
      </c>
      <c r="H47" s="5">
        <v>3.778</v>
      </c>
      <c r="I47" s="5">
        <v>53.38</v>
      </c>
    </row>
    <row r="48" spans="1:9" ht="15.75" customHeight="1">
      <c r="A48" s="5" t="s">
        <v>1083</v>
      </c>
      <c r="B48" s="5">
        <v>1076</v>
      </c>
      <c r="C48" s="5">
        <v>6033</v>
      </c>
      <c r="D48" s="6">
        <f t="shared" si="0"/>
        <v>468.58636405365337</v>
      </c>
      <c r="E48" s="7">
        <f t="shared" si="1"/>
        <v>322.64699999999993</v>
      </c>
      <c r="F48" s="8">
        <f t="shared" si="2"/>
        <v>-145.93936405365343</v>
      </c>
      <c r="G48" s="5">
        <v>29.25</v>
      </c>
      <c r="H48" s="5">
        <v>3.8889999999999998</v>
      </c>
      <c r="I48" s="5">
        <v>51.66</v>
      </c>
    </row>
    <row r="49" spans="1:9" ht="15.75" customHeight="1">
      <c r="A49" s="5" t="s">
        <v>1084</v>
      </c>
      <c r="B49" s="5">
        <v>697</v>
      </c>
      <c r="C49" s="5">
        <v>5710.3530000000001</v>
      </c>
      <c r="D49" s="6">
        <f t="shared" si="0"/>
        <v>303.53596258865838</v>
      </c>
      <c r="E49" s="7">
        <f t="shared" si="1"/>
        <v>338.35300000000007</v>
      </c>
      <c r="F49" s="8">
        <f t="shared" si="2"/>
        <v>34.817037411341687</v>
      </c>
      <c r="G49" s="5">
        <v>28.44</v>
      </c>
      <c r="H49" s="5">
        <v>4.2220000000000004</v>
      </c>
      <c r="I49" s="5">
        <v>51.66</v>
      </c>
    </row>
    <row r="50" spans="1:9" ht="15.75" customHeight="1">
      <c r="A50" s="5" t="s">
        <v>1085</v>
      </c>
      <c r="B50" s="5">
        <v>624</v>
      </c>
      <c r="C50" s="5">
        <v>5372</v>
      </c>
      <c r="D50" s="6">
        <f t="shared" si="0"/>
        <v>270.84312095869626</v>
      </c>
      <c r="E50" s="7">
        <f t="shared" si="1"/>
        <v>310</v>
      </c>
      <c r="F50" s="8">
        <f t="shared" si="2"/>
        <v>39.156879041303739</v>
      </c>
      <c r="G50" s="5">
        <v>28.06</v>
      </c>
      <c r="H50" s="5">
        <v>4.556</v>
      </c>
      <c r="I50" s="5">
        <v>52.52</v>
      </c>
    </row>
    <row r="51" spans="1:9" ht="15.75" customHeight="1">
      <c r="A51" s="5" t="s">
        <v>1086</v>
      </c>
      <c r="B51" s="5">
        <v>681</v>
      </c>
      <c r="C51" s="5">
        <v>5062</v>
      </c>
      <c r="D51" s="6">
        <f t="shared" si="0"/>
        <v>298.5372101337249</v>
      </c>
      <c r="E51" s="7">
        <f t="shared" si="1"/>
        <v>378</v>
      </c>
      <c r="F51" s="8">
        <f t="shared" si="2"/>
        <v>79.462789866275102</v>
      </c>
      <c r="G51" s="5">
        <v>28.19</v>
      </c>
      <c r="H51" s="5">
        <v>4</v>
      </c>
      <c r="I51" s="5">
        <v>49.94</v>
      </c>
    </row>
    <row r="52" spans="1:9" ht="15.75" customHeight="1">
      <c r="A52" s="5" t="s">
        <v>1087</v>
      </c>
      <c r="B52" s="5">
        <v>961</v>
      </c>
      <c r="C52" s="5">
        <v>4684</v>
      </c>
      <c r="D52" s="6">
        <f t="shared" si="0"/>
        <v>420.36294558660535</v>
      </c>
      <c r="E52" s="7">
        <f t="shared" si="1"/>
        <v>413.64699999999993</v>
      </c>
      <c r="F52" s="8">
        <f t="shared" si="2"/>
        <v>-6.7159455866054145</v>
      </c>
      <c r="G52" s="5">
        <v>28.75</v>
      </c>
      <c r="H52" s="5">
        <v>4.1109999999999998</v>
      </c>
      <c r="I52" s="5">
        <v>50.51</v>
      </c>
    </row>
    <row r="53" spans="1:9" ht="15.75" customHeight="1">
      <c r="A53" s="5" t="s">
        <v>1088</v>
      </c>
      <c r="B53" s="5">
        <v>886</v>
      </c>
      <c r="C53" s="5">
        <v>4270.3530000000001</v>
      </c>
      <c r="D53" s="6">
        <f t="shared" si="0"/>
        <v>387.55626408921165</v>
      </c>
      <c r="E53" s="7">
        <f t="shared" si="1"/>
        <v>388.35300000000007</v>
      </c>
      <c r="F53" s="8">
        <f t="shared" si="2"/>
        <v>0.79673591078841355</v>
      </c>
      <c r="G53" s="5">
        <v>28.5</v>
      </c>
      <c r="H53" s="5">
        <v>2.444</v>
      </c>
      <c r="I53" s="5">
        <v>50.51</v>
      </c>
    </row>
    <row r="54" spans="1:9" ht="15.75" customHeight="1">
      <c r="A54" s="5" t="s">
        <v>1089</v>
      </c>
      <c r="B54" s="5">
        <v>868</v>
      </c>
      <c r="C54" s="5">
        <v>3882</v>
      </c>
      <c r="D54" s="6">
        <f t="shared" si="0"/>
        <v>379.25950081418756</v>
      </c>
      <c r="E54" s="7">
        <f t="shared" si="1"/>
        <v>341</v>
      </c>
      <c r="F54" s="8">
        <f t="shared" si="2"/>
        <v>-38.259500814187561</v>
      </c>
      <c r="G54" s="5">
        <v>27.25</v>
      </c>
      <c r="H54" s="5">
        <v>2.3330000000000002</v>
      </c>
      <c r="I54" s="5">
        <v>50.8</v>
      </c>
    </row>
    <row r="55" spans="1:9" ht="15.75" customHeight="1">
      <c r="A55" s="5" t="s">
        <v>1090</v>
      </c>
      <c r="B55" s="5">
        <v>653</v>
      </c>
      <c r="C55" s="5">
        <v>3541</v>
      </c>
      <c r="D55" s="6">
        <f t="shared" si="0"/>
        <v>285.94420763922074</v>
      </c>
      <c r="E55" s="7">
        <f t="shared" si="1"/>
        <v>315</v>
      </c>
      <c r="F55" s="8">
        <f t="shared" si="2"/>
        <v>29.055792360779265</v>
      </c>
      <c r="G55" s="5">
        <v>27.5</v>
      </c>
      <c r="H55" s="5">
        <v>5.2220000000000004</v>
      </c>
      <c r="I55" s="5">
        <v>50.23</v>
      </c>
    </row>
    <row r="56" spans="1:9" ht="15.75" customHeight="1">
      <c r="A56" s="5" t="s">
        <v>1091</v>
      </c>
      <c r="B56" s="5">
        <v>805</v>
      </c>
      <c r="C56" s="5">
        <v>3226</v>
      </c>
      <c r="D56" s="6">
        <f t="shared" si="0"/>
        <v>351.73260156154487</v>
      </c>
      <c r="E56" s="7">
        <f t="shared" si="1"/>
        <v>373</v>
      </c>
      <c r="F56" s="8">
        <f t="shared" si="2"/>
        <v>21.267398438455132</v>
      </c>
      <c r="G56" s="5">
        <v>27.31</v>
      </c>
      <c r="H56" s="5">
        <v>4.6669999999999998</v>
      </c>
      <c r="I56" s="5">
        <v>50.8</v>
      </c>
    </row>
    <row r="57" spans="1:9" ht="15.75" customHeight="1">
      <c r="A57" s="5" t="s">
        <v>1092</v>
      </c>
      <c r="B57" s="5">
        <v>828</v>
      </c>
      <c r="C57" s="5">
        <v>2853</v>
      </c>
      <c r="D57" s="6">
        <f t="shared" si="0"/>
        <v>361.78210446330337</v>
      </c>
      <c r="E57" s="7">
        <f t="shared" si="1"/>
        <v>269</v>
      </c>
      <c r="F57" s="8">
        <f t="shared" si="2"/>
        <v>-92.782104463303369</v>
      </c>
      <c r="G57" s="5">
        <v>27.13</v>
      </c>
      <c r="H57" s="5">
        <v>2.778</v>
      </c>
      <c r="I57" s="5">
        <v>50.8</v>
      </c>
    </row>
    <row r="58" spans="1:9" ht="15.75" customHeight="1">
      <c r="A58" s="5" t="s">
        <v>1093</v>
      </c>
      <c r="B58" s="5">
        <v>466</v>
      </c>
      <c r="C58" s="5">
        <v>2584</v>
      </c>
      <c r="D58" s="6">
        <f t="shared" si="0"/>
        <v>203.61166748780113</v>
      </c>
      <c r="E58" s="7">
        <f t="shared" si="1"/>
        <v>261</v>
      </c>
      <c r="F58" s="8">
        <f t="shared" si="2"/>
        <v>57.388332512198872</v>
      </c>
      <c r="G58" s="5">
        <v>27.06</v>
      </c>
      <c r="H58" s="5">
        <v>2.3330000000000002</v>
      </c>
      <c r="I58" s="5">
        <v>50.8</v>
      </c>
    </row>
    <row r="59" spans="1:9" ht="15.75" customHeight="1">
      <c r="A59" s="5" t="s">
        <v>1094</v>
      </c>
      <c r="B59" s="5">
        <v>697</v>
      </c>
      <c r="C59" s="5">
        <v>2323</v>
      </c>
      <c r="D59" s="6">
        <f t="shared" si="0"/>
        <v>304.20383611253573</v>
      </c>
      <c r="E59" s="7">
        <f t="shared" si="1"/>
        <v>298</v>
      </c>
      <c r="F59" s="8">
        <f t="shared" si="2"/>
        <v>-6.2038361125357255</v>
      </c>
      <c r="G59" s="5">
        <v>26.94</v>
      </c>
      <c r="H59" s="5">
        <v>2.444</v>
      </c>
      <c r="I59" s="5">
        <v>51.09</v>
      </c>
    </row>
    <row r="60" spans="1:9" ht="15.75" customHeight="1">
      <c r="A60" s="5" t="s">
        <v>1095</v>
      </c>
      <c r="B60" s="5">
        <v>648</v>
      </c>
      <c r="C60" s="5">
        <v>2025</v>
      </c>
      <c r="D60" s="6">
        <f t="shared" si="0"/>
        <v>283.13382088432439</v>
      </c>
      <c r="E60" s="7">
        <f t="shared" si="1"/>
        <v>276.64699999999993</v>
      </c>
      <c r="F60" s="8">
        <f t="shared" si="2"/>
        <v>-6.4868208843244588</v>
      </c>
      <c r="G60" s="5">
        <v>26.81</v>
      </c>
      <c r="H60" s="5">
        <v>2.8889999999999998</v>
      </c>
      <c r="I60" s="5">
        <v>50.8</v>
      </c>
    </row>
    <row r="61" spans="1:9" ht="15.75" customHeight="1">
      <c r="A61" s="5" t="s">
        <v>1096</v>
      </c>
      <c r="B61" s="5">
        <v>537</v>
      </c>
      <c r="C61" s="5">
        <v>1748.3530000000001</v>
      </c>
      <c r="D61" s="6">
        <f t="shared" si="0"/>
        <v>234.89583952133935</v>
      </c>
      <c r="E61" s="7">
        <f t="shared" si="1"/>
        <v>259.35300000000007</v>
      </c>
      <c r="F61" s="8">
        <f t="shared" si="2"/>
        <v>24.457160478660711</v>
      </c>
      <c r="G61" s="5">
        <v>26.31</v>
      </c>
      <c r="H61" s="5">
        <v>5.556</v>
      </c>
      <c r="I61" s="5">
        <v>50.51</v>
      </c>
    </row>
    <row r="62" spans="1:9" ht="15.75" customHeight="1">
      <c r="A62" s="5" t="s">
        <v>1097</v>
      </c>
      <c r="B62" s="5">
        <v>582</v>
      </c>
      <c r="C62" s="5">
        <v>1489</v>
      </c>
      <c r="D62" s="6">
        <f t="shared" si="0"/>
        <v>254.57984841977557</v>
      </c>
      <c r="E62" s="7">
        <f t="shared" si="1"/>
        <v>250.64699999999993</v>
      </c>
      <c r="F62" s="8">
        <f t="shared" si="2"/>
        <v>-3.9328484197756381</v>
      </c>
      <c r="G62" s="5">
        <v>26.81</v>
      </c>
      <c r="H62" s="5">
        <v>6.7779999999999996</v>
      </c>
      <c r="I62" s="5">
        <v>50.51</v>
      </c>
    </row>
    <row r="63" spans="1:9" ht="15.75" customHeight="1">
      <c r="A63" s="5" t="s">
        <v>1098</v>
      </c>
      <c r="B63" s="5">
        <v>536</v>
      </c>
      <c r="C63" s="5">
        <v>1238.3530000000001</v>
      </c>
      <c r="D63" s="6">
        <f t="shared" si="0"/>
        <v>234.97201854871741</v>
      </c>
      <c r="E63" s="7">
        <f t="shared" si="1"/>
        <v>231.35300000000007</v>
      </c>
      <c r="F63" s="8">
        <f t="shared" si="2"/>
        <v>-3.6190185487173494</v>
      </c>
      <c r="G63" s="5">
        <v>26.69</v>
      </c>
      <c r="H63" s="5">
        <v>2.6669999999999998</v>
      </c>
      <c r="I63" s="5">
        <v>49.94</v>
      </c>
    </row>
    <row r="64" spans="1:9" ht="15.75" customHeight="1">
      <c r="A64" s="5" t="s">
        <v>1099</v>
      </c>
      <c r="B64" s="5">
        <v>497</v>
      </c>
      <c r="C64" s="5">
        <v>1007</v>
      </c>
      <c r="D64" s="6">
        <f t="shared" si="0"/>
        <v>219.31222242705249</v>
      </c>
      <c r="E64" s="7">
        <f t="shared" si="1"/>
        <v>201</v>
      </c>
      <c r="F64" s="8">
        <f t="shared" si="2"/>
        <v>-18.31222242705249</v>
      </c>
      <c r="G64" s="5">
        <v>26.5</v>
      </c>
      <c r="H64" s="5">
        <v>3.3330000000000002</v>
      </c>
      <c r="I64" s="5">
        <v>48.22</v>
      </c>
    </row>
    <row r="65" spans="1:26" ht="15.75" customHeight="1">
      <c r="A65" s="5" t="s">
        <v>1100</v>
      </c>
      <c r="B65" s="5">
        <v>365</v>
      </c>
      <c r="C65" s="5">
        <v>806</v>
      </c>
      <c r="D65" s="6">
        <f t="shared" si="0"/>
        <v>162.12582181732026</v>
      </c>
      <c r="E65" s="7">
        <f t="shared" si="1"/>
        <v>186</v>
      </c>
      <c r="F65" s="8">
        <f t="shared" si="2"/>
        <v>23.874178182679742</v>
      </c>
      <c r="G65" s="5">
        <v>26.31</v>
      </c>
      <c r="H65" s="5">
        <v>5.7779999999999996</v>
      </c>
      <c r="I65" s="5">
        <v>46.49</v>
      </c>
    </row>
    <row r="66" spans="1:26" ht="15.75" customHeight="1">
      <c r="A66" s="5" t="s">
        <v>1101</v>
      </c>
      <c r="B66" s="5">
        <v>401</v>
      </c>
      <c r="C66" s="5">
        <v>620</v>
      </c>
      <c r="D66" s="6">
        <f t="shared" si="0"/>
        <v>179.66002643063715</v>
      </c>
      <c r="E66" s="7">
        <f t="shared" si="1"/>
        <v>161</v>
      </c>
      <c r="F66" s="8">
        <f t="shared" si="2"/>
        <v>-18.660026430637146</v>
      </c>
      <c r="G66" s="5">
        <v>26.06</v>
      </c>
      <c r="H66" s="5">
        <v>2.6669999999999998</v>
      </c>
      <c r="I66" s="5">
        <v>44.2</v>
      </c>
    </row>
    <row r="67" spans="1:26" ht="15.75" customHeight="1">
      <c r="A67" s="5" t="s">
        <v>1102</v>
      </c>
      <c r="B67" s="5">
        <v>354</v>
      </c>
      <c r="C67" s="5">
        <v>459</v>
      </c>
      <c r="D67" s="6">
        <f t="shared" si="0"/>
        <v>161.16749728977942</v>
      </c>
      <c r="E67" s="7">
        <f t="shared" si="1"/>
        <v>122</v>
      </c>
      <c r="F67" s="8">
        <f t="shared" si="2"/>
        <v>-39.167497289779419</v>
      </c>
      <c r="G67" s="5">
        <v>25.81</v>
      </c>
      <c r="H67" s="5">
        <v>3.778</v>
      </c>
      <c r="I67" s="5">
        <v>39.89</v>
      </c>
    </row>
    <row r="68" spans="1:26" ht="15.75" customHeight="1">
      <c r="A68" s="5" t="s">
        <v>1103</v>
      </c>
      <c r="B68" s="5">
        <v>292</v>
      </c>
      <c r="C68" s="5">
        <v>337</v>
      </c>
      <c r="D68" s="6">
        <f t="shared" si="0"/>
        <v>133.50001710007126</v>
      </c>
      <c r="E68" s="7">
        <f t="shared" si="1"/>
        <v>102</v>
      </c>
      <c r="F68" s="8">
        <f t="shared" si="2"/>
        <v>-31.500017100071261</v>
      </c>
      <c r="G68" s="5">
        <v>25.81</v>
      </c>
      <c r="H68" s="5">
        <v>3</v>
      </c>
      <c r="I68" s="5">
        <v>38.75</v>
      </c>
    </row>
    <row r="69" spans="1:26" ht="15.75" customHeight="1">
      <c r="A69" s="5" t="s">
        <v>1104</v>
      </c>
      <c r="B69" s="5">
        <v>234</v>
      </c>
      <c r="C69" s="5">
        <v>235</v>
      </c>
      <c r="D69" s="6">
        <f t="shared" si="0"/>
        <v>107.66342241997884</v>
      </c>
      <c r="E69" s="7">
        <f t="shared" si="1"/>
        <v>86</v>
      </c>
      <c r="F69" s="8">
        <f t="shared" si="2"/>
        <v>-21.663422419978843</v>
      </c>
      <c r="G69" s="5">
        <v>25.75</v>
      </c>
      <c r="H69" s="5">
        <v>4</v>
      </c>
      <c r="I69" s="5">
        <v>37.020000000000003</v>
      </c>
    </row>
    <row r="70" spans="1:26" ht="15.75" customHeight="1">
      <c r="A70" s="5" t="s">
        <v>1105</v>
      </c>
      <c r="B70" s="5">
        <v>197</v>
      </c>
      <c r="C70" s="5">
        <v>149</v>
      </c>
      <c r="D70" s="6">
        <f t="shared" si="0"/>
        <v>91.494141078483253</v>
      </c>
      <c r="E70" s="7">
        <f t="shared" si="1"/>
        <v>54.647000000000006</v>
      </c>
      <c r="F70" s="8">
        <f t="shared" si="2"/>
        <v>-36.847141078483247</v>
      </c>
      <c r="G70" s="5">
        <v>25.43</v>
      </c>
      <c r="H70" s="5">
        <v>4.444</v>
      </c>
      <c r="I70" s="5">
        <v>34.44</v>
      </c>
    </row>
    <row r="71" spans="1:26" ht="15.75" customHeight="1">
      <c r="A71" s="5" t="s">
        <v>1106</v>
      </c>
      <c r="B71" s="5">
        <v>112</v>
      </c>
      <c r="C71" s="5">
        <v>94.352999999999994</v>
      </c>
      <c r="D71" s="6">
        <f t="shared" si="0"/>
        <v>52.395416779798325</v>
      </c>
      <c r="E71" s="7">
        <f t="shared" si="1"/>
        <v>29.352999999999994</v>
      </c>
      <c r="F71" s="8">
        <f t="shared" si="2"/>
        <v>-23.04241677979833</v>
      </c>
      <c r="G71" s="5">
        <v>25.12</v>
      </c>
      <c r="H71" s="5">
        <v>2.3330000000000002</v>
      </c>
      <c r="I71" s="5">
        <v>32.43</v>
      </c>
    </row>
    <row r="72" spans="1:26" ht="15.75" customHeight="1">
      <c r="A72" s="5" t="s">
        <v>1107</v>
      </c>
      <c r="B72" s="5">
        <v>49</v>
      </c>
      <c r="C72" s="5">
        <v>65</v>
      </c>
      <c r="D72" s="6">
        <f t="shared" si="0"/>
        <v>22.969947212280832</v>
      </c>
      <c r="E72" s="7">
        <f t="shared" si="1"/>
        <v>20.646999999999998</v>
      </c>
      <c r="F72" s="8">
        <f t="shared" si="2"/>
        <v>-2.3229472122808339</v>
      </c>
      <c r="G72" s="5">
        <v>24.63</v>
      </c>
      <c r="H72" s="5">
        <v>1.556</v>
      </c>
      <c r="I72" s="5">
        <v>31.86</v>
      </c>
    </row>
    <row r="73" spans="1:26" ht="15.75" customHeight="1">
      <c r="A73" s="5" t="s">
        <v>1108</v>
      </c>
      <c r="B73" s="5">
        <v>47</v>
      </c>
      <c r="C73" s="5">
        <v>44.353000000000002</v>
      </c>
      <c r="D73" s="6">
        <f t="shared" si="0"/>
        <v>22.032398346473453</v>
      </c>
      <c r="E73" s="7">
        <f t="shared" si="1"/>
        <v>21.353000000000002</v>
      </c>
      <c r="F73" s="8">
        <f t="shared" si="2"/>
        <v>-0.67939834647345165</v>
      </c>
      <c r="G73" s="5">
        <v>24.63</v>
      </c>
      <c r="H73" s="5">
        <v>4.444</v>
      </c>
      <c r="I73" s="5">
        <v>31.86</v>
      </c>
    </row>
    <row r="74" spans="1:26" ht="15.75" customHeight="1">
      <c r="A74" s="5" t="s">
        <v>1109</v>
      </c>
      <c r="B74" s="5">
        <v>43</v>
      </c>
      <c r="C74" s="5">
        <v>23</v>
      </c>
      <c r="D74" s="6">
        <f t="shared" si="0"/>
        <v>20.219466697350033</v>
      </c>
      <c r="E74" s="7">
        <f t="shared" si="1"/>
        <v>23</v>
      </c>
      <c r="F74" s="8">
        <f t="shared" si="2"/>
        <v>2.7805333026499675</v>
      </c>
      <c r="G74" s="5">
        <v>24.75</v>
      </c>
      <c r="H74" s="5">
        <v>4.1109999999999998</v>
      </c>
      <c r="I74" s="5">
        <v>31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7.174666666666667</v>
      </c>
      <c r="C76" s="11"/>
      <c r="D76" s="16">
        <f>SUM(D2:D75)</f>
        <v>18870.497246135106</v>
      </c>
      <c r="E76" s="15">
        <f>SUM(E1:E74)</f>
        <v>18742</v>
      </c>
      <c r="F76" s="11"/>
      <c r="G76" s="17">
        <f t="shared" ref="G76:I76" si="3">AVERAGE(G1:G74)</f>
        <v>29.957808219178077</v>
      </c>
      <c r="H76" s="17">
        <f t="shared" si="3"/>
        <v>3.8523835616438364</v>
      </c>
      <c r="I76" s="17">
        <f t="shared" si="3"/>
        <v>47.788082191780859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1110</v>
      </c>
      <c r="B2" s="5">
        <v>2</v>
      </c>
      <c r="C2" s="5">
        <v>15012</v>
      </c>
      <c r="D2" s="6">
        <f t="shared" ref="D2:D74" si="0">( B2/1000)*(10/60)*3159.1*(1-0.0035*(I2-25))*0.9459*0.9857*0.9784</f>
        <v>0.89414355888670904</v>
      </c>
      <c r="E2" s="7">
        <f t="shared" ref="E2:E74" si="1">(C2-C3)</f>
        <v>0</v>
      </c>
      <c r="F2" s="8">
        <f t="shared" ref="F2:F74" si="2">E2-D2</f>
        <v>-0.89414355888670904</v>
      </c>
      <c r="G2" s="5">
        <v>30.44</v>
      </c>
      <c r="H2" s="5">
        <v>1.556</v>
      </c>
      <c r="I2" s="5">
        <v>44.77</v>
      </c>
    </row>
    <row r="3" spans="1:26" ht="15.75" customHeight="1">
      <c r="A3" s="5" t="s">
        <v>1111</v>
      </c>
      <c r="B3" s="5">
        <v>2</v>
      </c>
      <c r="C3" s="5">
        <v>15012</v>
      </c>
      <c r="D3" s="6">
        <f t="shared" si="0"/>
        <v>0.89316853650041994</v>
      </c>
      <c r="E3" s="7">
        <f t="shared" si="1"/>
        <v>0</v>
      </c>
      <c r="F3" s="8">
        <f t="shared" si="2"/>
        <v>-0.89316853650041994</v>
      </c>
      <c r="G3" s="5">
        <v>29.87</v>
      </c>
      <c r="H3" s="5">
        <v>2.222</v>
      </c>
      <c r="I3" s="5">
        <v>45.06</v>
      </c>
    </row>
    <row r="4" spans="1:26" ht="15.75" customHeight="1">
      <c r="A4" s="5" t="s">
        <v>1112</v>
      </c>
      <c r="B4" s="5">
        <v>6</v>
      </c>
      <c r="C4" s="5">
        <v>15012</v>
      </c>
      <c r="D4" s="6">
        <f t="shared" si="0"/>
        <v>2.682430676660128</v>
      </c>
      <c r="E4" s="7">
        <f t="shared" si="1"/>
        <v>0</v>
      </c>
      <c r="F4" s="8">
        <f t="shared" si="2"/>
        <v>-2.682430676660128</v>
      </c>
      <c r="G4" s="5">
        <v>30</v>
      </c>
      <c r="H4" s="5">
        <v>2.222</v>
      </c>
      <c r="I4" s="5">
        <v>44.77</v>
      </c>
    </row>
    <row r="5" spans="1:26" ht="15.75" customHeight="1">
      <c r="A5" s="5" t="s">
        <v>1113</v>
      </c>
      <c r="B5" s="5">
        <v>13</v>
      </c>
      <c r="C5" s="5">
        <v>15012</v>
      </c>
      <c r="D5" s="6">
        <f t="shared" si="0"/>
        <v>5.80559548725273</v>
      </c>
      <c r="E5" s="7">
        <f t="shared" si="1"/>
        <v>7.6499999999996362</v>
      </c>
      <c r="F5" s="8">
        <f t="shared" si="2"/>
        <v>1.8444045127469062</v>
      </c>
      <c r="G5" s="5">
        <v>30.13</v>
      </c>
      <c r="H5" s="5">
        <v>2.222</v>
      </c>
      <c r="I5" s="5">
        <v>45.06</v>
      </c>
    </row>
    <row r="6" spans="1:26" ht="15.75" customHeight="1">
      <c r="A6" s="5" t="s">
        <v>1114</v>
      </c>
      <c r="B6" s="5">
        <v>24</v>
      </c>
      <c r="C6" s="5">
        <v>15004.35</v>
      </c>
      <c r="D6" s="6">
        <f t="shared" si="0"/>
        <v>10.706322169369567</v>
      </c>
      <c r="E6" s="7">
        <f t="shared" si="1"/>
        <v>14.350000000000364</v>
      </c>
      <c r="F6" s="8">
        <f t="shared" si="2"/>
        <v>3.6436778306307964</v>
      </c>
      <c r="G6" s="5">
        <v>30.25</v>
      </c>
      <c r="H6" s="5">
        <v>2.3330000000000002</v>
      </c>
      <c r="I6" s="5">
        <v>45.35</v>
      </c>
    </row>
    <row r="7" spans="1:26" ht="15.75" customHeight="1">
      <c r="A7" s="5" t="s">
        <v>1115</v>
      </c>
      <c r="B7" s="5">
        <v>41</v>
      </c>
      <c r="C7" s="5">
        <v>14990</v>
      </c>
      <c r="D7" s="6">
        <f t="shared" si="0"/>
        <v>18.250680361464536</v>
      </c>
      <c r="E7" s="7">
        <f t="shared" si="1"/>
        <v>20</v>
      </c>
      <c r="F7" s="8">
        <f t="shared" si="2"/>
        <v>1.7493196385354643</v>
      </c>
      <c r="G7" s="5">
        <v>30.31</v>
      </c>
      <c r="H7" s="5">
        <v>3.1110000000000002</v>
      </c>
      <c r="I7" s="5">
        <v>45.92</v>
      </c>
    </row>
    <row r="8" spans="1:26" ht="15.75" customHeight="1">
      <c r="A8" s="5" t="s">
        <v>1116</v>
      </c>
      <c r="B8" s="5">
        <v>47</v>
      </c>
      <c r="C8" s="5">
        <v>14970</v>
      </c>
      <c r="D8" s="6">
        <f t="shared" si="0"/>
        <v>20.898598607796181</v>
      </c>
      <c r="E8" s="7">
        <f t="shared" si="1"/>
        <v>24</v>
      </c>
      <c r="F8" s="8">
        <f t="shared" si="2"/>
        <v>3.1014013922038188</v>
      </c>
      <c r="G8" s="5">
        <v>30.37</v>
      </c>
      <c r="H8" s="5">
        <v>3.444</v>
      </c>
      <c r="I8" s="5">
        <v>46.21</v>
      </c>
    </row>
    <row r="9" spans="1:26" ht="15.75" customHeight="1">
      <c r="A9" s="5" t="s">
        <v>1117</v>
      </c>
      <c r="B9" s="5">
        <v>62</v>
      </c>
      <c r="C9" s="5">
        <v>14946</v>
      </c>
      <c r="D9" s="6">
        <f t="shared" si="0"/>
        <v>27.478729304307201</v>
      </c>
      <c r="E9" s="7">
        <f t="shared" si="1"/>
        <v>26</v>
      </c>
      <c r="F9" s="8">
        <f t="shared" si="2"/>
        <v>-1.4787293043072012</v>
      </c>
      <c r="G9" s="5">
        <v>30.5</v>
      </c>
      <c r="H9" s="5">
        <v>3.1110000000000002</v>
      </c>
      <c r="I9" s="5">
        <v>47.07</v>
      </c>
    </row>
    <row r="10" spans="1:26" ht="15.75" customHeight="1">
      <c r="A10" s="5" t="s">
        <v>1118</v>
      </c>
      <c r="B10" s="5">
        <v>58</v>
      </c>
      <c r="C10" s="5">
        <v>14920</v>
      </c>
      <c r="D10" s="6">
        <f t="shared" si="0"/>
        <v>25.566479857628661</v>
      </c>
      <c r="E10" s="7">
        <f t="shared" si="1"/>
        <v>32</v>
      </c>
      <c r="F10" s="8">
        <f t="shared" si="2"/>
        <v>6.4335201423713393</v>
      </c>
      <c r="G10" s="5">
        <v>30.81</v>
      </c>
      <c r="H10" s="5">
        <v>2.222</v>
      </c>
      <c r="I10" s="5">
        <v>48.5</v>
      </c>
    </row>
    <row r="11" spans="1:26" ht="15.75" customHeight="1">
      <c r="A11" s="5" t="s">
        <v>1119</v>
      </c>
      <c r="B11" s="5">
        <v>95</v>
      </c>
      <c r="C11" s="5">
        <v>14888</v>
      </c>
      <c r="D11" s="6">
        <f t="shared" si="0"/>
        <v>41.738787130667909</v>
      </c>
      <c r="E11" s="7">
        <f t="shared" si="1"/>
        <v>54</v>
      </c>
      <c r="F11" s="8">
        <f t="shared" si="2"/>
        <v>12.261212869332091</v>
      </c>
      <c r="G11" s="5">
        <v>31.06</v>
      </c>
      <c r="H11" s="5">
        <v>3.3330000000000002</v>
      </c>
      <c r="I11" s="5">
        <v>49.36</v>
      </c>
    </row>
    <row r="12" spans="1:26" ht="15.75" customHeight="1">
      <c r="A12" s="5" t="s">
        <v>1120</v>
      </c>
      <c r="B12" s="5">
        <v>308</v>
      </c>
      <c r="C12" s="5">
        <v>14834</v>
      </c>
      <c r="D12" s="6">
        <f t="shared" si="0"/>
        <v>135.61667062405672</v>
      </c>
      <c r="E12" s="7">
        <f t="shared" si="1"/>
        <v>114</v>
      </c>
      <c r="F12" s="8">
        <f t="shared" si="2"/>
        <v>-21.616670624056724</v>
      </c>
      <c r="G12" s="5">
        <v>31.81</v>
      </c>
      <c r="H12" s="5">
        <v>1.222</v>
      </c>
      <c r="I12" s="5">
        <v>48.79</v>
      </c>
    </row>
    <row r="13" spans="1:26" ht="15.75" customHeight="1">
      <c r="A13" s="5" t="s">
        <v>1121</v>
      </c>
      <c r="B13" s="5">
        <v>180</v>
      </c>
      <c r="C13" s="5">
        <v>14720</v>
      </c>
      <c r="D13" s="6">
        <f t="shared" si="0"/>
        <v>79.168743804487903</v>
      </c>
      <c r="E13" s="7">
        <f t="shared" si="1"/>
        <v>150.64999999999964</v>
      </c>
      <c r="F13" s="8">
        <f t="shared" si="2"/>
        <v>71.481256195511733</v>
      </c>
      <c r="G13" s="5">
        <v>32.5</v>
      </c>
      <c r="H13" s="5">
        <v>1.778</v>
      </c>
      <c r="I13" s="5">
        <v>49.08</v>
      </c>
    </row>
    <row r="14" spans="1:26" ht="15.75" customHeight="1">
      <c r="A14" s="5" t="s">
        <v>1122</v>
      </c>
      <c r="B14" s="5">
        <v>463</v>
      </c>
      <c r="C14" s="5">
        <v>14569.35</v>
      </c>
      <c r="D14" s="6">
        <f t="shared" si="0"/>
        <v>204.0910374841736</v>
      </c>
      <c r="E14" s="7">
        <f t="shared" si="1"/>
        <v>142.35000000000036</v>
      </c>
      <c r="F14" s="8">
        <f t="shared" si="2"/>
        <v>-61.741037484173233</v>
      </c>
      <c r="G14" s="5">
        <v>31.63</v>
      </c>
      <c r="H14" s="5">
        <v>1.778</v>
      </c>
      <c r="I14" s="5">
        <v>48.5</v>
      </c>
    </row>
    <row r="15" spans="1:26" ht="15.75" customHeight="1">
      <c r="A15" s="5" t="s">
        <v>1123</v>
      </c>
      <c r="B15" s="5">
        <v>243</v>
      </c>
      <c r="C15" s="5">
        <v>14427</v>
      </c>
      <c r="D15" s="6">
        <f t="shared" si="0"/>
        <v>107.11473457592695</v>
      </c>
      <c r="E15" s="7">
        <f t="shared" si="1"/>
        <v>114</v>
      </c>
      <c r="F15" s="8">
        <f t="shared" si="2"/>
        <v>6.8852654240730544</v>
      </c>
      <c r="G15" s="5">
        <v>31.44</v>
      </c>
      <c r="H15" s="5">
        <v>2.444</v>
      </c>
      <c r="I15" s="5">
        <v>48.5</v>
      </c>
    </row>
    <row r="16" spans="1:26" ht="15.75" customHeight="1">
      <c r="A16" s="5" t="s">
        <v>1124</v>
      </c>
      <c r="B16" s="5">
        <v>154</v>
      </c>
      <c r="C16" s="5">
        <v>14313</v>
      </c>
      <c r="D16" s="6">
        <f t="shared" si="0"/>
        <v>67.733258588284073</v>
      </c>
      <c r="E16" s="7">
        <f t="shared" si="1"/>
        <v>169</v>
      </c>
      <c r="F16" s="8">
        <f t="shared" si="2"/>
        <v>101.26674141171593</v>
      </c>
      <c r="G16" s="5">
        <v>31.75</v>
      </c>
      <c r="H16" s="5">
        <v>3</v>
      </c>
      <c r="I16" s="5">
        <v>49.08</v>
      </c>
    </row>
    <row r="17" spans="1:9" ht="15.75" customHeight="1">
      <c r="A17" s="5" t="s">
        <v>1125</v>
      </c>
      <c r="B17" s="5">
        <v>419</v>
      </c>
      <c r="C17" s="5">
        <v>14144</v>
      </c>
      <c r="D17" s="6">
        <f t="shared" si="0"/>
        <v>183.68148464909063</v>
      </c>
      <c r="E17" s="7">
        <f t="shared" si="1"/>
        <v>281</v>
      </c>
      <c r="F17" s="8">
        <f t="shared" si="2"/>
        <v>97.318515350909365</v>
      </c>
      <c r="G17" s="5">
        <v>32.380000000000003</v>
      </c>
      <c r="H17" s="5">
        <v>3.1110000000000002</v>
      </c>
      <c r="I17" s="5">
        <v>49.94</v>
      </c>
    </row>
    <row r="18" spans="1:9" ht="15.75" customHeight="1">
      <c r="A18" s="5" t="s">
        <v>1126</v>
      </c>
      <c r="B18" s="5">
        <v>812</v>
      </c>
      <c r="C18" s="5">
        <v>13863</v>
      </c>
      <c r="D18" s="6">
        <f t="shared" si="0"/>
        <v>356.36093196487548</v>
      </c>
      <c r="E18" s="7">
        <f t="shared" si="1"/>
        <v>213.64999999999964</v>
      </c>
      <c r="F18" s="8">
        <f t="shared" si="2"/>
        <v>-142.71093196487584</v>
      </c>
      <c r="G18" s="5">
        <v>31.75</v>
      </c>
      <c r="H18" s="5">
        <v>4</v>
      </c>
      <c r="I18" s="5">
        <v>49.65</v>
      </c>
    </row>
    <row r="19" spans="1:9" ht="15.75" customHeight="1">
      <c r="A19" s="5" t="s">
        <v>1127</v>
      </c>
      <c r="B19" s="5">
        <v>383</v>
      </c>
      <c r="C19" s="5">
        <v>13649.35</v>
      </c>
      <c r="D19" s="6">
        <f t="shared" si="0"/>
        <v>168.08649869771835</v>
      </c>
      <c r="E19" s="7">
        <f t="shared" si="1"/>
        <v>163.35000000000036</v>
      </c>
      <c r="F19" s="8">
        <f t="shared" si="2"/>
        <v>-4.736498697717991</v>
      </c>
      <c r="G19" s="5">
        <v>31.25</v>
      </c>
      <c r="H19" s="5">
        <v>2.3330000000000002</v>
      </c>
      <c r="I19" s="5">
        <v>49.65</v>
      </c>
    </row>
    <row r="20" spans="1:9" ht="15.75" customHeight="1">
      <c r="A20" s="5" t="s">
        <v>1128</v>
      </c>
      <c r="B20" s="5">
        <v>194</v>
      </c>
      <c r="C20" s="5">
        <v>13486</v>
      </c>
      <c r="D20" s="6">
        <f t="shared" si="0"/>
        <v>85.140419705893891</v>
      </c>
      <c r="E20" s="7">
        <f t="shared" si="1"/>
        <v>142</v>
      </c>
      <c r="F20" s="8">
        <f t="shared" si="2"/>
        <v>56.859580294106109</v>
      </c>
      <c r="G20" s="5">
        <v>31.5</v>
      </c>
      <c r="H20" s="5">
        <v>1.556</v>
      </c>
      <c r="I20" s="5">
        <v>49.65</v>
      </c>
    </row>
    <row r="21" spans="1:9" ht="15.75" customHeight="1">
      <c r="A21" s="5" t="s">
        <v>1129</v>
      </c>
      <c r="B21" s="5">
        <v>645</v>
      </c>
      <c r="C21" s="5">
        <v>13344</v>
      </c>
      <c r="D21" s="6">
        <f t="shared" si="0"/>
        <v>282.44106267579986</v>
      </c>
      <c r="E21" s="7">
        <f t="shared" si="1"/>
        <v>333</v>
      </c>
      <c r="F21" s="8">
        <f t="shared" si="2"/>
        <v>50.558937324200144</v>
      </c>
      <c r="G21" s="5">
        <v>32.25</v>
      </c>
      <c r="H21" s="5">
        <v>3.1110000000000002</v>
      </c>
      <c r="I21" s="5">
        <v>50.23</v>
      </c>
    </row>
    <row r="22" spans="1:9" ht="15.75" customHeight="1">
      <c r="A22" s="5" t="s">
        <v>1130</v>
      </c>
      <c r="B22" s="5">
        <v>616</v>
      </c>
      <c r="C22" s="5">
        <v>13011</v>
      </c>
      <c r="D22" s="6">
        <f t="shared" si="0"/>
        <v>270.34277597335375</v>
      </c>
      <c r="E22" s="7">
        <f t="shared" si="1"/>
        <v>246</v>
      </c>
      <c r="F22" s="8">
        <f t="shared" si="2"/>
        <v>-24.342775973353753</v>
      </c>
      <c r="G22" s="5">
        <v>31.69</v>
      </c>
      <c r="H22" s="5">
        <v>1.222</v>
      </c>
      <c r="I22" s="5">
        <v>49.65</v>
      </c>
    </row>
    <row r="23" spans="1:9" ht="15.75" customHeight="1">
      <c r="A23" s="5" t="s">
        <v>1131</v>
      </c>
      <c r="B23" s="5">
        <v>327</v>
      </c>
      <c r="C23" s="5">
        <v>12765</v>
      </c>
      <c r="D23" s="6">
        <f t="shared" si="0"/>
        <v>143.82321791148635</v>
      </c>
      <c r="E23" s="7">
        <f t="shared" si="1"/>
        <v>121.64999999999964</v>
      </c>
      <c r="F23" s="8">
        <f t="shared" si="2"/>
        <v>-22.173217911486717</v>
      </c>
      <c r="G23" s="5">
        <v>31</v>
      </c>
      <c r="H23" s="5">
        <v>3</v>
      </c>
      <c r="I23" s="5">
        <v>49.08</v>
      </c>
    </row>
    <row r="24" spans="1:9" ht="15.75" customHeight="1">
      <c r="A24" s="5" t="s">
        <v>1132</v>
      </c>
      <c r="B24" s="5">
        <v>199</v>
      </c>
      <c r="C24" s="5">
        <v>12643.35</v>
      </c>
      <c r="D24" s="6">
        <f t="shared" si="0"/>
        <v>87.622459266841844</v>
      </c>
      <c r="E24" s="7">
        <f t="shared" si="1"/>
        <v>88.350000000000364</v>
      </c>
      <c r="F24" s="8">
        <f t="shared" si="2"/>
        <v>0.72754073315851997</v>
      </c>
      <c r="G24" s="5">
        <v>31.06</v>
      </c>
      <c r="H24" s="5">
        <v>3</v>
      </c>
      <c r="I24" s="5">
        <v>48.79</v>
      </c>
    </row>
    <row r="25" spans="1:9" ht="15.75" customHeight="1">
      <c r="A25" s="5" t="s">
        <v>1133</v>
      </c>
      <c r="B25" s="5">
        <v>197</v>
      </c>
      <c r="C25" s="5">
        <v>12555</v>
      </c>
      <c r="D25" s="6">
        <f t="shared" si="0"/>
        <v>86.741831535516809</v>
      </c>
      <c r="E25" s="7">
        <f t="shared" si="1"/>
        <v>152</v>
      </c>
      <c r="F25" s="8">
        <f t="shared" si="2"/>
        <v>65.258168464483191</v>
      </c>
      <c r="G25" s="5">
        <v>31.37</v>
      </c>
      <c r="H25" s="5">
        <v>2.444</v>
      </c>
      <c r="I25" s="5">
        <v>48.79</v>
      </c>
    </row>
    <row r="26" spans="1:9" ht="15.75" customHeight="1">
      <c r="A26" s="5" t="s">
        <v>1134</v>
      </c>
      <c r="B26" s="5">
        <v>581</v>
      </c>
      <c r="C26" s="5">
        <v>12403</v>
      </c>
      <c r="D26" s="6">
        <f t="shared" si="0"/>
        <v>255.8223559499252</v>
      </c>
      <c r="E26" s="7">
        <f t="shared" si="1"/>
        <v>129.64999999999964</v>
      </c>
      <c r="F26" s="8">
        <f t="shared" si="2"/>
        <v>-126.17235594992556</v>
      </c>
      <c r="G26" s="5">
        <v>31.25</v>
      </c>
      <c r="H26" s="5">
        <v>2.8889999999999998</v>
      </c>
      <c r="I26" s="5">
        <v>48.79</v>
      </c>
    </row>
    <row r="27" spans="1:9" ht="15.75" customHeight="1">
      <c r="A27" s="5" t="s">
        <v>1135</v>
      </c>
      <c r="B27" s="5">
        <v>196</v>
      </c>
      <c r="C27" s="5">
        <v>12273.35</v>
      </c>
      <c r="D27" s="6">
        <f t="shared" si="0"/>
        <v>86.301517669854277</v>
      </c>
      <c r="E27" s="7">
        <f t="shared" si="1"/>
        <v>114.35000000000036</v>
      </c>
      <c r="F27" s="8">
        <f t="shared" si="2"/>
        <v>28.048482330146086</v>
      </c>
      <c r="G27" s="5">
        <v>31.5</v>
      </c>
      <c r="H27" s="5">
        <v>1.889</v>
      </c>
      <c r="I27" s="5">
        <v>48.79</v>
      </c>
    </row>
    <row r="28" spans="1:9" ht="15.75" customHeight="1">
      <c r="A28" s="5" t="s">
        <v>1136</v>
      </c>
      <c r="B28" s="5">
        <v>703</v>
      </c>
      <c r="C28" s="5">
        <v>12159</v>
      </c>
      <c r="D28" s="6">
        <f t="shared" si="0"/>
        <v>308.52430439816186</v>
      </c>
      <c r="E28" s="7">
        <f t="shared" si="1"/>
        <v>386.64999999999964</v>
      </c>
      <c r="F28" s="8">
        <f t="shared" si="2"/>
        <v>78.125695601837776</v>
      </c>
      <c r="G28" s="5">
        <v>33.25</v>
      </c>
      <c r="H28" s="5">
        <v>3.1110000000000002</v>
      </c>
      <c r="I28" s="5">
        <v>49.65</v>
      </c>
    </row>
    <row r="29" spans="1:9" ht="15.75" customHeight="1">
      <c r="A29" s="5" t="s">
        <v>1137</v>
      </c>
      <c r="B29" s="5">
        <v>973</v>
      </c>
      <c r="C29" s="5">
        <v>11772.35</v>
      </c>
      <c r="D29" s="6">
        <f t="shared" si="0"/>
        <v>427.0187029579111</v>
      </c>
      <c r="E29" s="7">
        <f t="shared" si="1"/>
        <v>405.35000000000036</v>
      </c>
      <c r="F29" s="8">
        <f t="shared" si="2"/>
        <v>-21.668702957910739</v>
      </c>
      <c r="G29" s="5">
        <v>32.81</v>
      </c>
      <c r="H29" s="5">
        <v>4.556</v>
      </c>
      <c r="I29" s="5">
        <v>49.65</v>
      </c>
    </row>
    <row r="30" spans="1:9" ht="15.75" customHeight="1">
      <c r="A30" s="5" t="s">
        <v>1138</v>
      </c>
      <c r="B30" s="5">
        <v>1038</v>
      </c>
      <c r="C30" s="5">
        <v>11367</v>
      </c>
      <c r="D30" s="6">
        <f t="shared" si="0"/>
        <v>455.5451322408137</v>
      </c>
      <c r="E30" s="7">
        <f t="shared" si="1"/>
        <v>348.64999999999964</v>
      </c>
      <c r="F30" s="8">
        <f t="shared" si="2"/>
        <v>-106.89513224081406</v>
      </c>
      <c r="G30" s="5">
        <v>32.31</v>
      </c>
      <c r="H30" s="5">
        <v>4.7779999999999996</v>
      </c>
      <c r="I30" s="5">
        <v>49.65</v>
      </c>
    </row>
    <row r="31" spans="1:9" ht="15.75" customHeight="1">
      <c r="A31" s="5" t="s">
        <v>1139</v>
      </c>
      <c r="B31" s="5">
        <v>968</v>
      </c>
      <c r="C31" s="5">
        <v>11018.35</v>
      </c>
      <c r="D31" s="6">
        <f t="shared" si="0"/>
        <v>425.75191112635719</v>
      </c>
      <c r="E31" s="7">
        <f t="shared" si="1"/>
        <v>313.35000000000036</v>
      </c>
      <c r="F31" s="8">
        <f t="shared" si="2"/>
        <v>-112.40191112635682</v>
      </c>
      <c r="G31" s="5">
        <v>32.06</v>
      </c>
      <c r="H31" s="5">
        <v>1.111</v>
      </c>
      <c r="I31" s="5">
        <v>49.08</v>
      </c>
    </row>
    <row r="32" spans="1:9" ht="15.75" customHeight="1">
      <c r="A32" s="5" t="s">
        <v>1140</v>
      </c>
      <c r="B32" s="5">
        <v>604</v>
      </c>
      <c r="C32" s="5">
        <v>10705</v>
      </c>
      <c r="D32" s="6">
        <f t="shared" si="0"/>
        <v>265.6551180995038</v>
      </c>
      <c r="E32" s="7">
        <f t="shared" si="1"/>
        <v>279.64999999999964</v>
      </c>
      <c r="F32" s="8">
        <f t="shared" si="2"/>
        <v>13.994881900495841</v>
      </c>
      <c r="G32" s="5">
        <v>31.94</v>
      </c>
      <c r="H32" s="5">
        <v>1.667</v>
      </c>
      <c r="I32" s="5">
        <v>49.08</v>
      </c>
    </row>
    <row r="33" spans="1:9" ht="15.75" customHeight="1">
      <c r="A33" s="5" t="s">
        <v>1141</v>
      </c>
      <c r="B33" s="5">
        <v>800</v>
      </c>
      <c r="C33" s="5">
        <v>10425.35</v>
      </c>
      <c r="D33" s="6">
        <f t="shared" si="0"/>
        <v>351.86108357550177</v>
      </c>
      <c r="E33" s="7">
        <f t="shared" si="1"/>
        <v>347.35000000000036</v>
      </c>
      <c r="F33" s="8">
        <f t="shared" si="2"/>
        <v>-4.5110835755014023</v>
      </c>
      <c r="G33" s="5">
        <v>31.81</v>
      </c>
      <c r="H33" s="5">
        <v>5</v>
      </c>
      <c r="I33" s="5">
        <v>49.08</v>
      </c>
    </row>
    <row r="34" spans="1:9" ht="15.75" customHeight="1">
      <c r="A34" s="5" t="s">
        <v>1142</v>
      </c>
      <c r="B34" s="5">
        <v>792</v>
      </c>
      <c r="C34" s="5">
        <v>10078</v>
      </c>
      <c r="D34" s="6">
        <f t="shared" si="0"/>
        <v>347.96967797356837</v>
      </c>
      <c r="E34" s="7">
        <f t="shared" si="1"/>
        <v>373</v>
      </c>
      <c r="F34" s="8">
        <f t="shared" si="2"/>
        <v>25.030322026431634</v>
      </c>
      <c r="G34" s="5">
        <v>32</v>
      </c>
      <c r="H34" s="5">
        <v>4</v>
      </c>
      <c r="I34" s="5">
        <v>49.36</v>
      </c>
    </row>
    <row r="35" spans="1:9" ht="15.75" customHeight="1">
      <c r="A35" s="5" t="s">
        <v>1143</v>
      </c>
      <c r="B35" s="5">
        <v>846</v>
      </c>
      <c r="C35" s="5">
        <v>9705</v>
      </c>
      <c r="D35" s="6">
        <f t="shared" si="0"/>
        <v>371.28244882054759</v>
      </c>
      <c r="E35" s="7">
        <f t="shared" si="1"/>
        <v>370</v>
      </c>
      <c r="F35" s="8">
        <f t="shared" si="2"/>
        <v>-1.2824488205475859</v>
      </c>
      <c r="G35" s="5">
        <v>32</v>
      </c>
      <c r="H35" s="5">
        <v>3.3330000000000002</v>
      </c>
      <c r="I35" s="5">
        <v>49.65</v>
      </c>
    </row>
    <row r="36" spans="1:9" ht="15.75" customHeight="1">
      <c r="A36" s="5" t="s">
        <v>1144</v>
      </c>
      <c r="B36" s="5">
        <v>887</v>
      </c>
      <c r="C36" s="5">
        <v>9335</v>
      </c>
      <c r="D36" s="6">
        <f t="shared" si="0"/>
        <v>389.70846510423615</v>
      </c>
      <c r="E36" s="7">
        <f t="shared" si="1"/>
        <v>346.64700000000084</v>
      </c>
      <c r="F36" s="8">
        <f t="shared" si="2"/>
        <v>-43.06146510423531</v>
      </c>
      <c r="G36" s="5">
        <v>31.69</v>
      </c>
      <c r="H36" s="5">
        <v>1.889</v>
      </c>
      <c r="I36" s="5">
        <v>49.36</v>
      </c>
    </row>
    <row r="37" spans="1:9" ht="15.75" customHeight="1">
      <c r="A37" s="5" t="s">
        <v>1145</v>
      </c>
      <c r="B37" s="5">
        <v>708</v>
      </c>
      <c r="C37" s="5">
        <v>8988.3529999999992</v>
      </c>
      <c r="D37" s="6">
        <f t="shared" si="0"/>
        <v>311.06380303697779</v>
      </c>
      <c r="E37" s="7">
        <f t="shared" si="1"/>
        <v>377.35299999999916</v>
      </c>
      <c r="F37" s="8">
        <f t="shared" si="2"/>
        <v>66.289196963021368</v>
      </c>
      <c r="G37" s="5">
        <v>31.75</v>
      </c>
      <c r="H37" s="5">
        <v>1.222</v>
      </c>
      <c r="I37" s="5">
        <v>49.36</v>
      </c>
    </row>
    <row r="38" spans="1:9" ht="15.75" customHeight="1">
      <c r="A38" s="5" t="s">
        <v>1146</v>
      </c>
      <c r="B38" s="5">
        <v>871</v>
      </c>
      <c r="C38" s="5">
        <v>8611</v>
      </c>
      <c r="D38" s="6">
        <f t="shared" si="0"/>
        <v>381.40490789243677</v>
      </c>
      <c r="E38" s="7">
        <f t="shared" si="1"/>
        <v>378.64700000000084</v>
      </c>
      <c r="F38" s="8">
        <f t="shared" si="2"/>
        <v>-2.7579078924359237</v>
      </c>
      <c r="G38" s="5">
        <v>31.75</v>
      </c>
      <c r="H38" s="5">
        <v>3.444</v>
      </c>
      <c r="I38" s="5">
        <v>50.23</v>
      </c>
    </row>
    <row r="39" spans="1:9" ht="15.75" customHeight="1">
      <c r="A39" s="5" t="s">
        <v>1147</v>
      </c>
      <c r="B39" s="5">
        <v>1047</v>
      </c>
      <c r="C39" s="5">
        <v>8232.3529999999992</v>
      </c>
      <c r="D39" s="6">
        <f t="shared" si="0"/>
        <v>453.44025823605165</v>
      </c>
      <c r="E39" s="7">
        <f t="shared" si="1"/>
        <v>420.35299999999916</v>
      </c>
      <c r="F39" s="8">
        <f t="shared" si="2"/>
        <v>-33.087258236052492</v>
      </c>
      <c r="G39" s="5">
        <v>31.37</v>
      </c>
      <c r="H39" s="5">
        <v>2.6669999999999998</v>
      </c>
      <c r="I39" s="5">
        <v>53.09</v>
      </c>
    </row>
    <row r="40" spans="1:9" ht="15.75" customHeight="1">
      <c r="A40" s="5" t="s">
        <v>1148</v>
      </c>
      <c r="B40" s="5">
        <v>1016</v>
      </c>
      <c r="C40" s="5">
        <v>7812</v>
      </c>
      <c r="D40" s="6">
        <f t="shared" si="0"/>
        <v>440.98815848403115</v>
      </c>
      <c r="E40" s="7">
        <f t="shared" si="1"/>
        <v>440</v>
      </c>
      <c r="F40" s="8">
        <f t="shared" si="2"/>
        <v>-0.98815848403114614</v>
      </c>
      <c r="G40" s="5">
        <v>30.94</v>
      </c>
      <c r="H40" s="5">
        <v>4.3330000000000002</v>
      </c>
      <c r="I40" s="5">
        <v>52.52</v>
      </c>
    </row>
    <row r="41" spans="1:9" ht="15.75" customHeight="1">
      <c r="A41" s="5" t="s">
        <v>1149</v>
      </c>
      <c r="B41" s="5">
        <v>983</v>
      </c>
      <c r="C41" s="5">
        <v>7372</v>
      </c>
      <c r="D41" s="6">
        <f t="shared" si="0"/>
        <v>426.66472420256162</v>
      </c>
      <c r="E41" s="7">
        <f t="shared" si="1"/>
        <v>431</v>
      </c>
      <c r="F41" s="8">
        <f t="shared" si="2"/>
        <v>4.3352757974383849</v>
      </c>
      <c r="G41" s="5">
        <v>30.87</v>
      </c>
      <c r="H41" s="5">
        <v>2</v>
      </c>
      <c r="I41" s="5">
        <v>52.52</v>
      </c>
    </row>
    <row r="42" spans="1:9" ht="15.75" customHeight="1">
      <c r="A42" s="5" t="s">
        <v>1150</v>
      </c>
      <c r="B42" s="5">
        <v>955</v>
      </c>
      <c r="C42" s="5">
        <v>6941</v>
      </c>
      <c r="D42" s="6">
        <f t="shared" si="0"/>
        <v>414.97708042591938</v>
      </c>
      <c r="E42" s="7">
        <f t="shared" si="1"/>
        <v>439</v>
      </c>
      <c r="F42" s="8">
        <f t="shared" si="2"/>
        <v>24.022919574080618</v>
      </c>
      <c r="G42" s="5">
        <v>30.06</v>
      </c>
      <c r="H42" s="5">
        <v>3.556</v>
      </c>
      <c r="I42" s="5">
        <v>52.23</v>
      </c>
    </row>
    <row r="43" spans="1:9" ht="15.75" customHeight="1">
      <c r="A43" s="5" t="s">
        <v>1151</v>
      </c>
      <c r="B43" s="5">
        <v>1046</v>
      </c>
      <c r="C43" s="5">
        <v>6502</v>
      </c>
      <c r="D43" s="6">
        <f t="shared" si="0"/>
        <v>454.00946237627625</v>
      </c>
      <c r="E43" s="7">
        <f t="shared" si="1"/>
        <v>439</v>
      </c>
      <c r="F43" s="8">
        <f t="shared" si="2"/>
        <v>-15.009462376276247</v>
      </c>
      <c r="G43" s="5">
        <v>30.19</v>
      </c>
      <c r="H43" s="5">
        <v>3.556</v>
      </c>
      <c r="I43" s="5">
        <v>52.52</v>
      </c>
    </row>
    <row r="44" spans="1:9" ht="15.75" customHeight="1">
      <c r="A44" s="5" t="s">
        <v>1152</v>
      </c>
      <c r="B44" s="5">
        <v>1035</v>
      </c>
      <c r="C44" s="5">
        <v>6063</v>
      </c>
      <c r="D44" s="6">
        <f t="shared" si="0"/>
        <v>449.73955836735769</v>
      </c>
      <c r="E44" s="7">
        <f t="shared" si="1"/>
        <v>409</v>
      </c>
      <c r="F44" s="8">
        <f t="shared" si="2"/>
        <v>-40.739558367357688</v>
      </c>
      <c r="G44" s="5">
        <v>30</v>
      </c>
      <c r="H44" s="5">
        <v>5.1109999999999998</v>
      </c>
      <c r="I44" s="5">
        <v>52.23</v>
      </c>
    </row>
    <row r="45" spans="1:9" ht="15.75" customHeight="1">
      <c r="A45" s="5" t="s">
        <v>1153</v>
      </c>
      <c r="B45" s="5">
        <v>959</v>
      </c>
      <c r="C45" s="5">
        <v>5654</v>
      </c>
      <c r="D45" s="6">
        <f t="shared" si="0"/>
        <v>417.16660606638169</v>
      </c>
      <c r="E45" s="7">
        <f t="shared" si="1"/>
        <v>402.64699999999993</v>
      </c>
      <c r="F45" s="8">
        <f t="shared" si="2"/>
        <v>-14.519606066381755</v>
      </c>
      <c r="G45" s="5">
        <v>29.69</v>
      </c>
      <c r="H45" s="5">
        <v>3.1110000000000002</v>
      </c>
      <c r="I45" s="5">
        <v>51.95</v>
      </c>
    </row>
    <row r="46" spans="1:9" ht="15.75" customHeight="1">
      <c r="A46" s="5" t="s">
        <v>1154</v>
      </c>
      <c r="B46" s="5">
        <v>922</v>
      </c>
      <c r="C46" s="5">
        <v>5251.3530000000001</v>
      </c>
      <c r="D46" s="6">
        <f t="shared" si="0"/>
        <v>399.73858763491745</v>
      </c>
      <c r="E46" s="7">
        <f t="shared" si="1"/>
        <v>416.35300000000007</v>
      </c>
      <c r="F46" s="8">
        <f t="shared" si="2"/>
        <v>16.614412365082615</v>
      </c>
      <c r="G46" s="5">
        <v>30.19</v>
      </c>
      <c r="H46" s="5">
        <v>3.6669999999999998</v>
      </c>
      <c r="I46" s="5">
        <v>52.81</v>
      </c>
    </row>
    <row r="47" spans="1:9" ht="15.75" customHeight="1">
      <c r="A47" s="5" t="s">
        <v>1155</v>
      </c>
      <c r="B47" s="5">
        <v>941</v>
      </c>
      <c r="C47" s="5">
        <v>4835</v>
      </c>
      <c r="D47" s="6">
        <f t="shared" si="0"/>
        <v>407.53322158560132</v>
      </c>
      <c r="E47" s="7">
        <f t="shared" si="1"/>
        <v>417</v>
      </c>
      <c r="F47" s="8">
        <f t="shared" si="2"/>
        <v>9.4667784143986751</v>
      </c>
      <c r="G47" s="5">
        <v>28.75</v>
      </c>
      <c r="H47" s="5">
        <v>3.556</v>
      </c>
      <c r="I47" s="5">
        <v>53.09</v>
      </c>
    </row>
    <row r="48" spans="1:9" ht="15.75" customHeight="1">
      <c r="A48" s="5" t="s">
        <v>1156</v>
      </c>
      <c r="B48" s="5">
        <v>966</v>
      </c>
      <c r="C48" s="5">
        <v>4418</v>
      </c>
      <c r="D48" s="6">
        <f t="shared" si="0"/>
        <v>418.81504951771177</v>
      </c>
      <c r="E48" s="7">
        <f t="shared" si="1"/>
        <v>404</v>
      </c>
      <c r="F48" s="8">
        <f t="shared" si="2"/>
        <v>-14.81504951771177</v>
      </c>
      <c r="G48" s="5">
        <v>29.06</v>
      </c>
      <c r="H48" s="5">
        <v>4.556</v>
      </c>
      <c r="I48" s="5">
        <v>52.81</v>
      </c>
    </row>
    <row r="49" spans="1:9" ht="15.75" customHeight="1">
      <c r="A49" s="5" t="s">
        <v>1157</v>
      </c>
      <c r="B49" s="5">
        <v>865</v>
      </c>
      <c r="C49" s="5">
        <v>4014</v>
      </c>
      <c r="D49" s="6">
        <f t="shared" si="0"/>
        <v>377.11984300587136</v>
      </c>
      <c r="E49" s="7">
        <f t="shared" si="1"/>
        <v>388</v>
      </c>
      <c r="F49" s="8">
        <f t="shared" si="2"/>
        <v>10.88015699412864</v>
      </c>
      <c r="G49" s="5">
        <v>28.37</v>
      </c>
      <c r="H49" s="5">
        <v>2.6669999999999998</v>
      </c>
      <c r="I49" s="5">
        <v>51.37</v>
      </c>
    </row>
    <row r="50" spans="1:9" ht="15.75" customHeight="1">
      <c r="A50" s="5" t="s">
        <v>1158</v>
      </c>
      <c r="B50" s="5">
        <v>956</v>
      </c>
      <c r="C50" s="5">
        <v>3626</v>
      </c>
      <c r="D50" s="6">
        <f t="shared" si="0"/>
        <v>417.70977278613282</v>
      </c>
      <c r="E50" s="7">
        <f t="shared" si="1"/>
        <v>406</v>
      </c>
      <c r="F50" s="8">
        <f t="shared" si="2"/>
        <v>-11.709772786132817</v>
      </c>
      <c r="G50" s="5">
        <v>28.5</v>
      </c>
      <c r="H50" s="5">
        <v>1</v>
      </c>
      <c r="I50" s="5">
        <v>50.8</v>
      </c>
    </row>
    <row r="51" spans="1:9" ht="15.75" customHeight="1">
      <c r="A51" s="5" t="s">
        <v>1159</v>
      </c>
      <c r="B51" s="5">
        <v>917</v>
      </c>
      <c r="C51" s="5">
        <v>3220</v>
      </c>
      <c r="D51" s="6">
        <f t="shared" si="0"/>
        <v>397.57080787550899</v>
      </c>
      <c r="E51" s="7">
        <f t="shared" si="1"/>
        <v>395</v>
      </c>
      <c r="F51" s="8">
        <f t="shared" si="2"/>
        <v>-2.57080787550899</v>
      </c>
      <c r="G51" s="5">
        <v>28.13</v>
      </c>
      <c r="H51" s="5">
        <v>1.444</v>
      </c>
      <c r="I51" s="5">
        <v>52.81</v>
      </c>
    </row>
    <row r="52" spans="1:9" ht="15.75" customHeight="1">
      <c r="A52" s="5" t="s">
        <v>1160</v>
      </c>
      <c r="B52" s="5">
        <v>810</v>
      </c>
      <c r="C52" s="5">
        <v>2825</v>
      </c>
      <c r="D52" s="6">
        <f t="shared" si="0"/>
        <v>350.40416958322038</v>
      </c>
      <c r="E52" s="7">
        <f t="shared" si="1"/>
        <v>386</v>
      </c>
      <c r="F52" s="8">
        <f t="shared" si="2"/>
        <v>35.59583041677962</v>
      </c>
      <c r="G52" s="5">
        <v>27.63</v>
      </c>
      <c r="H52" s="5">
        <v>3.444</v>
      </c>
      <c r="I52" s="5">
        <v>53.38</v>
      </c>
    </row>
    <row r="53" spans="1:9" ht="15.75" customHeight="1">
      <c r="A53" s="5" t="s">
        <v>1161</v>
      </c>
      <c r="B53" s="5">
        <v>885</v>
      </c>
      <c r="C53" s="5">
        <v>2439</v>
      </c>
      <c r="D53" s="6">
        <f t="shared" si="0"/>
        <v>381.98610528831915</v>
      </c>
      <c r="E53" s="7">
        <f t="shared" si="1"/>
        <v>385</v>
      </c>
      <c r="F53" s="8">
        <f t="shared" si="2"/>
        <v>3.0138947116808481</v>
      </c>
      <c r="G53" s="5">
        <v>27.75</v>
      </c>
      <c r="H53" s="5">
        <v>4</v>
      </c>
      <c r="I53" s="5">
        <v>53.96</v>
      </c>
    </row>
    <row r="54" spans="1:9" ht="15.75" customHeight="1">
      <c r="A54" s="5" t="s">
        <v>1162</v>
      </c>
      <c r="B54" s="5">
        <v>820</v>
      </c>
      <c r="C54" s="5">
        <v>2054</v>
      </c>
      <c r="D54" s="6">
        <f t="shared" si="0"/>
        <v>355.12990616386088</v>
      </c>
      <c r="E54" s="7">
        <f t="shared" si="1"/>
        <v>357.64699999999993</v>
      </c>
      <c r="F54" s="8">
        <f t="shared" si="2"/>
        <v>2.517093836139054</v>
      </c>
      <c r="G54" s="5">
        <v>27</v>
      </c>
      <c r="H54" s="5">
        <v>2.778</v>
      </c>
      <c r="I54" s="5">
        <v>53.09</v>
      </c>
    </row>
    <row r="55" spans="1:9" ht="15.75" customHeight="1">
      <c r="A55" s="5" t="s">
        <v>1163</v>
      </c>
      <c r="B55" s="5">
        <v>869</v>
      </c>
      <c r="C55" s="5">
        <v>1696.3530000000001</v>
      </c>
      <c r="D55" s="6">
        <f t="shared" si="0"/>
        <v>376.76012218518792</v>
      </c>
      <c r="E55" s="7">
        <f t="shared" si="1"/>
        <v>371.35300000000007</v>
      </c>
      <c r="F55" s="8">
        <f t="shared" si="2"/>
        <v>-5.407122185187859</v>
      </c>
      <c r="G55" s="5">
        <v>26.88</v>
      </c>
      <c r="H55" s="5">
        <v>3</v>
      </c>
      <c r="I55" s="5">
        <v>52.81</v>
      </c>
    </row>
    <row r="56" spans="1:9" ht="15.75" customHeight="1">
      <c r="A56" s="5" t="s">
        <v>1164</v>
      </c>
      <c r="B56" s="5">
        <v>480</v>
      </c>
      <c r="C56" s="5">
        <v>1325</v>
      </c>
      <c r="D56" s="6">
        <f t="shared" si="0"/>
        <v>218.29819434224567</v>
      </c>
      <c r="E56" s="7">
        <f t="shared" si="1"/>
        <v>185</v>
      </c>
      <c r="F56" s="8">
        <f t="shared" si="2"/>
        <v>-33.298194342245665</v>
      </c>
      <c r="G56" s="5">
        <v>25.5</v>
      </c>
      <c r="H56" s="5">
        <v>2.444</v>
      </c>
      <c r="I56" s="5">
        <v>40.18</v>
      </c>
    </row>
    <row r="57" spans="1:9" ht="15.75" customHeight="1">
      <c r="A57" s="5" t="s">
        <v>1165</v>
      </c>
      <c r="B57" s="5">
        <v>148</v>
      </c>
      <c r="C57" s="5">
        <v>1140</v>
      </c>
      <c r="D57" s="6">
        <f t="shared" si="0"/>
        <v>68.950682106549976</v>
      </c>
      <c r="E57" s="7">
        <f t="shared" si="1"/>
        <v>57</v>
      </c>
      <c r="F57" s="8">
        <f t="shared" si="2"/>
        <v>-11.950682106549976</v>
      </c>
      <c r="G57" s="5">
        <v>25.12</v>
      </c>
      <c r="H57" s="5">
        <v>4.7779999999999996</v>
      </c>
      <c r="I57" s="5">
        <v>33.58</v>
      </c>
    </row>
    <row r="58" spans="1:9" ht="15.75" customHeight="1">
      <c r="A58" s="5" t="s">
        <v>1166</v>
      </c>
      <c r="B58" s="5">
        <v>81</v>
      </c>
      <c r="C58" s="5">
        <v>1083</v>
      </c>
      <c r="D58" s="6">
        <f t="shared" si="0"/>
        <v>36.643101600419662</v>
      </c>
      <c r="E58" s="7">
        <f t="shared" si="1"/>
        <v>54</v>
      </c>
      <c r="F58" s="8">
        <f t="shared" si="2"/>
        <v>17.356898399580338</v>
      </c>
      <c r="G58" s="5">
        <v>26.18</v>
      </c>
      <c r="H58" s="5">
        <v>2.444</v>
      </c>
      <c r="I58" s="5">
        <v>41.61</v>
      </c>
    </row>
    <row r="59" spans="1:9" ht="15.75" customHeight="1">
      <c r="A59" s="5" t="s">
        <v>1167</v>
      </c>
      <c r="B59" s="5">
        <v>194</v>
      </c>
      <c r="C59" s="5">
        <v>1029</v>
      </c>
      <c r="D59" s="6">
        <f t="shared" si="0"/>
        <v>85.326312767059179</v>
      </c>
      <c r="E59" s="7">
        <f t="shared" si="1"/>
        <v>125.64700000000005</v>
      </c>
      <c r="F59" s="8">
        <f t="shared" si="2"/>
        <v>40.32068723294087</v>
      </c>
      <c r="G59" s="5">
        <v>26.81</v>
      </c>
      <c r="H59" s="5">
        <v>2.3330000000000002</v>
      </c>
      <c r="I59" s="5">
        <v>49.08</v>
      </c>
    </row>
    <row r="60" spans="1:9" ht="15.75" customHeight="1">
      <c r="A60" s="5" t="s">
        <v>1168</v>
      </c>
      <c r="B60" s="5">
        <v>694</v>
      </c>
      <c r="C60" s="5">
        <v>903.35299999999995</v>
      </c>
      <c r="D60" s="6">
        <f t="shared" si="0"/>
        <v>304.23615834479449</v>
      </c>
      <c r="E60" s="7">
        <f t="shared" si="1"/>
        <v>171</v>
      </c>
      <c r="F60" s="8">
        <f t="shared" si="2"/>
        <v>-133.23615834479449</v>
      </c>
      <c r="G60" s="5">
        <v>26.81</v>
      </c>
      <c r="H60" s="5">
        <v>5</v>
      </c>
      <c r="I60" s="5">
        <v>49.94</v>
      </c>
    </row>
    <row r="61" spans="1:9" ht="15.75" customHeight="1">
      <c r="A61" s="5" t="s">
        <v>1169</v>
      </c>
      <c r="B61" s="5">
        <v>275</v>
      </c>
      <c r="C61" s="5">
        <v>732.35299999999995</v>
      </c>
      <c r="D61" s="6">
        <f t="shared" si="0"/>
        <v>120.42060811758913</v>
      </c>
      <c r="E61" s="7">
        <f t="shared" si="1"/>
        <v>199</v>
      </c>
      <c r="F61" s="8">
        <f t="shared" si="2"/>
        <v>78.579391882410874</v>
      </c>
      <c r="G61" s="5">
        <v>26.94</v>
      </c>
      <c r="H61" s="5">
        <v>3.778</v>
      </c>
      <c r="I61" s="5">
        <v>50.23</v>
      </c>
    </row>
    <row r="62" spans="1:9" ht="15.75" customHeight="1">
      <c r="A62" s="5" t="s">
        <v>1170</v>
      </c>
      <c r="B62" s="5">
        <v>525</v>
      </c>
      <c r="C62" s="5">
        <v>533.35299999999995</v>
      </c>
      <c r="D62" s="6">
        <f t="shared" si="0"/>
        <v>229.39082710535541</v>
      </c>
      <c r="E62" s="7">
        <f t="shared" si="1"/>
        <v>204.35299999999995</v>
      </c>
      <c r="F62" s="8">
        <f t="shared" si="2"/>
        <v>-25.037827105355461</v>
      </c>
      <c r="G62" s="5">
        <v>27</v>
      </c>
      <c r="H62" s="5">
        <v>3.6669999999999998</v>
      </c>
      <c r="I62" s="5">
        <v>50.8</v>
      </c>
    </row>
    <row r="63" spans="1:9" ht="15.75" customHeight="1">
      <c r="A63" s="5" t="s">
        <v>1171</v>
      </c>
      <c r="B63" s="5">
        <v>318</v>
      </c>
      <c r="C63" s="5">
        <v>329</v>
      </c>
      <c r="D63" s="6">
        <f t="shared" si="0"/>
        <v>140.47954914654815</v>
      </c>
      <c r="E63" s="7">
        <f t="shared" si="1"/>
        <v>115</v>
      </c>
      <c r="F63" s="8">
        <f t="shared" si="2"/>
        <v>-25.479549146548152</v>
      </c>
      <c r="G63" s="5">
        <v>26.38</v>
      </c>
      <c r="H63" s="5">
        <v>4</v>
      </c>
      <c r="I63" s="5">
        <v>47.93</v>
      </c>
    </row>
    <row r="64" spans="1:9" ht="15.75" customHeight="1">
      <c r="A64" s="5" t="s">
        <v>1172</v>
      </c>
      <c r="B64" s="5">
        <v>278</v>
      </c>
      <c r="C64" s="5">
        <v>214</v>
      </c>
      <c r="D64" s="6">
        <f t="shared" si="0"/>
        <v>124.28595468525259</v>
      </c>
      <c r="E64" s="7">
        <f t="shared" si="1"/>
        <v>0</v>
      </c>
      <c r="F64" s="8">
        <f t="shared" si="2"/>
        <v>-124.28595468525259</v>
      </c>
      <c r="G64" s="5">
        <v>25.93</v>
      </c>
      <c r="H64" s="5">
        <v>3.1110000000000002</v>
      </c>
      <c r="I64" s="5">
        <v>44.77</v>
      </c>
    </row>
    <row r="65" spans="1:26" ht="15.75" customHeight="1">
      <c r="A65" s="5" t="s">
        <v>1173</v>
      </c>
      <c r="B65" s="5">
        <v>153</v>
      </c>
      <c r="C65" s="5">
        <v>214</v>
      </c>
      <c r="D65" s="6">
        <f t="shared" si="0"/>
        <v>69.361353850749524</v>
      </c>
      <c r="E65" s="7">
        <f t="shared" si="1"/>
        <v>29.646999999999991</v>
      </c>
      <c r="F65" s="8">
        <f t="shared" si="2"/>
        <v>-39.714353850749532</v>
      </c>
      <c r="G65" s="5">
        <v>25.62</v>
      </c>
      <c r="H65" s="5">
        <v>1.222</v>
      </c>
      <c r="I65" s="5">
        <v>41.04</v>
      </c>
    </row>
    <row r="66" spans="1:26" ht="15.75" customHeight="1">
      <c r="A66" s="5" t="s">
        <v>1174</v>
      </c>
      <c r="B66" s="5">
        <v>143</v>
      </c>
      <c r="C66" s="5">
        <v>184.35300000000001</v>
      </c>
      <c r="D66" s="6">
        <f t="shared" si="0"/>
        <v>65.241408765148961</v>
      </c>
      <c r="E66" s="7">
        <f t="shared" si="1"/>
        <v>53</v>
      </c>
      <c r="F66" s="8">
        <f t="shared" si="2"/>
        <v>-12.241408765148961</v>
      </c>
      <c r="G66" s="5">
        <v>25.31</v>
      </c>
      <c r="H66" s="5">
        <v>2</v>
      </c>
      <c r="I66" s="5">
        <v>39.32</v>
      </c>
    </row>
    <row r="67" spans="1:26" ht="15.75" customHeight="1">
      <c r="A67" s="5" t="s">
        <v>1175</v>
      </c>
      <c r="B67" s="5">
        <v>95</v>
      </c>
      <c r="C67" s="5">
        <v>131.35300000000001</v>
      </c>
      <c r="D67" s="6">
        <f t="shared" si="0"/>
        <v>43.525851868159016</v>
      </c>
      <c r="E67" s="7">
        <f t="shared" si="1"/>
        <v>41.353000000000009</v>
      </c>
      <c r="F67" s="8">
        <f t="shared" si="2"/>
        <v>-2.1728518681590074</v>
      </c>
      <c r="G67" s="5">
        <v>25.12</v>
      </c>
      <c r="H67" s="5">
        <v>1.222</v>
      </c>
      <c r="I67" s="5">
        <v>38.17</v>
      </c>
    </row>
    <row r="68" spans="1:26" ht="15.75" customHeight="1">
      <c r="A68" s="5" t="s">
        <v>1176</v>
      </c>
      <c r="B68" s="5">
        <v>86</v>
      </c>
      <c r="C68" s="5">
        <v>90</v>
      </c>
      <c r="D68" s="6">
        <f t="shared" si="0"/>
        <v>39.526682277210838</v>
      </c>
      <c r="E68" s="7">
        <f t="shared" si="1"/>
        <v>30.646999999999998</v>
      </c>
      <c r="F68" s="8">
        <f t="shared" si="2"/>
        <v>-8.8796822772108399</v>
      </c>
      <c r="G68" s="5">
        <v>25</v>
      </c>
      <c r="H68" s="5">
        <v>4.444</v>
      </c>
      <c r="I68" s="5">
        <v>37.31</v>
      </c>
    </row>
    <row r="69" spans="1:26" ht="15.75" customHeight="1">
      <c r="A69" s="5" t="s">
        <v>1177</v>
      </c>
      <c r="B69" s="5">
        <v>51</v>
      </c>
      <c r="C69" s="5">
        <v>59.353000000000002</v>
      </c>
      <c r="D69" s="6">
        <f t="shared" si="0"/>
        <v>23.51397368083569</v>
      </c>
      <c r="E69" s="7">
        <f t="shared" si="1"/>
        <v>24.353000000000002</v>
      </c>
      <c r="F69" s="8">
        <f t="shared" si="2"/>
        <v>0.83902631916431147</v>
      </c>
      <c r="G69" s="5">
        <v>25</v>
      </c>
      <c r="H69" s="5">
        <v>5.2220000000000004</v>
      </c>
      <c r="I69" s="5">
        <v>36.450000000000003</v>
      </c>
    </row>
    <row r="70" spans="1:26" ht="15.75" customHeight="1">
      <c r="A70" s="5" t="s">
        <v>1178</v>
      </c>
      <c r="B70" s="5">
        <v>54</v>
      </c>
      <c r="C70" s="5">
        <v>35</v>
      </c>
      <c r="D70" s="6">
        <f t="shared" si="0"/>
        <v>24.97521763706413</v>
      </c>
      <c r="E70" s="7">
        <f t="shared" si="1"/>
        <v>18</v>
      </c>
      <c r="F70" s="8">
        <f t="shared" si="2"/>
        <v>-6.9752176370641301</v>
      </c>
      <c r="G70" s="5">
        <v>24.88</v>
      </c>
      <c r="H70" s="5">
        <v>4.556</v>
      </c>
      <c r="I70" s="5">
        <v>35.590000000000003</v>
      </c>
    </row>
    <row r="71" spans="1:26" ht="15.75" customHeight="1">
      <c r="A71" s="5" t="s">
        <v>1179</v>
      </c>
      <c r="B71" s="5">
        <v>25</v>
      </c>
      <c r="C71" s="5">
        <v>17</v>
      </c>
      <c r="D71" s="6">
        <f t="shared" si="0"/>
        <v>11.610931608944576</v>
      </c>
      <c r="E71" s="7">
        <f t="shared" si="1"/>
        <v>7</v>
      </c>
      <c r="F71" s="8">
        <f t="shared" si="2"/>
        <v>-4.6109316089445755</v>
      </c>
      <c r="G71" s="5">
        <v>24.81</v>
      </c>
      <c r="H71" s="5">
        <v>2.556</v>
      </c>
      <c r="I71" s="5">
        <v>34.44</v>
      </c>
    </row>
    <row r="72" spans="1:26" ht="15.75" customHeight="1">
      <c r="A72" s="5" t="s">
        <v>1180</v>
      </c>
      <c r="B72" s="5">
        <v>14</v>
      </c>
      <c r="C72" s="5">
        <v>10</v>
      </c>
      <c r="D72" s="6">
        <f t="shared" si="0"/>
        <v>6.5291869775938887</v>
      </c>
      <c r="E72" s="7">
        <f t="shared" si="1"/>
        <v>5</v>
      </c>
      <c r="F72" s="8">
        <f t="shared" si="2"/>
        <v>-1.5291869775938887</v>
      </c>
      <c r="G72" s="5">
        <v>24.75</v>
      </c>
      <c r="H72" s="5">
        <v>1.444</v>
      </c>
      <c r="I72" s="5">
        <v>33.29</v>
      </c>
    </row>
    <row r="73" spans="1:26" ht="15.75" customHeight="1">
      <c r="A73" s="5" t="s">
        <v>1181</v>
      </c>
      <c r="B73" s="5">
        <v>7</v>
      </c>
      <c r="C73" s="5">
        <v>5</v>
      </c>
      <c r="D73" s="6">
        <f t="shared" si="0"/>
        <v>3.244353368916042</v>
      </c>
      <c r="E73" s="7">
        <f t="shared" si="1"/>
        <v>2</v>
      </c>
      <c r="F73" s="8">
        <f t="shared" si="2"/>
        <v>-1.244353368916042</v>
      </c>
      <c r="G73" s="5">
        <v>24.94</v>
      </c>
      <c r="H73" s="5">
        <v>2</v>
      </c>
      <c r="I73" s="5">
        <v>35.01</v>
      </c>
    </row>
    <row r="74" spans="1:26" ht="15.75" customHeight="1">
      <c r="A74" s="5" t="s">
        <v>1182</v>
      </c>
      <c r="B74" s="5">
        <v>8</v>
      </c>
      <c r="C74" s="5">
        <v>3</v>
      </c>
      <c r="D74" s="6">
        <f t="shared" si="0"/>
        <v>3.7078324216183343</v>
      </c>
      <c r="E74" s="7">
        <f t="shared" si="1"/>
        <v>3</v>
      </c>
      <c r="F74" s="8">
        <f t="shared" si="2"/>
        <v>-0.70783242161833426</v>
      </c>
      <c r="G74" s="5">
        <v>25</v>
      </c>
      <c r="H74" s="5">
        <v>3.778</v>
      </c>
      <c r="I74" s="5">
        <v>35.01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5.8463333333333329</v>
      </c>
      <c r="C76" s="11"/>
      <c r="D76" s="16">
        <f>SUM(D2:D75)</f>
        <v>15349.811106450798</v>
      </c>
      <c r="E76" s="15">
        <f>SUM(E1:E74)</f>
        <v>15012</v>
      </c>
      <c r="F76" s="11"/>
      <c r="G76" s="17">
        <f t="shared" ref="G76:I76" si="3">AVERAGE(G1:G74)</f>
        <v>29.393424657534251</v>
      </c>
      <c r="H76" s="17">
        <f t="shared" si="3"/>
        <v>2.919301369863013</v>
      </c>
      <c r="I76" s="17">
        <f t="shared" si="3"/>
        <v>47.409863013698633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18.90625" customWidth="1"/>
    <col min="2" max="2" width="10.90625" customWidth="1"/>
    <col min="3" max="3" width="10.36328125" customWidth="1"/>
    <col min="4" max="5" width="12.453125" customWidth="1"/>
    <col min="6" max="6" width="11.6328125" customWidth="1"/>
    <col min="7" max="7" width="14.453125" customWidth="1"/>
    <col min="8" max="8" width="8.6328125" customWidth="1"/>
    <col min="9" max="9" width="11.7265625" customWidth="1"/>
    <col min="10" max="26" width="8.6328125" customWidth="1"/>
  </cols>
  <sheetData>
    <row r="1" spans="1:2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1183</v>
      </c>
      <c r="B2" s="5">
        <v>3</v>
      </c>
      <c r="C2" s="5">
        <v>16492</v>
      </c>
      <c r="D2" s="6">
        <f t="shared" ref="D2:D74" si="0">( B2/1000)*(10/60)*3159.1*(1-0.0035*(I2-25))*0.9459*0.9857*0.9784</f>
        <v>1.3571519111266546</v>
      </c>
      <c r="E2" s="7">
        <f t="shared" ref="E2:E74" si="1">(C2-C3)</f>
        <v>0</v>
      </c>
      <c r="F2" s="8">
        <f t="shared" ref="F2:F74" si="2">E2-D2</f>
        <v>-1.3571519111266546</v>
      </c>
      <c r="G2" s="5">
        <v>28.19</v>
      </c>
      <c r="H2" s="5">
        <v>2.222</v>
      </c>
      <c r="I2" s="5">
        <v>41.61</v>
      </c>
    </row>
    <row r="3" spans="1:26" ht="15.75" customHeight="1">
      <c r="A3" s="5" t="s">
        <v>1184</v>
      </c>
      <c r="B3" s="5">
        <v>3</v>
      </c>
      <c r="C3" s="5">
        <v>16492</v>
      </c>
      <c r="D3" s="6">
        <f t="shared" si="0"/>
        <v>1.3542268439677867</v>
      </c>
      <c r="E3" s="7">
        <f t="shared" si="1"/>
        <v>0</v>
      </c>
      <c r="F3" s="8">
        <f t="shared" si="2"/>
        <v>-1.3542268439677867</v>
      </c>
      <c r="G3" s="5">
        <v>29.06</v>
      </c>
      <c r="H3" s="5">
        <v>1.667</v>
      </c>
      <c r="I3" s="5">
        <v>42.19</v>
      </c>
    </row>
    <row r="4" spans="1:26" ht="15.75" customHeight="1">
      <c r="A4" s="5" t="s">
        <v>1185</v>
      </c>
      <c r="B4" s="5">
        <v>10</v>
      </c>
      <c r="C4" s="5">
        <v>16492</v>
      </c>
      <c r="D4" s="6">
        <f t="shared" si="0"/>
        <v>4.4947571394748165</v>
      </c>
      <c r="E4" s="7">
        <f t="shared" si="1"/>
        <v>1</v>
      </c>
      <c r="F4" s="8">
        <f t="shared" si="2"/>
        <v>-3.4947571394748165</v>
      </c>
      <c r="G4" s="5">
        <v>29.31</v>
      </c>
      <c r="H4" s="5">
        <v>1.667</v>
      </c>
      <c r="I4" s="5">
        <v>43.34</v>
      </c>
    </row>
    <row r="5" spans="1:26" ht="15.75" customHeight="1">
      <c r="A5" s="5" t="s">
        <v>1186</v>
      </c>
      <c r="B5" s="5">
        <v>21</v>
      </c>
      <c r="C5" s="5">
        <v>16491</v>
      </c>
      <c r="D5" s="6">
        <f t="shared" si="0"/>
        <v>9.4086298130757626</v>
      </c>
      <c r="E5" s="7">
        <f t="shared" si="1"/>
        <v>14.650000000001455</v>
      </c>
      <c r="F5" s="8">
        <f t="shared" si="2"/>
        <v>5.2413701869256926</v>
      </c>
      <c r="G5" s="5">
        <v>28.81</v>
      </c>
      <c r="H5" s="5">
        <v>2</v>
      </c>
      <c r="I5" s="5">
        <v>44.2</v>
      </c>
    </row>
    <row r="6" spans="1:26" ht="15.75" customHeight="1">
      <c r="A6" s="5" t="s">
        <v>1187</v>
      </c>
      <c r="B6" s="5">
        <v>40</v>
      </c>
      <c r="C6" s="5">
        <v>16476.349999999999</v>
      </c>
      <c r="D6" s="6">
        <f t="shared" si="0"/>
        <v>17.863370730008402</v>
      </c>
      <c r="E6" s="7">
        <f t="shared" si="1"/>
        <v>19.349999999998545</v>
      </c>
      <c r="F6" s="8">
        <f t="shared" si="2"/>
        <v>1.4866292699901429</v>
      </c>
      <c r="G6" s="5">
        <v>29</v>
      </c>
      <c r="H6" s="5">
        <v>2.1110000000000002</v>
      </c>
      <c r="I6" s="5">
        <v>45.06</v>
      </c>
    </row>
    <row r="7" spans="1:26" ht="15.75" customHeight="1">
      <c r="A7" s="5" t="s">
        <v>1188</v>
      </c>
      <c r="B7" s="5">
        <v>43</v>
      </c>
      <c r="C7" s="5">
        <v>16457</v>
      </c>
      <c r="D7" s="6">
        <f t="shared" si="0"/>
        <v>19.119994470962467</v>
      </c>
      <c r="E7" s="7">
        <f t="shared" si="1"/>
        <v>25</v>
      </c>
      <c r="F7" s="8">
        <f t="shared" si="2"/>
        <v>5.8800055290375326</v>
      </c>
      <c r="G7" s="5">
        <v>29.19</v>
      </c>
      <c r="H7" s="5">
        <v>2.556</v>
      </c>
      <c r="I7" s="5">
        <v>46.21</v>
      </c>
    </row>
    <row r="8" spans="1:26" ht="15.75" customHeight="1">
      <c r="A8" s="5" t="s">
        <v>1189</v>
      </c>
      <c r="B8" s="5">
        <v>72</v>
      </c>
      <c r="C8" s="5">
        <v>16432</v>
      </c>
      <c r="D8" s="6">
        <f t="shared" si="0"/>
        <v>31.806690372803352</v>
      </c>
      <c r="E8" s="7">
        <f t="shared" si="1"/>
        <v>45</v>
      </c>
      <c r="F8" s="8">
        <f t="shared" si="2"/>
        <v>13.193309627196648</v>
      </c>
      <c r="G8" s="5">
        <v>29.44</v>
      </c>
      <c r="H8" s="5">
        <v>3.1110000000000002</v>
      </c>
      <c r="I8" s="5">
        <v>47.93</v>
      </c>
    </row>
    <row r="9" spans="1:26" ht="15.75" customHeight="1">
      <c r="A9" s="5" t="s">
        <v>1190</v>
      </c>
      <c r="B9" s="5">
        <v>108</v>
      </c>
      <c r="C9" s="5">
        <v>16387</v>
      </c>
      <c r="D9" s="6">
        <f t="shared" si="0"/>
        <v>47.65738435034541</v>
      </c>
      <c r="E9" s="7">
        <f t="shared" si="1"/>
        <v>48.649999999999636</v>
      </c>
      <c r="F9" s="8">
        <f t="shared" si="2"/>
        <v>0.99261564965422622</v>
      </c>
      <c r="G9" s="5">
        <v>29.56</v>
      </c>
      <c r="H9" s="5">
        <v>2.444</v>
      </c>
      <c r="I9" s="5">
        <v>48.22</v>
      </c>
    </row>
    <row r="10" spans="1:26" ht="15.75" customHeight="1">
      <c r="A10" s="5" t="s">
        <v>1191</v>
      </c>
      <c r="B10" s="5">
        <v>101</v>
      </c>
      <c r="C10" s="5">
        <v>16338.35</v>
      </c>
      <c r="D10" s="6">
        <f t="shared" si="0"/>
        <v>44.520939062422322</v>
      </c>
      <c r="E10" s="7">
        <f t="shared" si="1"/>
        <v>45</v>
      </c>
      <c r="F10" s="8">
        <f t="shared" si="2"/>
        <v>0.4790609375776782</v>
      </c>
      <c r="G10" s="5">
        <v>30.25</v>
      </c>
      <c r="H10" s="5">
        <v>5.2220000000000004</v>
      </c>
      <c r="I10" s="5">
        <v>48.5</v>
      </c>
    </row>
    <row r="11" spans="1:26" ht="15.75" customHeight="1">
      <c r="A11" s="5" t="s">
        <v>1192</v>
      </c>
      <c r="B11" s="5">
        <v>91</v>
      </c>
      <c r="C11" s="5">
        <v>16293.35</v>
      </c>
      <c r="D11" s="6">
        <f t="shared" si="0"/>
        <v>39.937000996063624</v>
      </c>
      <c r="E11" s="7">
        <f t="shared" si="1"/>
        <v>48.350000000000364</v>
      </c>
      <c r="F11" s="8">
        <f t="shared" si="2"/>
        <v>8.4129990039367399</v>
      </c>
      <c r="G11" s="5">
        <v>30.37</v>
      </c>
      <c r="H11" s="5">
        <v>5</v>
      </c>
      <c r="I11" s="5">
        <v>49.65</v>
      </c>
    </row>
    <row r="12" spans="1:26" ht="15.75" customHeight="1">
      <c r="A12" s="5" t="s">
        <v>1193</v>
      </c>
      <c r="B12" s="5">
        <v>118</v>
      </c>
      <c r="C12" s="5">
        <v>16245</v>
      </c>
      <c r="D12" s="6">
        <f t="shared" si="0"/>
        <v>51.671388210456414</v>
      </c>
      <c r="E12" s="7">
        <f t="shared" si="1"/>
        <v>69</v>
      </c>
      <c r="F12" s="8">
        <f t="shared" si="2"/>
        <v>17.328611789543586</v>
      </c>
      <c r="G12" s="5">
        <v>30.19</v>
      </c>
      <c r="H12" s="5">
        <v>1.778</v>
      </c>
      <c r="I12" s="5">
        <v>50.23</v>
      </c>
    </row>
    <row r="13" spans="1:26" ht="15.75" customHeight="1">
      <c r="A13" s="5" t="s">
        <v>1194</v>
      </c>
      <c r="B13" s="5">
        <v>171</v>
      </c>
      <c r="C13" s="5">
        <v>16176</v>
      </c>
      <c r="D13" s="6">
        <f t="shared" si="0"/>
        <v>74.632504986002317</v>
      </c>
      <c r="E13" s="7">
        <f t="shared" si="1"/>
        <v>94</v>
      </c>
      <c r="F13" s="8">
        <f t="shared" si="2"/>
        <v>19.367495013997683</v>
      </c>
      <c r="G13" s="5">
        <v>30.37</v>
      </c>
      <c r="H13" s="5">
        <v>3.8889999999999998</v>
      </c>
      <c r="I13" s="5">
        <v>51.09</v>
      </c>
    </row>
    <row r="14" spans="1:26" ht="15.75" customHeight="1">
      <c r="A14" s="5" t="s">
        <v>1195</v>
      </c>
      <c r="B14" s="5">
        <v>235</v>
      </c>
      <c r="C14" s="5">
        <v>16082</v>
      </c>
      <c r="D14" s="6">
        <f t="shared" si="0"/>
        <v>102.56513843105579</v>
      </c>
      <c r="E14" s="7">
        <f t="shared" si="1"/>
        <v>122</v>
      </c>
      <c r="F14" s="8">
        <f t="shared" si="2"/>
        <v>19.434861568944214</v>
      </c>
      <c r="G14" s="5">
        <v>31.06</v>
      </c>
      <c r="H14" s="5">
        <v>3.778</v>
      </c>
      <c r="I14" s="5">
        <v>51.09</v>
      </c>
    </row>
    <row r="15" spans="1:26" ht="15.75" customHeight="1">
      <c r="A15" s="5" t="s">
        <v>1196</v>
      </c>
      <c r="B15" s="5">
        <v>243</v>
      </c>
      <c r="C15" s="5">
        <v>15960</v>
      </c>
      <c r="D15" s="6">
        <f t="shared" si="0"/>
        <v>106.05671761168747</v>
      </c>
      <c r="E15" s="7">
        <f t="shared" si="1"/>
        <v>101.64999999999964</v>
      </c>
      <c r="F15" s="8">
        <f t="shared" si="2"/>
        <v>-4.4067176116878386</v>
      </c>
      <c r="G15" s="5">
        <v>30.75</v>
      </c>
      <c r="H15" s="5">
        <v>3.222</v>
      </c>
      <c r="I15" s="5">
        <v>51.09</v>
      </c>
    </row>
    <row r="16" spans="1:26" ht="15.75" customHeight="1">
      <c r="A16" s="5" t="s">
        <v>1197</v>
      </c>
      <c r="B16" s="5">
        <v>201</v>
      </c>
      <c r="C16" s="5">
        <v>15858.35</v>
      </c>
      <c r="D16" s="6">
        <f t="shared" si="0"/>
        <v>87.725926913371154</v>
      </c>
      <c r="E16" s="7">
        <f t="shared" si="1"/>
        <v>106.35000000000036</v>
      </c>
      <c r="F16" s="8">
        <f t="shared" si="2"/>
        <v>18.62407308662921</v>
      </c>
      <c r="G16" s="5">
        <v>31.06</v>
      </c>
      <c r="H16" s="5">
        <v>3.3330000000000002</v>
      </c>
      <c r="I16" s="5">
        <v>51.09</v>
      </c>
    </row>
    <row r="17" spans="1:9" ht="15.75" customHeight="1">
      <c r="A17" s="5" t="s">
        <v>1198</v>
      </c>
      <c r="B17" s="5">
        <v>251</v>
      </c>
      <c r="C17" s="5">
        <v>15752</v>
      </c>
      <c r="D17" s="6">
        <f t="shared" si="0"/>
        <v>109.67066210179848</v>
      </c>
      <c r="E17" s="7">
        <f t="shared" si="1"/>
        <v>139</v>
      </c>
      <c r="F17" s="8">
        <f t="shared" si="2"/>
        <v>29.329337898201516</v>
      </c>
      <c r="G17" s="5">
        <v>31.5</v>
      </c>
      <c r="H17" s="5">
        <v>3.778</v>
      </c>
      <c r="I17" s="5">
        <v>50.8</v>
      </c>
    </row>
    <row r="18" spans="1:9" ht="15.75" customHeight="1">
      <c r="A18" s="5" t="s">
        <v>1199</v>
      </c>
      <c r="B18" s="5">
        <v>301</v>
      </c>
      <c r="C18" s="5">
        <v>15613</v>
      </c>
      <c r="D18" s="6">
        <f t="shared" si="0"/>
        <v>131.37066667126723</v>
      </c>
      <c r="E18" s="7">
        <f t="shared" si="1"/>
        <v>128</v>
      </c>
      <c r="F18" s="8">
        <f t="shared" si="2"/>
        <v>-3.3706666712672302</v>
      </c>
      <c r="G18" s="5">
        <v>31.31</v>
      </c>
      <c r="H18" s="5">
        <v>4.3330000000000002</v>
      </c>
      <c r="I18" s="5">
        <v>51.09</v>
      </c>
    </row>
    <row r="19" spans="1:9" ht="15.75" customHeight="1">
      <c r="A19" s="5" t="s">
        <v>1200</v>
      </c>
      <c r="B19" s="5">
        <v>311</v>
      </c>
      <c r="C19" s="5">
        <v>15485</v>
      </c>
      <c r="D19" s="6">
        <f t="shared" si="0"/>
        <v>135.58875280326706</v>
      </c>
      <c r="E19" s="7">
        <f t="shared" si="1"/>
        <v>179</v>
      </c>
      <c r="F19" s="8">
        <f t="shared" si="2"/>
        <v>43.411247196732944</v>
      </c>
      <c r="G19" s="5">
        <v>31.69</v>
      </c>
      <c r="H19" s="5">
        <v>5.2220000000000004</v>
      </c>
      <c r="I19" s="5">
        <v>51.37</v>
      </c>
    </row>
    <row r="20" spans="1:9" ht="15.75" customHeight="1">
      <c r="A20" s="5" t="s">
        <v>1201</v>
      </c>
      <c r="B20" s="5">
        <v>354</v>
      </c>
      <c r="C20" s="5">
        <v>15306</v>
      </c>
      <c r="D20" s="6">
        <f t="shared" si="0"/>
        <v>154.50237874295217</v>
      </c>
      <c r="E20" s="7">
        <f t="shared" si="1"/>
        <v>180.64999999999964</v>
      </c>
      <c r="F20" s="8">
        <f t="shared" si="2"/>
        <v>26.147621257047462</v>
      </c>
      <c r="G20" s="5">
        <v>32.25</v>
      </c>
      <c r="H20" s="5">
        <v>2.8889999999999998</v>
      </c>
      <c r="I20" s="5">
        <v>51.09</v>
      </c>
    </row>
    <row r="21" spans="1:9" ht="15.75" customHeight="1">
      <c r="A21" s="5" t="s">
        <v>1202</v>
      </c>
      <c r="B21" s="5">
        <v>488</v>
      </c>
      <c r="C21" s="5">
        <v>15125.35</v>
      </c>
      <c r="D21" s="6">
        <f t="shared" si="0"/>
        <v>212.28081726839858</v>
      </c>
      <c r="E21" s="7">
        <f t="shared" si="1"/>
        <v>215.35000000000036</v>
      </c>
      <c r="F21" s="8">
        <f t="shared" si="2"/>
        <v>3.069182731601785</v>
      </c>
      <c r="G21" s="5">
        <v>32.380000000000003</v>
      </c>
      <c r="H21" s="5">
        <v>1.556</v>
      </c>
      <c r="I21" s="5">
        <v>51.95</v>
      </c>
    </row>
    <row r="22" spans="1:9" ht="15.75" customHeight="1">
      <c r="A22" s="5" t="s">
        <v>1203</v>
      </c>
      <c r="B22" s="5">
        <v>593</v>
      </c>
      <c r="C22" s="5">
        <v>14910</v>
      </c>
      <c r="D22" s="6">
        <f t="shared" si="0"/>
        <v>257.95599311508272</v>
      </c>
      <c r="E22" s="7">
        <f t="shared" si="1"/>
        <v>248</v>
      </c>
      <c r="F22" s="8">
        <f t="shared" si="2"/>
        <v>-9.9559931150827197</v>
      </c>
      <c r="G22" s="5">
        <v>32.06</v>
      </c>
      <c r="H22" s="5">
        <v>3</v>
      </c>
      <c r="I22" s="5">
        <v>51.95</v>
      </c>
    </row>
    <row r="23" spans="1:9" ht="15.75" customHeight="1">
      <c r="A23" s="5" t="s">
        <v>1204</v>
      </c>
      <c r="B23" s="5">
        <v>499</v>
      </c>
      <c r="C23" s="5">
        <v>14662</v>
      </c>
      <c r="D23" s="6">
        <f t="shared" si="0"/>
        <v>217.06583569043218</v>
      </c>
      <c r="E23" s="7">
        <f t="shared" si="1"/>
        <v>276.64999999999964</v>
      </c>
      <c r="F23" s="8">
        <f t="shared" si="2"/>
        <v>59.584164309567456</v>
      </c>
      <c r="G23" s="5">
        <v>32.31</v>
      </c>
      <c r="H23" s="5">
        <v>3.778</v>
      </c>
      <c r="I23" s="5">
        <v>51.95</v>
      </c>
    </row>
    <row r="24" spans="1:9" ht="15.75" customHeight="1">
      <c r="A24" s="5" t="s">
        <v>1205</v>
      </c>
      <c r="B24" s="5">
        <v>426</v>
      </c>
      <c r="C24" s="5">
        <v>14385.35</v>
      </c>
      <c r="D24" s="6">
        <f t="shared" si="0"/>
        <v>185.72607297167767</v>
      </c>
      <c r="E24" s="7">
        <f t="shared" si="1"/>
        <v>180.35000000000036</v>
      </c>
      <c r="F24" s="8">
        <f t="shared" si="2"/>
        <v>-5.3760729716773028</v>
      </c>
      <c r="G24" s="5">
        <v>31.87</v>
      </c>
      <c r="H24" s="5">
        <v>4</v>
      </c>
      <c r="I24" s="5">
        <v>51.37</v>
      </c>
    </row>
    <row r="25" spans="1:9" ht="15.75" customHeight="1">
      <c r="A25" s="5" t="s">
        <v>1206</v>
      </c>
      <c r="B25" s="5">
        <v>382</v>
      </c>
      <c r="C25" s="5">
        <v>14205</v>
      </c>
      <c r="D25" s="6">
        <f t="shared" si="0"/>
        <v>166.17063974698414</v>
      </c>
      <c r="E25" s="7">
        <f t="shared" si="1"/>
        <v>208</v>
      </c>
      <c r="F25" s="8">
        <f t="shared" si="2"/>
        <v>41.829360253015864</v>
      </c>
      <c r="G25" s="5">
        <v>31.81</v>
      </c>
      <c r="H25" s="5">
        <v>3.1110000000000002</v>
      </c>
      <c r="I25" s="5">
        <v>51.95</v>
      </c>
    </row>
    <row r="26" spans="1:9" ht="15.75" customHeight="1">
      <c r="A26" s="5" t="s">
        <v>1207</v>
      </c>
      <c r="B26" s="5">
        <v>463</v>
      </c>
      <c r="C26" s="5">
        <v>13997</v>
      </c>
      <c r="D26" s="6">
        <f t="shared" si="0"/>
        <v>201.18784108607406</v>
      </c>
      <c r="E26" s="7">
        <f t="shared" si="1"/>
        <v>299</v>
      </c>
      <c r="F26" s="8">
        <f t="shared" si="2"/>
        <v>97.812158913925941</v>
      </c>
      <c r="G26" s="5">
        <v>32.56</v>
      </c>
      <c r="H26" s="5">
        <v>2.222</v>
      </c>
      <c r="I26" s="5">
        <v>52.23</v>
      </c>
    </row>
    <row r="27" spans="1:9" ht="15.75" customHeight="1">
      <c r="A27" s="5" t="s">
        <v>1208</v>
      </c>
      <c r="B27" s="5">
        <v>566</v>
      </c>
      <c r="C27" s="5">
        <v>13698</v>
      </c>
      <c r="D27" s="6">
        <f t="shared" si="0"/>
        <v>246.21094789736392</v>
      </c>
      <c r="E27" s="7">
        <f t="shared" si="1"/>
        <v>221.64999999999964</v>
      </c>
      <c r="F27" s="8">
        <f t="shared" si="2"/>
        <v>-24.560947897364287</v>
      </c>
      <c r="G27" s="5">
        <v>32.19</v>
      </c>
      <c r="H27" s="5">
        <v>4.2220000000000004</v>
      </c>
      <c r="I27" s="5">
        <v>51.95</v>
      </c>
    </row>
    <row r="28" spans="1:9" ht="15.75" customHeight="1">
      <c r="A28" s="5" t="s">
        <v>1209</v>
      </c>
      <c r="B28" s="5">
        <v>561</v>
      </c>
      <c r="C28" s="5">
        <v>13476.35</v>
      </c>
      <c r="D28" s="6">
        <f t="shared" si="0"/>
        <v>243.4983827849818</v>
      </c>
      <c r="E28" s="7">
        <f t="shared" si="1"/>
        <v>305</v>
      </c>
      <c r="F28" s="8">
        <f t="shared" si="2"/>
        <v>61.5016172150182</v>
      </c>
      <c r="G28" s="5">
        <v>32.630000000000003</v>
      </c>
      <c r="H28" s="5">
        <v>2.1110000000000002</v>
      </c>
      <c r="I28" s="5">
        <v>52.52</v>
      </c>
    </row>
    <row r="29" spans="1:9" ht="15.75" customHeight="1">
      <c r="A29" s="5" t="s">
        <v>1210</v>
      </c>
      <c r="B29" s="5">
        <v>468</v>
      </c>
      <c r="C29" s="5">
        <v>13171.35</v>
      </c>
      <c r="D29" s="6">
        <f t="shared" si="0"/>
        <v>203.13234071902224</v>
      </c>
      <c r="E29" s="7">
        <f t="shared" si="1"/>
        <v>243.35000000000036</v>
      </c>
      <c r="F29" s="8">
        <f t="shared" si="2"/>
        <v>40.217659280978125</v>
      </c>
      <c r="G29" s="5">
        <v>32.75</v>
      </c>
      <c r="H29" s="5">
        <v>2.8889999999999998</v>
      </c>
      <c r="I29" s="5">
        <v>52.52</v>
      </c>
    </row>
    <row r="30" spans="1:9" ht="15.75" customHeight="1">
      <c r="A30" s="5" t="s">
        <v>1211</v>
      </c>
      <c r="B30" s="5">
        <v>878</v>
      </c>
      <c r="C30" s="5">
        <v>12928</v>
      </c>
      <c r="D30" s="6">
        <f t="shared" si="0"/>
        <v>380.24885074618277</v>
      </c>
      <c r="E30" s="7">
        <f t="shared" si="1"/>
        <v>423</v>
      </c>
      <c r="F30" s="8">
        <f t="shared" si="2"/>
        <v>42.751149253817232</v>
      </c>
      <c r="G30" s="5">
        <v>32.81</v>
      </c>
      <c r="H30" s="5">
        <v>3</v>
      </c>
      <c r="I30" s="5">
        <v>53.09</v>
      </c>
    </row>
    <row r="31" spans="1:9" ht="15.75" customHeight="1">
      <c r="A31" s="5" t="s">
        <v>1212</v>
      </c>
      <c r="B31" s="5">
        <v>897</v>
      </c>
      <c r="C31" s="5">
        <v>12505</v>
      </c>
      <c r="D31" s="6">
        <f t="shared" si="0"/>
        <v>389.33698637812597</v>
      </c>
      <c r="E31" s="7">
        <f t="shared" si="1"/>
        <v>343.64999999999964</v>
      </c>
      <c r="F31" s="8">
        <f t="shared" si="2"/>
        <v>-45.686986378126335</v>
      </c>
      <c r="G31" s="5">
        <v>32.31</v>
      </c>
      <c r="H31" s="5">
        <v>4.1109999999999998</v>
      </c>
      <c r="I31" s="5">
        <v>52.52</v>
      </c>
    </row>
    <row r="32" spans="1:9" ht="15.75" customHeight="1">
      <c r="A32" s="5" t="s">
        <v>1213</v>
      </c>
      <c r="B32" s="5">
        <v>956</v>
      </c>
      <c r="C32" s="5">
        <v>12161.35</v>
      </c>
      <c r="D32" s="6">
        <f t="shared" si="0"/>
        <v>414.0295003568915</v>
      </c>
      <c r="E32" s="7">
        <f t="shared" si="1"/>
        <v>406.35000000000036</v>
      </c>
      <c r="F32" s="8">
        <f t="shared" si="2"/>
        <v>-7.6795003568911397</v>
      </c>
      <c r="G32" s="5">
        <v>31.94</v>
      </c>
      <c r="H32" s="5">
        <v>1.333</v>
      </c>
      <c r="I32" s="5">
        <v>53.09</v>
      </c>
    </row>
    <row r="33" spans="1:26" ht="15.75" customHeight="1">
      <c r="A33" s="38" t="s">
        <v>1214</v>
      </c>
      <c r="B33" s="38">
        <v>1031</v>
      </c>
      <c r="C33" s="5">
        <v>11755</v>
      </c>
      <c r="D33" s="6">
        <f t="shared" si="0"/>
        <v>446.51089421334223</v>
      </c>
      <c r="E33" s="7">
        <f t="shared" si="1"/>
        <v>439</v>
      </c>
      <c r="F33" s="8">
        <f t="shared" si="2"/>
        <v>-7.5108942133422261</v>
      </c>
      <c r="G33" s="38">
        <v>32.25</v>
      </c>
      <c r="H33" s="38">
        <v>1.6665000000000001</v>
      </c>
      <c r="I33" s="38">
        <v>53.09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5" t="s">
        <v>1215</v>
      </c>
      <c r="B34" s="5">
        <v>1106</v>
      </c>
      <c r="C34" s="5">
        <v>11316</v>
      </c>
      <c r="D34" s="6">
        <f t="shared" si="0"/>
        <v>478.99228806979295</v>
      </c>
      <c r="E34" s="7">
        <f t="shared" si="1"/>
        <v>381.64999999999964</v>
      </c>
      <c r="F34" s="8">
        <f t="shared" si="2"/>
        <v>-97.342288069793312</v>
      </c>
      <c r="G34" s="5">
        <v>32.56</v>
      </c>
      <c r="H34" s="5">
        <v>2</v>
      </c>
      <c r="I34" s="5">
        <v>53.09</v>
      </c>
    </row>
    <row r="35" spans="1:26" ht="15.75" customHeight="1">
      <c r="A35" s="5" t="s">
        <v>1216</v>
      </c>
      <c r="B35" s="5">
        <v>900</v>
      </c>
      <c r="C35" s="5">
        <v>10934.35</v>
      </c>
      <c r="D35" s="6">
        <f t="shared" si="0"/>
        <v>389.77672627740827</v>
      </c>
      <c r="E35" s="7">
        <f t="shared" si="1"/>
        <v>371</v>
      </c>
      <c r="F35" s="8">
        <f t="shared" si="2"/>
        <v>-18.776726277408272</v>
      </c>
      <c r="G35" s="5">
        <v>32.44</v>
      </c>
      <c r="H35" s="5">
        <v>3.3330000000000002</v>
      </c>
      <c r="I35" s="5">
        <v>53.09</v>
      </c>
    </row>
    <row r="36" spans="1:26" ht="15.75" customHeight="1">
      <c r="A36" s="5" t="s">
        <v>1217</v>
      </c>
      <c r="B36" s="5">
        <v>1042</v>
      </c>
      <c r="C36" s="5">
        <v>10563.35</v>
      </c>
      <c r="D36" s="6">
        <f t="shared" si="0"/>
        <v>449.75087198918482</v>
      </c>
      <c r="E36" s="7">
        <f t="shared" si="1"/>
        <v>421</v>
      </c>
      <c r="F36" s="8">
        <f t="shared" si="2"/>
        <v>-28.750871989184816</v>
      </c>
      <c r="G36" s="5">
        <v>32.75</v>
      </c>
      <c r="H36" s="5">
        <v>2.8889999999999998</v>
      </c>
      <c r="I36" s="5">
        <v>53.96</v>
      </c>
    </row>
    <row r="37" spans="1:26" ht="15.75" customHeight="1">
      <c r="A37" s="5" t="s">
        <v>1218</v>
      </c>
      <c r="B37" s="5">
        <v>890</v>
      </c>
      <c r="C37" s="5">
        <v>10142.35</v>
      </c>
      <c r="D37" s="6">
        <f t="shared" si="0"/>
        <v>386.29868213660211</v>
      </c>
      <c r="E37" s="7">
        <f t="shared" si="1"/>
        <v>369.35000000000036</v>
      </c>
      <c r="F37" s="8">
        <f t="shared" si="2"/>
        <v>-16.948682136601747</v>
      </c>
      <c r="G37" s="5">
        <v>32.380000000000003</v>
      </c>
      <c r="H37" s="5">
        <v>4.6669999999999998</v>
      </c>
      <c r="I37" s="5">
        <v>52.52</v>
      </c>
    </row>
    <row r="38" spans="1:26" ht="15.75" customHeight="1">
      <c r="A38" s="5" t="s">
        <v>1219</v>
      </c>
      <c r="B38" s="5">
        <v>792</v>
      </c>
      <c r="C38" s="5">
        <v>9773</v>
      </c>
      <c r="D38" s="6">
        <f t="shared" si="0"/>
        <v>344.14853162023894</v>
      </c>
      <c r="E38" s="7">
        <f t="shared" si="1"/>
        <v>401</v>
      </c>
      <c r="F38" s="8">
        <f t="shared" si="2"/>
        <v>56.851468379761059</v>
      </c>
      <c r="G38" s="5">
        <v>32.69</v>
      </c>
      <c r="H38" s="5">
        <v>4</v>
      </c>
      <c r="I38" s="5">
        <v>52.23</v>
      </c>
    </row>
    <row r="39" spans="1:26" ht="15.75" customHeight="1">
      <c r="A39" s="5" t="s">
        <v>1220</v>
      </c>
      <c r="B39" s="5">
        <v>855</v>
      </c>
      <c r="C39" s="5">
        <v>9372</v>
      </c>
      <c r="D39" s="6">
        <f t="shared" si="0"/>
        <v>371.10716092898292</v>
      </c>
      <c r="E39" s="7">
        <f t="shared" si="1"/>
        <v>370</v>
      </c>
      <c r="F39" s="8">
        <f t="shared" si="2"/>
        <v>-1.1071609289829212</v>
      </c>
      <c r="G39" s="5">
        <v>32.31</v>
      </c>
      <c r="H39" s="5">
        <v>2.444</v>
      </c>
      <c r="I39" s="5">
        <v>52.52</v>
      </c>
    </row>
    <row r="40" spans="1:26" ht="15.75" customHeight="1">
      <c r="A40" s="5" t="s">
        <v>1221</v>
      </c>
      <c r="B40" s="5">
        <v>746</v>
      </c>
      <c r="C40" s="5">
        <v>9002</v>
      </c>
      <c r="D40" s="6">
        <f t="shared" si="0"/>
        <v>324.51124934882245</v>
      </c>
      <c r="E40" s="7">
        <f t="shared" si="1"/>
        <v>334</v>
      </c>
      <c r="F40" s="8">
        <f t="shared" si="2"/>
        <v>9.4887506511775541</v>
      </c>
      <c r="G40" s="5">
        <v>32.25</v>
      </c>
      <c r="H40" s="5">
        <v>2.1110000000000002</v>
      </c>
      <c r="I40" s="5">
        <v>51.95</v>
      </c>
    </row>
    <row r="41" spans="1:26" ht="15.75" customHeight="1">
      <c r="A41" s="5" t="s">
        <v>1222</v>
      </c>
      <c r="B41" s="5">
        <v>719</v>
      </c>
      <c r="C41" s="5">
        <v>8668</v>
      </c>
      <c r="D41" s="6">
        <f t="shared" si="0"/>
        <v>312.42777049867652</v>
      </c>
      <c r="E41" s="7">
        <f t="shared" si="1"/>
        <v>417</v>
      </c>
      <c r="F41" s="8">
        <f t="shared" si="2"/>
        <v>104.57222950132348</v>
      </c>
      <c r="G41" s="5">
        <v>31.94</v>
      </c>
      <c r="H41" s="5">
        <v>1.333</v>
      </c>
      <c r="I41" s="5">
        <v>52.23</v>
      </c>
    </row>
    <row r="42" spans="1:26" ht="15.75" customHeight="1">
      <c r="A42" s="5" t="s">
        <v>1223</v>
      </c>
      <c r="B42" s="5">
        <v>949</v>
      </c>
      <c r="C42" s="5">
        <v>8251</v>
      </c>
      <c r="D42" s="6">
        <f t="shared" si="0"/>
        <v>411.90724645801726</v>
      </c>
      <c r="E42" s="7">
        <f t="shared" si="1"/>
        <v>428</v>
      </c>
      <c r="F42" s="8">
        <f t="shared" si="2"/>
        <v>16.092753541982745</v>
      </c>
      <c r="G42" s="5">
        <v>31.69</v>
      </c>
      <c r="H42" s="5">
        <v>0.66700000000000004</v>
      </c>
      <c r="I42" s="5">
        <v>52.52</v>
      </c>
    </row>
    <row r="43" spans="1:26" ht="15.75" customHeight="1">
      <c r="A43" s="5" t="s">
        <v>1224</v>
      </c>
      <c r="B43" s="5">
        <v>1119</v>
      </c>
      <c r="C43" s="5">
        <v>7823</v>
      </c>
      <c r="D43" s="6">
        <f t="shared" si="0"/>
        <v>484.6223963382443</v>
      </c>
      <c r="E43" s="7">
        <f t="shared" si="1"/>
        <v>415</v>
      </c>
      <c r="F43" s="8">
        <f t="shared" si="2"/>
        <v>-69.6223963382443</v>
      </c>
      <c r="G43" s="5">
        <v>31.69</v>
      </c>
      <c r="H43" s="5">
        <v>3.1110000000000002</v>
      </c>
      <c r="I43" s="5">
        <v>53.09</v>
      </c>
    </row>
    <row r="44" spans="1:26" ht="15.75" customHeight="1">
      <c r="A44" s="5" t="s">
        <v>1225</v>
      </c>
      <c r="B44" s="5">
        <v>1076</v>
      </c>
      <c r="C44" s="5">
        <v>7408</v>
      </c>
      <c r="D44" s="6">
        <f t="shared" si="0"/>
        <v>462.3639729131246</v>
      </c>
      <c r="E44" s="7">
        <f t="shared" si="1"/>
        <v>438</v>
      </c>
      <c r="F44" s="8">
        <f t="shared" si="2"/>
        <v>-24.363972913124599</v>
      </c>
      <c r="G44" s="5">
        <v>32</v>
      </c>
      <c r="H44" s="5">
        <v>0.88900000000000001</v>
      </c>
      <c r="I44" s="5">
        <v>55.1</v>
      </c>
    </row>
    <row r="45" spans="1:26" ht="15.75" customHeight="1">
      <c r="A45" s="5" t="s">
        <v>1226</v>
      </c>
      <c r="B45" s="5">
        <v>977</v>
      </c>
      <c r="C45" s="5">
        <v>6970</v>
      </c>
      <c r="D45" s="6">
        <f t="shared" si="0"/>
        <v>420.28292410647356</v>
      </c>
      <c r="E45" s="7">
        <f t="shared" si="1"/>
        <v>411</v>
      </c>
      <c r="F45" s="8">
        <f t="shared" si="2"/>
        <v>-9.2829241064735584</v>
      </c>
      <c r="G45" s="5">
        <v>31.37</v>
      </c>
      <c r="H45" s="5">
        <v>2.556</v>
      </c>
      <c r="I45" s="5">
        <v>54.82</v>
      </c>
    </row>
    <row r="46" spans="1:26" ht="15.75" customHeight="1">
      <c r="A46" s="5" t="s">
        <v>1227</v>
      </c>
      <c r="B46" s="5">
        <v>1072</v>
      </c>
      <c r="C46" s="5">
        <v>6559</v>
      </c>
      <c r="D46" s="6">
        <f t="shared" si="0"/>
        <v>465.29459241622197</v>
      </c>
      <c r="E46" s="7">
        <f t="shared" si="1"/>
        <v>409</v>
      </c>
      <c r="F46" s="8">
        <f t="shared" si="2"/>
        <v>-56.294592416221974</v>
      </c>
      <c r="G46" s="5">
        <v>31.06</v>
      </c>
      <c r="H46" s="5">
        <v>1.444</v>
      </c>
      <c r="I46" s="5">
        <v>52.52</v>
      </c>
    </row>
    <row r="47" spans="1:26" ht="15.75" customHeight="1">
      <c r="A47" s="5" t="s">
        <v>1228</v>
      </c>
      <c r="B47" s="5">
        <v>816</v>
      </c>
      <c r="C47" s="5">
        <v>6150</v>
      </c>
      <c r="D47" s="6">
        <f t="shared" si="0"/>
        <v>354.96136657994515</v>
      </c>
      <c r="E47" s="7">
        <f t="shared" si="1"/>
        <v>403</v>
      </c>
      <c r="F47" s="8">
        <f t="shared" si="2"/>
        <v>48.03863342005485</v>
      </c>
      <c r="G47" s="5">
        <v>31.63</v>
      </c>
      <c r="H47" s="5">
        <v>1.333</v>
      </c>
      <c r="I47" s="5">
        <v>51.95</v>
      </c>
    </row>
    <row r="48" spans="1:26" ht="15.75" customHeight="1">
      <c r="A48" s="5" t="s">
        <v>1229</v>
      </c>
      <c r="B48" s="5">
        <v>853</v>
      </c>
      <c r="C48" s="5">
        <v>5747</v>
      </c>
      <c r="D48" s="6">
        <f t="shared" si="0"/>
        <v>371.47227559271965</v>
      </c>
      <c r="E48" s="7">
        <f t="shared" si="1"/>
        <v>313.64699999999993</v>
      </c>
      <c r="F48" s="8">
        <f t="shared" si="2"/>
        <v>-57.82527559271972</v>
      </c>
      <c r="G48" s="5">
        <v>30.69</v>
      </c>
      <c r="H48" s="5">
        <v>2.222</v>
      </c>
      <c r="I48" s="5">
        <v>51.66</v>
      </c>
    </row>
    <row r="49" spans="1:9" ht="15.75" customHeight="1">
      <c r="A49" s="5" t="s">
        <v>1230</v>
      </c>
      <c r="B49" s="5">
        <v>796</v>
      </c>
      <c r="C49" s="5">
        <v>5433.3530000000001</v>
      </c>
      <c r="D49" s="6">
        <f t="shared" si="0"/>
        <v>346.64939199508183</v>
      </c>
      <c r="E49" s="7">
        <f t="shared" si="1"/>
        <v>361</v>
      </c>
      <c r="F49" s="8">
        <f t="shared" si="2"/>
        <v>14.350608004918172</v>
      </c>
      <c r="G49" s="5">
        <v>30.87</v>
      </c>
      <c r="H49" s="5">
        <v>1.111</v>
      </c>
      <c r="I49" s="5">
        <v>51.66</v>
      </c>
    </row>
    <row r="50" spans="1:9" ht="15.75" customHeight="1">
      <c r="A50" s="5" t="s">
        <v>1231</v>
      </c>
      <c r="B50" s="5">
        <v>893</v>
      </c>
      <c r="C50" s="5">
        <v>5072.3530000000001</v>
      </c>
      <c r="D50" s="6">
        <f t="shared" si="0"/>
        <v>388.89184302965839</v>
      </c>
      <c r="E50" s="7">
        <f t="shared" si="1"/>
        <v>353.35300000000007</v>
      </c>
      <c r="F50" s="8">
        <f t="shared" si="2"/>
        <v>-35.538843029658324</v>
      </c>
      <c r="G50" s="5">
        <v>30.13</v>
      </c>
      <c r="H50" s="5">
        <v>0.55600000000000005</v>
      </c>
      <c r="I50" s="5">
        <v>51.66</v>
      </c>
    </row>
    <row r="51" spans="1:9" ht="15.75" customHeight="1">
      <c r="A51" s="5" t="s">
        <v>1232</v>
      </c>
      <c r="B51" s="5">
        <v>979</v>
      </c>
      <c r="C51" s="5">
        <v>4719</v>
      </c>
      <c r="D51" s="6">
        <f t="shared" si="0"/>
        <v>425.86663956098818</v>
      </c>
      <c r="E51" s="7">
        <f t="shared" si="1"/>
        <v>382.64699999999993</v>
      </c>
      <c r="F51" s="8">
        <f t="shared" si="2"/>
        <v>-43.219639560988242</v>
      </c>
      <c r="G51" s="5">
        <v>29.94</v>
      </c>
      <c r="H51" s="5">
        <v>1.778</v>
      </c>
      <c r="I51" s="5">
        <v>51.95</v>
      </c>
    </row>
    <row r="52" spans="1:9" ht="15.75" customHeight="1">
      <c r="A52" s="5" t="s">
        <v>1233</v>
      </c>
      <c r="B52" s="5">
        <v>862</v>
      </c>
      <c r="C52" s="5">
        <v>4336.3530000000001</v>
      </c>
      <c r="D52" s="6">
        <f t="shared" si="0"/>
        <v>374.56569981899742</v>
      </c>
      <c r="E52" s="7">
        <f t="shared" si="1"/>
        <v>333.35300000000007</v>
      </c>
      <c r="F52" s="8">
        <f t="shared" si="2"/>
        <v>-41.212699818997351</v>
      </c>
      <c r="G52" s="5">
        <v>30</v>
      </c>
      <c r="H52" s="5">
        <v>0.66700000000000004</v>
      </c>
      <c r="I52" s="5">
        <v>52.23</v>
      </c>
    </row>
    <row r="53" spans="1:9" ht="15.75" customHeight="1">
      <c r="A53" s="5" t="s">
        <v>1234</v>
      </c>
      <c r="B53" s="5">
        <v>672</v>
      </c>
      <c r="C53" s="5">
        <v>4003</v>
      </c>
      <c r="D53" s="6">
        <f t="shared" si="0"/>
        <v>292.64873294057168</v>
      </c>
      <c r="E53" s="7">
        <f t="shared" si="1"/>
        <v>315</v>
      </c>
      <c r="F53" s="8">
        <f t="shared" si="2"/>
        <v>22.351267059428324</v>
      </c>
      <c r="G53" s="5">
        <v>29.56</v>
      </c>
      <c r="H53" s="5">
        <v>0.55600000000000005</v>
      </c>
      <c r="I53" s="5">
        <v>51.66</v>
      </c>
    </row>
    <row r="54" spans="1:9" ht="15.75" customHeight="1">
      <c r="A54" s="5" t="s">
        <v>1235</v>
      </c>
      <c r="B54" s="5">
        <v>870</v>
      </c>
      <c r="C54" s="5">
        <v>3688</v>
      </c>
      <c r="D54" s="6">
        <f t="shared" si="0"/>
        <v>373.42034150212993</v>
      </c>
      <c r="E54" s="7">
        <f t="shared" si="1"/>
        <v>298</v>
      </c>
      <c r="F54" s="8">
        <f t="shared" si="2"/>
        <v>-75.420341502129929</v>
      </c>
      <c r="G54" s="5">
        <v>29.25</v>
      </c>
      <c r="H54" s="5">
        <v>0.66700000000000004</v>
      </c>
      <c r="I54" s="5">
        <v>55.39</v>
      </c>
    </row>
    <row r="55" spans="1:9" ht="15.75" customHeight="1">
      <c r="A55" s="5" t="s">
        <v>1236</v>
      </c>
      <c r="B55" s="5">
        <v>657</v>
      </c>
      <c r="C55" s="5">
        <v>3390</v>
      </c>
      <c r="D55" s="6">
        <f t="shared" si="0"/>
        <v>282.6262857092662</v>
      </c>
      <c r="E55" s="7">
        <f t="shared" si="1"/>
        <v>313.64699999999993</v>
      </c>
      <c r="F55" s="8">
        <f t="shared" si="2"/>
        <v>31.020714290733736</v>
      </c>
      <c r="G55" s="5">
        <v>29.25</v>
      </c>
      <c r="H55" s="5">
        <v>2.222</v>
      </c>
      <c r="I55" s="5">
        <v>54.82</v>
      </c>
    </row>
    <row r="56" spans="1:9" ht="15.75" customHeight="1">
      <c r="A56" s="5" t="s">
        <v>1237</v>
      </c>
      <c r="B56" s="5">
        <v>714</v>
      </c>
      <c r="C56" s="5">
        <v>3076.3530000000001</v>
      </c>
      <c r="D56" s="6">
        <f t="shared" si="0"/>
        <v>308.87478652150537</v>
      </c>
      <c r="E56" s="7">
        <f t="shared" si="1"/>
        <v>319.35300000000007</v>
      </c>
      <c r="F56" s="8">
        <f t="shared" si="2"/>
        <v>10.478213478494695</v>
      </c>
      <c r="G56" s="5">
        <v>28.81</v>
      </c>
      <c r="H56" s="5">
        <v>0.88900000000000001</v>
      </c>
      <c r="I56" s="5">
        <v>53.38</v>
      </c>
    </row>
    <row r="57" spans="1:9" ht="15.75" customHeight="1">
      <c r="A57" s="5" t="s">
        <v>1238</v>
      </c>
      <c r="B57" s="5">
        <v>722</v>
      </c>
      <c r="C57" s="5">
        <v>2757</v>
      </c>
      <c r="D57" s="6">
        <f t="shared" si="0"/>
        <v>312.68755152476535</v>
      </c>
      <c r="E57" s="7">
        <f t="shared" si="1"/>
        <v>309</v>
      </c>
      <c r="F57" s="8">
        <f t="shared" si="2"/>
        <v>-3.6875515247653539</v>
      </c>
      <c r="G57" s="5">
        <v>28.56</v>
      </c>
      <c r="H57" s="5">
        <v>1</v>
      </c>
      <c r="I57" s="5">
        <v>53.09</v>
      </c>
    </row>
    <row r="58" spans="1:9" ht="15.75" customHeight="1">
      <c r="A58" s="5" t="s">
        <v>1239</v>
      </c>
      <c r="B58" s="5">
        <v>674</v>
      </c>
      <c r="C58" s="5">
        <v>2448</v>
      </c>
      <c r="D58" s="6">
        <f t="shared" si="0"/>
        <v>290.59645971247687</v>
      </c>
      <c r="E58" s="7">
        <f t="shared" si="1"/>
        <v>290</v>
      </c>
      <c r="F58" s="8">
        <f t="shared" si="2"/>
        <v>-0.59645971247687157</v>
      </c>
      <c r="G58" s="5">
        <v>28.63</v>
      </c>
      <c r="H58" s="5">
        <v>1.556</v>
      </c>
      <c r="I58" s="5">
        <v>54.24</v>
      </c>
    </row>
    <row r="59" spans="1:9" ht="15.75" customHeight="1">
      <c r="A59" s="5" t="s">
        <v>1240</v>
      </c>
      <c r="B59" s="5">
        <v>628</v>
      </c>
      <c r="C59" s="5">
        <v>2158</v>
      </c>
      <c r="D59" s="6">
        <f t="shared" si="0"/>
        <v>270.45730988381416</v>
      </c>
      <c r="E59" s="7">
        <f t="shared" si="1"/>
        <v>275</v>
      </c>
      <c r="F59" s="8">
        <f t="shared" si="2"/>
        <v>4.5426901161858382</v>
      </c>
      <c r="G59" s="5">
        <v>27.88</v>
      </c>
      <c r="H59" s="5">
        <v>1</v>
      </c>
      <c r="I59" s="5">
        <v>54.53</v>
      </c>
    </row>
    <row r="60" spans="1:9" ht="15.75" customHeight="1">
      <c r="A60" s="5" t="s">
        <v>1241</v>
      </c>
      <c r="B60" s="5">
        <v>598</v>
      </c>
      <c r="C60" s="5">
        <v>1883</v>
      </c>
      <c r="D60" s="6">
        <f t="shared" si="0"/>
        <v>257.82890639178208</v>
      </c>
      <c r="E60" s="7">
        <f t="shared" si="1"/>
        <v>254.64699999999993</v>
      </c>
      <c r="F60" s="8">
        <f t="shared" si="2"/>
        <v>-3.1819063917821495</v>
      </c>
      <c r="G60" s="5">
        <v>27.75</v>
      </c>
      <c r="H60" s="5">
        <v>1.333</v>
      </c>
      <c r="I60" s="5">
        <v>54.24</v>
      </c>
    </row>
    <row r="61" spans="1:9" ht="15.75" customHeight="1">
      <c r="A61" s="5" t="s">
        <v>1242</v>
      </c>
      <c r="B61" s="5">
        <v>562</v>
      </c>
      <c r="C61" s="5">
        <v>1628.3530000000001</v>
      </c>
      <c r="D61" s="6">
        <f t="shared" si="0"/>
        <v>242.57196742602869</v>
      </c>
      <c r="E61" s="7">
        <f t="shared" si="1"/>
        <v>237.35300000000007</v>
      </c>
      <c r="F61" s="8">
        <f t="shared" si="2"/>
        <v>-5.2189674260286267</v>
      </c>
      <c r="G61" s="5">
        <v>28</v>
      </c>
      <c r="H61" s="5">
        <v>1</v>
      </c>
      <c r="I61" s="5">
        <v>53.96</v>
      </c>
    </row>
    <row r="62" spans="1:9" ht="15.75" customHeight="1">
      <c r="A62" s="5" t="s">
        <v>1243</v>
      </c>
      <c r="B62" s="5">
        <v>528</v>
      </c>
      <c r="C62" s="5">
        <v>1391</v>
      </c>
      <c r="D62" s="6">
        <f t="shared" si="0"/>
        <v>228.15420092945214</v>
      </c>
      <c r="E62" s="7">
        <f t="shared" si="1"/>
        <v>224.64699999999993</v>
      </c>
      <c r="F62" s="8">
        <f t="shared" si="2"/>
        <v>-3.5072009294522104</v>
      </c>
      <c r="G62" s="5">
        <v>27.06</v>
      </c>
      <c r="H62" s="5">
        <v>0.55600000000000005</v>
      </c>
      <c r="I62" s="5">
        <v>53.67</v>
      </c>
    </row>
    <row r="63" spans="1:9" ht="15.75" customHeight="1">
      <c r="A63" s="5" t="s">
        <v>1244</v>
      </c>
      <c r="B63" s="5">
        <v>485</v>
      </c>
      <c r="C63" s="5">
        <v>1166.3530000000001</v>
      </c>
      <c r="D63" s="6">
        <f t="shared" si="0"/>
        <v>210.27463666261923</v>
      </c>
      <c r="E63" s="7">
        <f t="shared" si="1"/>
        <v>207.35300000000007</v>
      </c>
      <c r="F63" s="8">
        <f t="shared" si="2"/>
        <v>-2.9216366626191643</v>
      </c>
      <c r="G63" s="5">
        <v>27.13</v>
      </c>
      <c r="H63" s="5">
        <v>0.77800000000000002</v>
      </c>
      <c r="I63" s="5">
        <v>52.81</v>
      </c>
    </row>
    <row r="64" spans="1:9" ht="15.75" customHeight="1">
      <c r="A64" s="5" t="s">
        <v>1245</v>
      </c>
      <c r="B64" s="5">
        <v>464</v>
      </c>
      <c r="C64" s="5">
        <v>959</v>
      </c>
      <c r="D64" s="6">
        <f t="shared" si="0"/>
        <v>201.8407770748708</v>
      </c>
      <c r="E64" s="7">
        <f t="shared" si="1"/>
        <v>192</v>
      </c>
      <c r="F64" s="8">
        <f t="shared" si="2"/>
        <v>-9.8407770748708003</v>
      </c>
      <c r="G64" s="5">
        <v>27.5</v>
      </c>
      <c r="H64" s="5">
        <v>0.66700000000000004</v>
      </c>
      <c r="I64" s="5">
        <v>51.95</v>
      </c>
    </row>
    <row r="65" spans="1:26" ht="15.75" customHeight="1">
      <c r="A65" s="5" t="s">
        <v>1246</v>
      </c>
      <c r="B65" s="5">
        <v>411</v>
      </c>
      <c r="C65" s="5">
        <v>767</v>
      </c>
      <c r="D65" s="6">
        <f t="shared" si="0"/>
        <v>179.3798804049529</v>
      </c>
      <c r="E65" s="7">
        <f t="shared" si="1"/>
        <v>179</v>
      </c>
      <c r="F65" s="8">
        <f t="shared" si="2"/>
        <v>-0.37988040495289965</v>
      </c>
      <c r="G65" s="5">
        <v>26.31</v>
      </c>
      <c r="H65" s="5">
        <v>0.55600000000000005</v>
      </c>
      <c r="I65" s="5">
        <v>51.09</v>
      </c>
    </row>
    <row r="66" spans="1:26" ht="15.75" customHeight="1">
      <c r="A66" s="5" t="s">
        <v>1247</v>
      </c>
      <c r="B66" s="5">
        <v>389</v>
      </c>
      <c r="C66" s="5">
        <v>588</v>
      </c>
      <c r="D66" s="6">
        <f t="shared" si="0"/>
        <v>171.65483807670708</v>
      </c>
      <c r="E66" s="7">
        <f t="shared" si="1"/>
        <v>145.64699999999999</v>
      </c>
      <c r="F66" s="8">
        <f t="shared" si="2"/>
        <v>-26.007838076707088</v>
      </c>
      <c r="G66" s="5">
        <v>26.13</v>
      </c>
      <c r="H66" s="5">
        <v>0.66700000000000004</v>
      </c>
      <c r="I66" s="5">
        <v>48.22</v>
      </c>
    </row>
    <row r="67" spans="1:26" ht="15.75" customHeight="1">
      <c r="A67" s="5" t="s">
        <v>1248</v>
      </c>
      <c r="B67" s="5">
        <v>118</v>
      </c>
      <c r="C67" s="5">
        <v>442.35300000000001</v>
      </c>
      <c r="D67" s="6">
        <f t="shared" si="0"/>
        <v>53.208729541941864</v>
      </c>
      <c r="E67" s="7">
        <f t="shared" si="1"/>
        <v>64</v>
      </c>
      <c r="F67" s="8">
        <f t="shared" si="2"/>
        <v>10.791270458058136</v>
      </c>
      <c r="G67" s="5">
        <v>25.43</v>
      </c>
      <c r="H67" s="5">
        <v>0.55600000000000005</v>
      </c>
      <c r="I67" s="5">
        <v>42.48</v>
      </c>
    </row>
    <row r="68" spans="1:26" ht="15.75" customHeight="1">
      <c r="A68" s="5" t="s">
        <v>1249</v>
      </c>
      <c r="B68" s="5">
        <v>262</v>
      </c>
      <c r="C68" s="5">
        <v>378.35300000000001</v>
      </c>
      <c r="D68" s="6">
        <f t="shared" si="0"/>
        <v>117.63931353310539</v>
      </c>
      <c r="E68" s="7">
        <f t="shared" si="1"/>
        <v>103</v>
      </c>
      <c r="F68" s="8">
        <f t="shared" si="2"/>
        <v>-14.639313533105394</v>
      </c>
      <c r="G68" s="5">
        <v>25.56</v>
      </c>
      <c r="H68" s="5">
        <v>1</v>
      </c>
      <c r="I68" s="5">
        <v>43.62</v>
      </c>
    </row>
    <row r="69" spans="1:26" ht="15.75" customHeight="1">
      <c r="A69" s="5" t="s">
        <v>1250</v>
      </c>
      <c r="B69" s="5">
        <v>223</v>
      </c>
      <c r="C69" s="5">
        <v>275.35300000000001</v>
      </c>
      <c r="D69" s="6">
        <f t="shared" si="0"/>
        <v>100.23308421028842</v>
      </c>
      <c r="E69" s="7">
        <f t="shared" si="1"/>
        <v>85</v>
      </c>
      <c r="F69" s="8">
        <f t="shared" si="2"/>
        <v>-15.233084210288425</v>
      </c>
      <c r="G69" s="5">
        <v>25.18</v>
      </c>
      <c r="H69" s="5">
        <v>1.222</v>
      </c>
      <c r="I69" s="5">
        <v>43.34</v>
      </c>
    </row>
    <row r="70" spans="1:26" ht="15.75" customHeight="1">
      <c r="A70" s="5" t="s">
        <v>1251</v>
      </c>
      <c r="B70" s="5">
        <v>190</v>
      </c>
      <c r="C70" s="5">
        <v>190.35300000000001</v>
      </c>
      <c r="D70" s="6">
        <f t="shared" si="0"/>
        <v>87.326391077558824</v>
      </c>
      <c r="E70" s="7">
        <f t="shared" si="1"/>
        <v>74.353000000000009</v>
      </c>
      <c r="F70" s="8">
        <f t="shared" si="2"/>
        <v>-12.973391077558816</v>
      </c>
      <c r="G70" s="5">
        <v>24.56</v>
      </c>
      <c r="H70" s="5">
        <v>0.55600000000000005</v>
      </c>
      <c r="I70" s="5">
        <v>37.31</v>
      </c>
    </row>
    <row r="71" spans="1:26" ht="15.75" customHeight="1">
      <c r="A71" s="5" t="s">
        <v>1252</v>
      </c>
      <c r="B71" s="5">
        <v>185</v>
      </c>
      <c r="C71" s="5">
        <v>116</v>
      </c>
      <c r="D71" s="6">
        <f t="shared" si="0"/>
        <v>86.278542203919244</v>
      </c>
      <c r="E71" s="7">
        <f t="shared" si="1"/>
        <v>56</v>
      </c>
      <c r="F71" s="8">
        <f t="shared" si="2"/>
        <v>-30.278542203919244</v>
      </c>
      <c r="G71" s="5">
        <v>23.81</v>
      </c>
      <c r="H71" s="5">
        <v>1.333</v>
      </c>
      <c r="I71" s="5">
        <v>33.29</v>
      </c>
    </row>
    <row r="72" spans="1:26" ht="15.75" customHeight="1">
      <c r="A72" s="5" t="s">
        <v>1253</v>
      </c>
      <c r="B72" s="5">
        <v>84</v>
      </c>
      <c r="C72" s="5">
        <v>60</v>
      </c>
      <c r="D72" s="6">
        <f t="shared" si="0"/>
        <v>39.619933802480837</v>
      </c>
      <c r="E72" s="7">
        <f t="shared" si="1"/>
        <v>31</v>
      </c>
      <c r="F72" s="8">
        <f t="shared" si="2"/>
        <v>-8.619933802480837</v>
      </c>
      <c r="G72" s="5">
        <v>23</v>
      </c>
      <c r="H72" s="5">
        <v>0.77800000000000002</v>
      </c>
      <c r="I72" s="5">
        <v>30.14</v>
      </c>
    </row>
    <row r="73" spans="1:26" ht="15.75" customHeight="1">
      <c r="A73" s="5" t="s">
        <v>1254</v>
      </c>
      <c r="B73" s="5">
        <v>59</v>
      </c>
      <c r="C73" s="5">
        <v>29</v>
      </c>
      <c r="D73" s="6">
        <f t="shared" si="0"/>
        <v>28.085171614782407</v>
      </c>
      <c r="E73" s="7">
        <f t="shared" si="1"/>
        <v>20</v>
      </c>
      <c r="F73" s="8">
        <f t="shared" si="2"/>
        <v>-8.0851716147824071</v>
      </c>
      <c r="G73" s="5">
        <v>22.44</v>
      </c>
      <c r="H73" s="5">
        <v>0.77800000000000002</v>
      </c>
      <c r="I73" s="5">
        <v>27.55</v>
      </c>
    </row>
    <row r="74" spans="1:26" ht="15.75" customHeight="1">
      <c r="A74" s="5" t="s">
        <v>1255</v>
      </c>
      <c r="B74" s="5">
        <v>27</v>
      </c>
      <c r="C74" s="5">
        <v>9</v>
      </c>
      <c r="D74" s="6">
        <f t="shared" si="0"/>
        <v>12.917442394308461</v>
      </c>
      <c r="E74" s="7">
        <f t="shared" si="1"/>
        <v>9</v>
      </c>
      <c r="F74" s="8">
        <f t="shared" si="2"/>
        <v>-3.9174423943084609</v>
      </c>
      <c r="G74" s="5">
        <v>22.19</v>
      </c>
      <c r="H74" s="5">
        <v>0.66700000000000004</v>
      </c>
      <c r="I74" s="5">
        <v>26.12</v>
      </c>
    </row>
    <row r="75" spans="1:26" ht="15.75" customHeight="1">
      <c r="A75" s="9"/>
      <c r="B75" s="10" t="s">
        <v>9</v>
      </c>
      <c r="C75" s="11"/>
      <c r="D75" s="12" t="s">
        <v>10</v>
      </c>
      <c r="E75" s="11"/>
      <c r="F75" s="11"/>
      <c r="G75" s="13" t="s">
        <v>11</v>
      </c>
      <c r="H75" s="13" t="s">
        <v>11</v>
      </c>
      <c r="I75" s="13" t="s">
        <v>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9"/>
      <c r="B76" s="15">
        <f>SUM(B1:B74)/6000</f>
        <v>6.3081666666666667</v>
      </c>
      <c r="C76" s="11"/>
      <c r="D76" s="16">
        <f>SUM(D2:D75)</f>
        <v>16446.876297955172</v>
      </c>
      <c r="E76" s="15">
        <f>SUM(E1:E74)</f>
        <v>16492</v>
      </c>
      <c r="F76" s="11"/>
      <c r="G76" s="17">
        <f t="shared" ref="G76:I76" si="3">AVERAGE(G1:G74)</f>
        <v>29.830273972602747</v>
      </c>
      <c r="H76" s="17">
        <f t="shared" si="3"/>
        <v>2.146157534246576</v>
      </c>
      <c r="I76" s="17">
        <f t="shared" si="3"/>
        <v>49.639452054794504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8"/>
      <c r="B77" s="19"/>
      <c r="C77" s="20"/>
      <c r="D77" s="21"/>
      <c r="E77" s="22"/>
      <c r="F77" s="23"/>
    </row>
    <row r="78" spans="1:26" ht="15.75" customHeight="1">
      <c r="A78" s="18"/>
      <c r="B78" s="19"/>
      <c r="C78" s="20"/>
      <c r="D78" s="21"/>
      <c r="E78" s="21"/>
      <c r="F78" s="23"/>
    </row>
    <row r="79" spans="1:26" ht="15.75" customHeight="1">
      <c r="A79" s="18"/>
      <c r="B79" s="19"/>
      <c r="C79" s="20"/>
      <c r="D79" s="21"/>
      <c r="E79" s="21"/>
      <c r="F79" s="23"/>
    </row>
    <row r="80" spans="1:26" ht="15.75" customHeight="1">
      <c r="A80" s="18"/>
      <c r="B80" s="19"/>
      <c r="C80" s="20"/>
      <c r="D80" s="21"/>
      <c r="E80" s="21"/>
      <c r="F80" s="23"/>
    </row>
    <row r="81" spans="1:6" ht="15.75" customHeight="1">
      <c r="A81" s="18"/>
      <c r="B81" s="19"/>
      <c r="C81" s="20"/>
      <c r="D81" s="21"/>
      <c r="E81" s="21"/>
      <c r="F81" s="23"/>
    </row>
    <row r="82" spans="1:6" ht="15.75" customHeight="1">
      <c r="A82" s="18"/>
      <c r="B82" s="19"/>
      <c r="C82" s="20"/>
      <c r="D82" s="21"/>
      <c r="E82" s="21"/>
      <c r="F82" s="23"/>
    </row>
    <row r="83" spans="1:6" ht="15.75" customHeight="1">
      <c r="A83" s="18"/>
      <c r="B83" s="19"/>
      <c r="C83" s="20"/>
      <c r="D83" s="21"/>
      <c r="E83" s="21"/>
      <c r="F83" s="23"/>
    </row>
    <row r="84" spans="1:6" ht="15.75" customHeight="1">
      <c r="A84" s="18"/>
      <c r="B84" s="19"/>
      <c r="C84" s="20"/>
      <c r="D84" s="21"/>
      <c r="E84" s="21"/>
      <c r="F84" s="23"/>
    </row>
    <row r="85" spans="1:6" ht="15.75" customHeight="1">
      <c r="A85" s="18"/>
      <c r="B85" s="19"/>
      <c r="C85" s="20"/>
      <c r="D85" s="21"/>
      <c r="E85" s="21"/>
      <c r="F85" s="23"/>
    </row>
    <row r="86" spans="1:6" ht="15.75" customHeight="1">
      <c r="A86" s="18"/>
      <c r="B86" s="19"/>
      <c r="C86" s="20"/>
      <c r="D86" s="21"/>
      <c r="E86" s="21"/>
      <c r="F86" s="23"/>
    </row>
    <row r="87" spans="1:6" ht="15.75" customHeight="1">
      <c r="A87" s="18"/>
      <c r="B87" s="19"/>
      <c r="C87" s="20"/>
      <c r="D87" s="21"/>
      <c r="E87" s="21"/>
      <c r="F87" s="23"/>
    </row>
    <row r="88" spans="1:6" ht="15.75" customHeight="1">
      <c r="A88" s="18"/>
      <c r="B88" s="19"/>
      <c r="C88" s="20"/>
      <c r="D88" s="21"/>
      <c r="E88" s="21"/>
      <c r="F88" s="23"/>
    </row>
    <row r="89" spans="1:6" ht="15.75" customHeight="1">
      <c r="A89" s="18"/>
      <c r="B89" s="19"/>
      <c r="C89" s="20"/>
      <c r="D89" s="21"/>
      <c r="E89" s="21"/>
      <c r="F89" s="23"/>
    </row>
    <row r="90" spans="1:6" ht="15.75" customHeight="1">
      <c r="A90" s="18"/>
      <c r="B90" s="19"/>
      <c r="C90" s="20"/>
      <c r="D90" s="21"/>
      <c r="E90" s="21"/>
      <c r="F90" s="23"/>
    </row>
    <row r="91" spans="1:6" ht="15.75" customHeight="1">
      <c r="A91" s="18"/>
      <c r="B91" s="19"/>
      <c r="C91" s="20"/>
      <c r="D91" s="21"/>
      <c r="E91" s="21"/>
      <c r="F91" s="23"/>
    </row>
    <row r="92" spans="1:6" ht="15.75" customHeight="1">
      <c r="A92" s="18"/>
      <c r="B92" s="19"/>
      <c r="C92" s="20"/>
      <c r="D92" s="21"/>
      <c r="E92" s="21"/>
      <c r="F92" s="23"/>
    </row>
    <row r="93" spans="1:6" ht="15.75" customHeight="1">
      <c r="A93" s="18"/>
      <c r="B93" s="19"/>
      <c r="C93" s="20"/>
      <c r="D93" s="21"/>
      <c r="E93" s="21"/>
      <c r="F93" s="23"/>
    </row>
    <row r="94" spans="1:6" ht="15.75" customHeight="1">
      <c r="A94" s="18"/>
      <c r="B94" s="19"/>
      <c r="C94" s="20"/>
      <c r="D94" s="21"/>
      <c r="E94" s="21"/>
      <c r="F94" s="23"/>
    </row>
    <row r="95" spans="1:6" ht="15.75" customHeight="1">
      <c r="A95" s="18"/>
      <c r="B95" s="19"/>
      <c r="C95" s="20"/>
      <c r="D95" s="21"/>
      <c r="E95" s="21"/>
      <c r="F95" s="23"/>
    </row>
    <row r="96" spans="1:6" ht="15.75" customHeight="1">
      <c r="A96" s="18"/>
      <c r="B96" s="19"/>
      <c r="C96" s="20"/>
      <c r="D96" s="21"/>
      <c r="E96" s="21"/>
      <c r="F96" s="23"/>
    </row>
    <row r="97" spans="1:6" ht="15.75" customHeight="1">
      <c r="A97" s="18"/>
      <c r="B97" s="19"/>
      <c r="C97" s="20"/>
      <c r="D97" s="21"/>
      <c r="E97" s="21"/>
      <c r="F97" s="23"/>
    </row>
    <row r="98" spans="1:6" ht="15.75" customHeight="1">
      <c r="A98" s="18"/>
      <c r="B98" s="19"/>
      <c r="C98" s="20"/>
      <c r="D98" s="21"/>
      <c r="E98" s="21"/>
      <c r="F98" s="23"/>
    </row>
    <row r="99" spans="1:6" ht="15.75" customHeight="1">
      <c r="A99" s="18"/>
      <c r="B99" s="19"/>
      <c r="C99" s="20"/>
      <c r="D99" s="21"/>
      <c r="E99" s="21"/>
      <c r="F99" s="23"/>
    </row>
    <row r="100" spans="1:6" ht="15.75" customHeight="1">
      <c r="A100" s="18"/>
      <c r="B100" s="19"/>
      <c r="C100" s="20"/>
      <c r="D100" s="21"/>
      <c r="E100" s="21"/>
      <c r="F100" s="23"/>
    </row>
    <row r="101" spans="1:6" ht="15.75" customHeight="1">
      <c r="A101" s="18"/>
      <c r="B101" s="19"/>
      <c r="C101" s="20"/>
      <c r="D101" s="21"/>
      <c r="E101" s="21"/>
      <c r="F101" s="23"/>
    </row>
    <row r="102" spans="1:6" ht="15.75" customHeight="1">
      <c r="A102" s="18"/>
      <c r="B102" s="19"/>
      <c r="C102" s="20"/>
      <c r="D102" s="21"/>
      <c r="E102" s="21"/>
      <c r="F102" s="23"/>
    </row>
    <row r="103" spans="1:6" ht="15.75" customHeight="1">
      <c r="A103" s="18"/>
      <c r="B103" s="19"/>
      <c r="C103" s="20"/>
      <c r="D103" s="21"/>
      <c r="E103" s="21"/>
      <c r="F103" s="23"/>
    </row>
    <row r="104" spans="1:6" ht="15.75" customHeight="1">
      <c r="A104" s="18"/>
      <c r="B104" s="19"/>
      <c r="C104" s="20"/>
      <c r="D104" s="21"/>
      <c r="E104" s="21"/>
      <c r="F104" s="23"/>
    </row>
    <row r="105" spans="1:6" ht="15.75" customHeight="1">
      <c r="A105" s="18"/>
      <c r="B105" s="19"/>
      <c r="C105" s="20"/>
      <c r="D105" s="21"/>
      <c r="E105" s="21"/>
      <c r="F105" s="23"/>
    </row>
    <row r="106" spans="1:6" ht="15.75" customHeight="1">
      <c r="A106" s="18"/>
      <c r="B106" s="19"/>
      <c r="C106" s="20"/>
      <c r="D106" s="21"/>
      <c r="E106" s="21"/>
      <c r="F106" s="23"/>
    </row>
    <row r="107" spans="1:6" ht="15.75" customHeight="1">
      <c r="A107" s="18"/>
      <c r="B107" s="19"/>
      <c r="C107" s="20"/>
      <c r="D107" s="21"/>
      <c r="E107" s="21"/>
      <c r="F107" s="23"/>
    </row>
    <row r="108" spans="1:6" ht="15.75" customHeight="1">
      <c r="A108" s="18"/>
      <c r="B108" s="19"/>
      <c r="C108" s="20"/>
      <c r="D108" s="21"/>
      <c r="E108" s="21"/>
      <c r="F108" s="23"/>
    </row>
    <row r="109" spans="1:6" ht="15.75" customHeight="1">
      <c r="A109" s="18"/>
      <c r="B109" s="19"/>
      <c r="C109" s="20"/>
      <c r="D109" s="21"/>
      <c r="E109" s="21"/>
      <c r="F109" s="23"/>
    </row>
    <row r="110" spans="1:6" ht="15.75" customHeight="1">
      <c r="A110" s="18"/>
      <c r="B110" s="19"/>
      <c r="C110" s="20"/>
      <c r="D110" s="21"/>
      <c r="E110" s="21"/>
      <c r="F110" s="23"/>
    </row>
    <row r="111" spans="1:6" ht="15.75" customHeight="1">
      <c r="A111" s="18"/>
      <c r="B111" s="19"/>
      <c r="C111" s="20"/>
      <c r="D111" s="21"/>
      <c r="E111" s="21"/>
      <c r="F111" s="23"/>
    </row>
    <row r="112" spans="1:6" ht="15.75" customHeight="1">
      <c r="A112" s="18"/>
      <c r="B112" s="19"/>
      <c r="C112" s="20"/>
      <c r="D112" s="21"/>
      <c r="E112" s="21"/>
      <c r="F112" s="23"/>
    </row>
    <row r="113" spans="1:6" ht="15.75" customHeight="1">
      <c r="A113" s="18"/>
      <c r="B113" s="19"/>
      <c r="C113" s="20"/>
      <c r="D113" s="21"/>
      <c r="E113" s="21"/>
      <c r="F113" s="23"/>
    </row>
    <row r="114" spans="1:6" ht="15.75" customHeight="1">
      <c r="A114" s="18"/>
      <c r="B114" s="19"/>
      <c r="C114" s="20"/>
      <c r="D114" s="21"/>
      <c r="E114" s="21"/>
      <c r="F114" s="23"/>
    </row>
    <row r="115" spans="1:6" ht="15.75" customHeight="1">
      <c r="A115" s="18"/>
      <c r="B115" s="19"/>
      <c r="C115" s="20"/>
      <c r="D115" s="21"/>
      <c r="E115" s="21"/>
      <c r="F115" s="23"/>
    </row>
    <row r="116" spans="1:6" ht="15.75" customHeight="1">
      <c r="A116" s="18"/>
      <c r="B116" s="19"/>
      <c r="C116" s="20"/>
      <c r="D116" s="21"/>
      <c r="E116" s="21"/>
      <c r="F116" s="23"/>
    </row>
    <row r="117" spans="1:6" ht="15.75" customHeight="1">
      <c r="A117" s="19"/>
      <c r="B117" s="19"/>
      <c r="C117" s="19"/>
      <c r="D117" s="19"/>
      <c r="E117" s="19"/>
      <c r="F117" s="23"/>
    </row>
    <row r="118" spans="1:6" ht="15.75" customHeight="1">
      <c r="F118" s="24"/>
    </row>
    <row r="119" spans="1:6" ht="15.75" customHeight="1">
      <c r="F119" s="24"/>
    </row>
    <row r="120" spans="1:6" ht="15.75" customHeight="1">
      <c r="F120" s="24"/>
    </row>
    <row r="121" spans="1:6" ht="15.75" customHeight="1">
      <c r="F121" s="24"/>
    </row>
    <row r="122" spans="1:6" ht="15.75" customHeight="1">
      <c r="F122" s="24"/>
    </row>
    <row r="123" spans="1:6" ht="15.75" customHeight="1">
      <c r="F123" s="24"/>
    </row>
    <row r="124" spans="1:6" ht="15.75" customHeight="1">
      <c r="F124" s="24"/>
    </row>
    <row r="125" spans="1:6" ht="15.75" customHeight="1">
      <c r="F125" s="24"/>
    </row>
    <row r="126" spans="1:6" ht="15.75" customHeight="1">
      <c r="F126" s="24"/>
    </row>
    <row r="127" spans="1:6" ht="15.75" customHeight="1">
      <c r="F127" s="24"/>
    </row>
    <row r="128" spans="1:6" ht="15.75" customHeight="1">
      <c r="F128" s="24"/>
    </row>
    <row r="129" spans="6:6" ht="15.75" customHeight="1">
      <c r="F129" s="24"/>
    </row>
    <row r="130" spans="6:6" ht="15.75" customHeight="1">
      <c r="F130" s="24"/>
    </row>
    <row r="131" spans="6:6" ht="15.75" customHeight="1">
      <c r="F131" s="24"/>
    </row>
    <row r="132" spans="6:6" ht="15.75" customHeight="1">
      <c r="F132" s="24"/>
    </row>
    <row r="133" spans="6:6" ht="15.75" customHeight="1">
      <c r="F133" s="24"/>
    </row>
    <row r="134" spans="6:6" ht="15.75" customHeight="1">
      <c r="F134" s="24"/>
    </row>
    <row r="135" spans="6:6" ht="15.75" customHeight="1">
      <c r="F135" s="24"/>
    </row>
    <row r="136" spans="6:6" ht="15.75" customHeight="1">
      <c r="F136" s="24"/>
    </row>
    <row r="137" spans="6:6" ht="15.75" customHeight="1">
      <c r="F137" s="24"/>
    </row>
    <row r="138" spans="6:6" ht="15.75" customHeight="1">
      <c r="F138" s="24"/>
    </row>
    <row r="139" spans="6:6" ht="15.75" customHeight="1">
      <c r="F139" s="24"/>
    </row>
    <row r="140" spans="6:6" ht="15.75" customHeight="1">
      <c r="F140" s="24"/>
    </row>
    <row r="141" spans="6:6" ht="15.75" customHeight="1">
      <c r="F141" s="24"/>
    </row>
    <row r="142" spans="6:6" ht="15.75" customHeight="1">
      <c r="F142" s="24"/>
    </row>
    <row r="143" spans="6:6" ht="15.75" customHeight="1">
      <c r="F143" s="24"/>
    </row>
    <row r="144" spans="6:6" ht="15.75" customHeight="1">
      <c r="F144" s="24"/>
    </row>
    <row r="145" spans="6:6" ht="15.75" customHeight="1">
      <c r="F145" s="24"/>
    </row>
    <row r="146" spans="6:6" ht="15.75" customHeight="1">
      <c r="F146" s="24"/>
    </row>
    <row r="147" spans="6:6" ht="15.75" customHeight="1">
      <c r="F147" s="24"/>
    </row>
    <row r="148" spans="6:6" ht="15.75" customHeight="1">
      <c r="F148" s="24"/>
    </row>
    <row r="149" spans="6:6" ht="15.75" customHeight="1">
      <c r="F149" s="24"/>
    </row>
    <row r="150" spans="6:6" ht="15.75" customHeight="1">
      <c r="F150" s="24"/>
    </row>
    <row r="151" spans="6:6" ht="15.75" customHeight="1">
      <c r="F151" s="24"/>
    </row>
    <row r="152" spans="6:6" ht="15.75" customHeight="1">
      <c r="F152" s="24"/>
    </row>
    <row r="153" spans="6:6" ht="15.75" customHeight="1">
      <c r="F153" s="24"/>
    </row>
    <row r="154" spans="6:6" ht="15.75" customHeight="1">
      <c r="F154" s="24"/>
    </row>
    <row r="155" spans="6:6" ht="15.75" customHeight="1">
      <c r="F155" s="24"/>
    </row>
    <row r="156" spans="6:6" ht="15.75" customHeight="1">
      <c r="F156" s="24"/>
    </row>
    <row r="157" spans="6:6" ht="15.75" customHeight="1">
      <c r="F157" s="24"/>
    </row>
    <row r="158" spans="6:6" ht="15.75" customHeight="1">
      <c r="F158" s="24"/>
    </row>
    <row r="159" spans="6:6" ht="15.75" customHeight="1">
      <c r="F159" s="24"/>
    </row>
    <row r="160" spans="6:6" ht="15.75" customHeight="1">
      <c r="F160" s="24"/>
    </row>
    <row r="161" spans="6:6" ht="15.75" customHeight="1">
      <c r="F161" s="24"/>
    </row>
    <row r="162" spans="6:6" ht="15.75" customHeight="1">
      <c r="F162" s="24"/>
    </row>
    <row r="163" spans="6:6" ht="15.75" customHeight="1">
      <c r="F163" s="24"/>
    </row>
    <row r="164" spans="6:6" ht="15.75" customHeight="1">
      <c r="F164" s="24"/>
    </row>
    <row r="165" spans="6:6" ht="15.75" customHeight="1">
      <c r="F165" s="24"/>
    </row>
    <row r="166" spans="6:6" ht="15.75" customHeight="1">
      <c r="F166" s="24"/>
    </row>
    <row r="167" spans="6:6" ht="15.75" customHeight="1">
      <c r="F167" s="24"/>
    </row>
    <row r="168" spans="6:6" ht="15.75" customHeight="1">
      <c r="F168" s="24"/>
    </row>
    <row r="169" spans="6:6" ht="15.75" customHeight="1">
      <c r="F169" s="24"/>
    </row>
    <row r="170" spans="6:6" ht="15.75" customHeight="1">
      <c r="F170" s="24"/>
    </row>
    <row r="171" spans="6:6" ht="15.75" customHeight="1">
      <c r="F171" s="24"/>
    </row>
    <row r="172" spans="6:6" ht="15.75" customHeight="1">
      <c r="F172" s="24"/>
    </row>
    <row r="173" spans="6:6" ht="15.75" customHeight="1">
      <c r="F173" s="24"/>
    </row>
    <row r="174" spans="6:6" ht="15.75" customHeight="1">
      <c r="F174" s="24"/>
    </row>
    <row r="175" spans="6:6" ht="15.75" customHeight="1">
      <c r="F175" s="24"/>
    </row>
    <row r="176" spans="6:6" ht="15.75" customHeight="1">
      <c r="F176" s="24"/>
    </row>
    <row r="177" spans="6:6" ht="15.75" customHeight="1">
      <c r="F177" s="24"/>
    </row>
    <row r="178" spans="6:6" ht="15.75" customHeight="1">
      <c r="F178" s="24"/>
    </row>
    <row r="179" spans="6:6" ht="15.75" customHeight="1">
      <c r="F179" s="24"/>
    </row>
    <row r="180" spans="6:6" ht="15.75" customHeight="1">
      <c r="F180" s="24"/>
    </row>
    <row r="181" spans="6:6" ht="15.75" customHeight="1">
      <c r="F181" s="24"/>
    </row>
    <row r="182" spans="6:6" ht="15.75" customHeight="1">
      <c r="F182" s="24"/>
    </row>
    <row r="183" spans="6:6" ht="15.75" customHeight="1">
      <c r="F183" s="24"/>
    </row>
    <row r="184" spans="6:6" ht="15.75" customHeight="1">
      <c r="F184" s="24"/>
    </row>
    <row r="185" spans="6:6" ht="15.75" customHeight="1">
      <c r="F185" s="24"/>
    </row>
    <row r="186" spans="6:6" ht="15.75" customHeight="1">
      <c r="F186" s="24"/>
    </row>
    <row r="187" spans="6:6" ht="15.75" customHeight="1">
      <c r="F187" s="24"/>
    </row>
    <row r="188" spans="6:6" ht="15.75" customHeight="1">
      <c r="F188" s="24"/>
    </row>
    <row r="189" spans="6:6" ht="15.75" customHeight="1">
      <c r="F189" s="24"/>
    </row>
    <row r="190" spans="6:6" ht="15.75" customHeight="1">
      <c r="F190" s="24"/>
    </row>
    <row r="191" spans="6:6" ht="15.75" customHeight="1">
      <c r="F191" s="24"/>
    </row>
    <row r="192" spans="6:6" ht="15.75" customHeight="1">
      <c r="F192" s="24"/>
    </row>
    <row r="193" spans="6:6" ht="15.75" customHeight="1">
      <c r="F193" s="24"/>
    </row>
    <row r="194" spans="6:6" ht="15.75" customHeight="1">
      <c r="F194" s="24"/>
    </row>
    <row r="195" spans="6:6" ht="15.75" customHeight="1">
      <c r="F195" s="24"/>
    </row>
    <row r="196" spans="6:6" ht="15.75" customHeight="1">
      <c r="F196" s="24"/>
    </row>
    <row r="197" spans="6:6" ht="15.75" customHeight="1">
      <c r="F197" s="24"/>
    </row>
    <row r="198" spans="6:6" ht="15.75" customHeight="1">
      <c r="F198" s="24"/>
    </row>
    <row r="199" spans="6:6" ht="15.75" customHeight="1">
      <c r="F199" s="24"/>
    </row>
    <row r="200" spans="6:6" ht="15.75" customHeight="1">
      <c r="F200" s="24"/>
    </row>
    <row r="201" spans="6:6" ht="15.75" customHeight="1">
      <c r="F201" s="24"/>
    </row>
    <row r="202" spans="6:6" ht="15.75" customHeight="1">
      <c r="F202" s="24"/>
    </row>
    <row r="203" spans="6:6" ht="15.75" customHeight="1">
      <c r="F203" s="24"/>
    </row>
    <row r="204" spans="6:6" ht="15.75" customHeight="1">
      <c r="F204" s="24"/>
    </row>
    <row r="205" spans="6:6" ht="15.75" customHeight="1">
      <c r="F205" s="24"/>
    </row>
    <row r="206" spans="6:6" ht="15.75" customHeight="1">
      <c r="F206" s="24"/>
    </row>
    <row r="207" spans="6:6" ht="15.75" customHeight="1">
      <c r="F207" s="24"/>
    </row>
    <row r="208" spans="6:6" ht="15.75" customHeight="1">
      <c r="F208" s="24"/>
    </row>
    <row r="209" spans="6:6" ht="15.75" customHeight="1">
      <c r="F209" s="24"/>
    </row>
    <row r="210" spans="6:6" ht="15.75" customHeight="1">
      <c r="F210" s="24"/>
    </row>
    <row r="211" spans="6:6" ht="15.75" customHeight="1">
      <c r="F211" s="24"/>
    </row>
    <row r="212" spans="6:6" ht="15.75" customHeight="1">
      <c r="F212" s="24"/>
    </row>
    <row r="213" spans="6:6" ht="15.75" customHeight="1">
      <c r="F213" s="24"/>
    </row>
    <row r="214" spans="6:6" ht="15.75" customHeight="1">
      <c r="F214" s="24"/>
    </row>
    <row r="215" spans="6:6" ht="15.75" customHeight="1">
      <c r="F215" s="24"/>
    </row>
    <row r="216" spans="6:6" ht="15.75" customHeight="1">
      <c r="F216" s="24"/>
    </row>
    <row r="217" spans="6:6" ht="15.75" customHeight="1">
      <c r="F217" s="24"/>
    </row>
    <row r="218" spans="6:6" ht="15.75" customHeight="1">
      <c r="F218" s="24"/>
    </row>
    <row r="219" spans="6:6" ht="15.75" customHeight="1">
      <c r="F219" s="24"/>
    </row>
    <row r="220" spans="6:6" ht="15.75" customHeight="1">
      <c r="F220" s="24"/>
    </row>
    <row r="221" spans="6:6" ht="15.75" customHeight="1">
      <c r="F221" s="24"/>
    </row>
    <row r="222" spans="6:6" ht="15.75" customHeight="1">
      <c r="F222" s="24"/>
    </row>
    <row r="223" spans="6:6" ht="15.75" customHeight="1">
      <c r="F223" s="24"/>
    </row>
    <row r="224" spans="6:6" ht="15.75" customHeight="1">
      <c r="F224" s="24"/>
    </row>
    <row r="225" spans="6:6" ht="15.75" customHeight="1">
      <c r="F225" s="24"/>
    </row>
    <row r="226" spans="6:6" ht="15.75" customHeight="1">
      <c r="F226" s="24"/>
    </row>
    <row r="227" spans="6:6" ht="15.75" customHeight="1">
      <c r="F227" s="24"/>
    </row>
    <row r="228" spans="6:6" ht="15.75" customHeight="1">
      <c r="F228" s="24"/>
    </row>
    <row r="229" spans="6:6" ht="15.75" customHeight="1">
      <c r="F229" s="24"/>
    </row>
    <row r="230" spans="6:6" ht="15.75" customHeight="1">
      <c r="F230" s="24"/>
    </row>
    <row r="231" spans="6:6" ht="15.75" customHeight="1">
      <c r="F231" s="24"/>
    </row>
    <row r="232" spans="6:6" ht="15.75" customHeight="1">
      <c r="F232" s="24"/>
    </row>
    <row r="233" spans="6:6" ht="15.75" customHeight="1">
      <c r="F233" s="24"/>
    </row>
    <row r="234" spans="6:6" ht="15.75" customHeight="1">
      <c r="F234" s="24"/>
    </row>
    <row r="235" spans="6:6" ht="15.75" customHeight="1">
      <c r="F235" s="24"/>
    </row>
    <row r="236" spans="6:6" ht="15.75" customHeight="1">
      <c r="F236" s="24"/>
    </row>
    <row r="237" spans="6:6" ht="15.75" customHeight="1">
      <c r="F237" s="24"/>
    </row>
    <row r="238" spans="6:6" ht="15.75" customHeight="1">
      <c r="F238" s="24"/>
    </row>
    <row r="239" spans="6:6" ht="15.75" customHeight="1">
      <c r="F239" s="24"/>
    </row>
    <row r="240" spans="6:6" ht="15.75" customHeight="1">
      <c r="F240" s="24"/>
    </row>
    <row r="241" spans="6:6" ht="15.75" customHeight="1">
      <c r="F241" s="24"/>
    </row>
    <row r="242" spans="6:6" ht="15.75" customHeight="1">
      <c r="F242" s="24"/>
    </row>
    <row r="243" spans="6:6" ht="15.75" customHeight="1">
      <c r="F243" s="24"/>
    </row>
    <row r="244" spans="6:6" ht="15.75" customHeight="1">
      <c r="F244" s="24"/>
    </row>
    <row r="245" spans="6:6" ht="15.75" customHeight="1">
      <c r="F245" s="24"/>
    </row>
    <row r="246" spans="6:6" ht="15.75" customHeight="1">
      <c r="F246" s="24"/>
    </row>
    <row r="247" spans="6:6" ht="15.75" customHeight="1">
      <c r="F247" s="24"/>
    </row>
    <row r="248" spans="6:6" ht="15.75" customHeight="1">
      <c r="F248" s="24"/>
    </row>
    <row r="249" spans="6:6" ht="15.75" customHeight="1">
      <c r="F249" s="24"/>
    </row>
    <row r="250" spans="6:6" ht="15.75" customHeight="1">
      <c r="F250" s="24"/>
    </row>
    <row r="251" spans="6:6" ht="15.75" customHeight="1">
      <c r="F251" s="24"/>
    </row>
    <row r="252" spans="6:6" ht="15.75" customHeight="1">
      <c r="F252" s="24"/>
    </row>
    <row r="253" spans="6:6" ht="15.75" customHeight="1">
      <c r="F253" s="24"/>
    </row>
    <row r="254" spans="6:6" ht="15.75" customHeight="1">
      <c r="F254" s="24"/>
    </row>
    <row r="255" spans="6:6" ht="15.75" customHeight="1">
      <c r="F255" s="24"/>
    </row>
    <row r="256" spans="6:6" ht="15.75" customHeight="1">
      <c r="F256" s="24"/>
    </row>
    <row r="257" spans="6:6" ht="15.75" customHeight="1">
      <c r="F257" s="24"/>
    </row>
    <row r="258" spans="6:6" ht="15.75" customHeight="1">
      <c r="F258" s="24"/>
    </row>
    <row r="259" spans="6:6" ht="15.75" customHeight="1">
      <c r="F259" s="24"/>
    </row>
    <row r="260" spans="6:6" ht="15.75" customHeight="1">
      <c r="F260" s="24"/>
    </row>
    <row r="261" spans="6:6" ht="15.75" customHeight="1">
      <c r="F261" s="24"/>
    </row>
    <row r="262" spans="6:6" ht="15.75" customHeight="1">
      <c r="F262" s="24"/>
    </row>
    <row r="263" spans="6:6" ht="15.75" customHeight="1">
      <c r="F263" s="24"/>
    </row>
    <row r="264" spans="6:6" ht="15.75" customHeight="1">
      <c r="F264" s="24"/>
    </row>
    <row r="265" spans="6:6" ht="15.75" customHeight="1">
      <c r="F265" s="24"/>
    </row>
    <row r="266" spans="6:6" ht="15.75" customHeight="1">
      <c r="F266" s="24"/>
    </row>
    <row r="267" spans="6:6" ht="15.75" customHeight="1">
      <c r="F267" s="24"/>
    </row>
    <row r="268" spans="6:6" ht="15.75" customHeight="1">
      <c r="F268" s="24"/>
    </row>
    <row r="269" spans="6:6" ht="15.75" customHeight="1">
      <c r="F269" s="24"/>
    </row>
    <row r="270" spans="6:6" ht="15.75" customHeight="1">
      <c r="F270" s="24"/>
    </row>
    <row r="271" spans="6:6" ht="15.75" customHeight="1">
      <c r="F271" s="24"/>
    </row>
    <row r="272" spans="6:6" ht="15.75" customHeight="1">
      <c r="F272" s="24"/>
    </row>
    <row r="273" spans="6:6" ht="15.75" customHeight="1">
      <c r="F273" s="24"/>
    </row>
    <row r="274" spans="6:6" ht="15.75" customHeight="1">
      <c r="F274" s="24"/>
    </row>
    <row r="275" spans="6:6" ht="15.75" customHeight="1">
      <c r="F275" s="24"/>
    </row>
    <row r="276" spans="6:6" ht="15.75" customHeight="1">
      <c r="F276" s="24"/>
    </row>
    <row r="277" spans="6:6" ht="15.75" customHeight="1">
      <c r="F277" s="24"/>
    </row>
    <row r="278" spans="6:6" ht="15.75" customHeight="1">
      <c r="F278" s="24"/>
    </row>
    <row r="279" spans="6:6" ht="15.75" customHeight="1">
      <c r="F279" s="24"/>
    </row>
    <row r="280" spans="6:6" ht="15.75" customHeight="1">
      <c r="F280" s="24"/>
    </row>
    <row r="281" spans="6:6" ht="15.75" customHeight="1">
      <c r="F281" s="24"/>
    </row>
    <row r="282" spans="6:6" ht="15.75" customHeight="1">
      <c r="F282" s="24"/>
    </row>
    <row r="283" spans="6:6" ht="15.75" customHeight="1">
      <c r="F283" s="24"/>
    </row>
    <row r="284" spans="6:6" ht="15.75" customHeight="1">
      <c r="F284" s="24"/>
    </row>
    <row r="285" spans="6:6" ht="15.75" customHeight="1">
      <c r="F285" s="24"/>
    </row>
    <row r="286" spans="6:6" ht="15.75" customHeight="1">
      <c r="F286" s="24"/>
    </row>
    <row r="287" spans="6:6" ht="15.75" customHeight="1">
      <c r="F287" s="24"/>
    </row>
    <row r="288" spans="6:6" ht="15.75" customHeight="1">
      <c r="F288" s="24"/>
    </row>
    <row r="289" spans="6:6" ht="15.75" customHeight="1">
      <c r="F289" s="24"/>
    </row>
    <row r="290" spans="6:6" ht="15.75" customHeight="1">
      <c r="F290" s="24"/>
    </row>
    <row r="291" spans="6:6" ht="15.75" customHeight="1">
      <c r="F291" s="24"/>
    </row>
    <row r="292" spans="6:6" ht="15.75" customHeight="1">
      <c r="F292" s="24"/>
    </row>
    <row r="293" spans="6:6" ht="15.75" customHeight="1">
      <c r="F293" s="24"/>
    </row>
    <row r="294" spans="6:6" ht="15.75" customHeight="1">
      <c r="F294" s="24"/>
    </row>
    <row r="295" spans="6:6" ht="15.75" customHeight="1">
      <c r="F295" s="24"/>
    </row>
    <row r="296" spans="6:6" ht="15.75" customHeight="1">
      <c r="F296" s="24"/>
    </row>
    <row r="297" spans="6:6" ht="15.75" customHeight="1">
      <c r="F297" s="24"/>
    </row>
    <row r="298" spans="6:6" ht="15.75" customHeight="1">
      <c r="F298" s="24"/>
    </row>
    <row r="299" spans="6:6" ht="15.75" customHeight="1">
      <c r="F299" s="24"/>
    </row>
    <row r="300" spans="6:6" ht="15.75" customHeight="1">
      <c r="F300" s="24"/>
    </row>
    <row r="301" spans="6:6" ht="15.75" customHeight="1">
      <c r="F301" s="24"/>
    </row>
    <row r="302" spans="6:6" ht="15.75" customHeight="1">
      <c r="F302" s="24"/>
    </row>
    <row r="303" spans="6:6" ht="15.75" customHeight="1">
      <c r="F303" s="24"/>
    </row>
    <row r="304" spans="6:6" ht="15.75" customHeight="1">
      <c r="F304" s="24"/>
    </row>
    <row r="305" spans="6:6" ht="15.75" customHeight="1">
      <c r="F305" s="24"/>
    </row>
    <row r="306" spans="6:6" ht="15.75" customHeight="1">
      <c r="F306" s="24"/>
    </row>
    <row r="307" spans="6:6" ht="15.75" customHeight="1">
      <c r="F307" s="24"/>
    </row>
    <row r="308" spans="6:6" ht="15.75" customHeight="1">
      <c r="F308" s="24"/>
    </row>
    <row r="309" spans="6:6" ht="15.75" customHeight="1">
      <c r="F309" s="24"/>
    </row>
    <row r="310" spans="6:6" ht="15.75" customHeight="1">
      <c r="F310" s="24"/>
    </row>
    <row r="311" spans="6:6" ht="15.75" customHeight="1">
      <c r="F311" s="24"/>
    </row>
    <row r="312" spans="6:6" ht="15.75" customHeight="1">
      <c r="F312" s="24"/>
    </row>
    <row r="313" spans="6:6" ht="15.75" customHeight="1">
      <c r="F313" s="24"/>
    </row>
    <row r="314" spans="6:6" ht="15.75" customHeight="1">
      <c r="F314" s="24"/>
    </row>
    <row r="315" spans="6:6" ht="15.75" customHeight="1">
      <c r="F315" s="24"/>
    </row>
    <row r="316" spans="6:6" ht="15.75" customHeight="1">
      <c r="F316" s="24"/>
    </row>
    <row r="317" spans="6:6" ht="15.75" customHeight="1">
      <c r="F317" s="24"/>
    </row>
    <row r="318" spans="6:6" ht="15.75" customHeight="1">
      <c r="F318" s="24"/>
    </row>
    <row r="319" spans="6:6" ht="15.75" customHeight="1">
      <c r="F319" s="24"/>
    </row>
    <row r="320" spans="6:6" ht="15.75" customHeight="1">
      <c r="F320" s="24"/>
    </row>
    <row r="321" spans="6:6" ht="15.75" customHeight="1">
      <c r="F321" s="24"/>
    </row>
    <row r="322" spans="6:6" ht="15.75" customHeight="1">
      <c r="F322" s="24"/>
    </row>
    <row r="323" spans="6:6" ht="15.75" customHeight="1">
      <c r="F323" s="24"/>
    </row>
    <row r="324" spans="6:6" ht="15.75" customHeight="1">
      <c r="F324" s="24"/>
    </row>
    <row r="325" spans="6:6" ht="15.75" customHeight="1">
      <c r="F325" s="24"/>
    </row>
    <row r="326" spans="6:6" ht="15.75" customHeight="1">
      <c r="F326" s="24"/>
    </row>
    <row r="327" spans="6:6" ht="15.75" customHeight="1">
      <c r="F327" s="24"/>
    </row>
    <row r="328" spans="6:6" ht="15.75" customHeight="1">
      <c r="F328" s="24"/>
    </row>
    <row r="329" spans="6:6" ht="15.75" customHeight="1">
      <c r="F329" s="24"/>
    </row>
    <row r="330" spans="6:6" ht="15.75" customHeight="1">
      <c r="F330" s="24"/>
    </row>
    <row r="331" spans="6:6" ht="15.75" customHeight="1">
      <c r="F331" s="24"/>
    </row>
    <row r="332" spans="6:6" ht="15.75" customHeight="1">
      <c r="F332" s="24"/>
    </row>
    <row r="333" spans="6:6" ht="15.75" customHeight="1">
      <c r="F333" s="24"/>
    </row>
    <row r="334" spans="6:6" ht="15.75" customHeight="1">
      <c r="F334" s="24"/>
    </row>
    <row r="335" spans="6:6" ht="15.75" customHeight="1">
      <c r="F335" s="24"/>
    </row>
    <row r="336" spans="6:6" ht="15.75" customHeight="1">
      <c r="F336" s="24"/>
    </row>
    <row r="337" spans="6:6" ht="15.75" customHeight="1">
      <c r="F337" s="24"/>
    </row>
    <row r="338" spans="6:6" ht="15.75" customHeight="1">
      <c r="F338" s="24"/>
    </row>
    <row r="339" spans="6:6" ht="15.75" customHeight="1">
      <c r="F339" s="24"/>
    </row>
    <row r="340" spans="6:6" ht="15.75" customHeight="1">
      <c r="F340" s="24"/>
    </row>
    <row r="341" spans="6:6" ht="15.75" customHeight="1">
      <c r="F341" s="24"/>
    </row>
    <row r="342" spans="6:6" ht="15.75" customHeight="1">
      <c r="F342" s="24"/>
    </row>
    <row r="343" spans="6:6" ht="15.75" customHeight="1">
      <c r="F343" s="24"/>
    </row>
    <row r="344" spans="6:6" ht="15.75" customHeight="1">
      <c r="F344" s="24"/>
    </row>
    <row r="345" spans="6:6" ht="15.75" customHeight="1">
      <c r="F345" s="24"/>
    </row>
    <row r="346" spans="6:6" ht="15.75" customHeight="1">
      <c r="F346" s="24"/>
    </row>
    <row r="347" spans="6:6" ht="15.75" customHeight="1">
      <c r="F347" s="24"/>
    </row>
    <row r="348" spans="6:6" ht="15.75" customHeight="1">
      <c r="F348" s="24"/>
    </row>
    <row r="349" spans="6:6" ht="15.75" customHeight="1">
      <c r="F349" s="24"/>
    </row>
    <row r="350" spans="6:6" ht="15.75" customHeight="1">
      <c r="F350" s="24"/>
    </row>
    <row r="351" spans="6:6" ht="15.75" customHeight="1">
      <c r="F351" s="24"/>
    </row>
    <row r="352" spans="6:6" ht="15.75" customHeight="1">
      <c r="F352" s="24"/>
    </row>
    <row r="353" spans="6:6" ht="15.75" customHeight="1">
      <c r="F353" s="24"/>
    </row>
    <row r="354" spans="6:6" ht="15.75" customHeight="1">
      <c r="F354" s="24"/>
    </row>
    <row r="355" spans="6:6" ht="15.75" customHeight="1">
      <c r="F355" s="24"/>
    </row>
    <row r="356" spans="6:6" ht="15.75" customHeight="1">
      <c r="F356" s="24"/>
    </row>
    <row r="357" spans="6:6" ht="15.75" customHeight="1">
      <c r="F357" s="24"/>
    </row>
    <row r="358" spans="6:6" ht="15.75" customHeight="1">
      <c r="F358" s="24"/>
    </row>
    <row r="359" spans="6:6" ht="15.75" customHeight="1">
      <c r="F359" s="24"/>
    </row>
    <row r="360" spans="6:6" ht="15.75" customHeight="1">
      <c r="F360" s="24"/>
    </row>
    <row r="361" spans="6:6" ht="15.75" customHeight="1">
      <c r="F361" s="24"/>
    </row>
    <row r="362" spans="6:6" ht="15.75" customHeight="1">
      <c r="F362" s="24"/>
    </row>
    <row r="363" spans="6:6" ht="15.75" customHeight="1">
      <c r="F363" s="24"/>
    </row>
    <row r="364" spans="6:6" ht="15.75" customHeight="1">
      <c r="F364" s="24"/>
    </row>
    <row r="365" spans="6:6" ht="15.75" customHeight="1">
      <c r="F365" s="24"/>
    </row>
    <row r="366" spans="6:6" ht="15.75" customHeight="1">
      <c r="F366" s="24"/>
    </row>
    <row r="367" spans="6:6" ht="15.75" customHeight="1">
      <c r="F367" s="24"/>
    </row>
    <row r="368" spans="6:6" ht="15.75" customHeight="1">
      <c r="F368" s="24"/>
    </row>
    <row r="369" spans="6:6" ht="15.75" customHeight="1">
      <c r="F369" s="24"/>
    </row>
    <row r="370" spans="6:6" ht="15.75" customHeight="1">
      <c r="F370" s="24"/>
    </row>
    <row r="371" spans="6:6" ht="15.75" customHeight="1">
      <c r="F371" s="24"/>
    </row>
    <row r="372" spans="6:6" ht="15.75" customHeight="1">
      <c r="F372" s="24"/>
    </row>
    <row r="373" spans="6:6" ht="15.75" customHeight="1">
      <c r="F373" s="24"/>
    </row>
    <row r="374" spans="6:6" ht="15.75" customHeight="1">
      <c r="F374" s="24"/>
    </row>
    <row r="375" spans="6:6" ht="15.75" customHeight="1">
      <c r="F375" s="24"/>
    </row>
    <row r="376" spans="6:6" ht="15.75" customHeight="1">
      <c r="F376" s="24"/>
    </row>
    <row r="377" spans="6:6" ht="15.75" customHeight="1">
      <c r="F377" s="24"/>
    </row>
    <row r="378" spans="6:6" ht="15.75" customHeight="1">
      <c r="F378" s="24"/>
    </row>
    <row r="379" spans="6:6" ht="15.75" customHeight="1">
      <c r="F379" s="24"/>
    </row>
    <row r="380" spans="6:6" ht="15.75" customHeight="1">
      <c r="F380" s="24"/>
    </row>
    <row r="381" spans="6:6" ht="15.75" customHeight="1">
      <c r="F381" s="24"/>
    </row>
    <row r="382" spans="6:6" ht="15.75" customHeight="1">
      <c r="F382" s="24"/>
    </row>
    <row r="383" spans="6:6" ht="15.75" customHeight="1">
      <c r="F383" s="24"/>
    </row>
    <row r="384" spans="6:6" ht="15.75" customHeight="1">
      <c r="F384" s="24"/>
    </row>
    <row r="385" spans="6:6" ht="15.75" customHeight="1">
      <c r="F385" s="24"/>
    </row>
    <row r="386" spans="6:6" ht="15.75" customHeight="1">
      <c r="F386" s="24"/>
    </row>
    <row r="387" spans="6:6" ht="15.75" customHeight="1">
      <c r="F387" s="24"/>
    </row>
    <row r="388" spans="6:6" ht="15.75" customHeight="1">
      <c r="F388" s="24"/>
    </row>
    <row r="389" spans="6:6" ht="15.75" customHeight="1">
      <c r="F389" s="24"/>
    </row>
    <row r="390" spans="6:6" ht="15.75" customHeight="1">
      <c r="F390" s="24"/>
    </row>
    <row r="391" spans="6:6" ht="15.75" customHeight="1">
      <c r="F391" s="24"/>
    </row>
    <row r="392" spans="6:6" ht="15.75" customHeight="1">
      <c r="F392" s="24"/>
    </row>
    <row r="393" spans="6:6" ht="15.75" customHeight="1">
      <c r="F393" s="24"/>
    </row>
    <row r="394" spans="6:6" ht="15.75" customHeight="1">
      <c r="F394" s="24"/>
    </row>
    <row r="395" spans="6:6" ht="15.75" customHeight="1">
      <c r="F395" s="24"/>
    </row>
    <row r="396" spans="6:6" ht="15.75" customHeight="1">
      <c r="F396" s="24"/>
    </row>
    <row r="397" spans="6:6" ht="15.75" customHeight="1">
      <c r="F397" s="24"/>
    </row>
    <row r="398" spans="6:6" ht="15.75" customHeight="1">
      <c r="F398" s="24"/>
    </row>
    <row r="399" spans="6:6" ht="15.75" customHeight="1">
      <c r="F399" s="24"/>
    </row>
    <row r="400" spans="6:6" ht="15.75" customHeight="1">
      <c r="F400" s="24"/>
    </row>
    <row r="401" spans="6:6" ht="15.75" customHeight="1">
      <c r="F401" s="24"/>
    </row>
    <row r="402" spans="6:6" ht="15.75" customHeight="1">
      <c r="F402" s="24"/>
    </row>
    <row r="403" spans="6:6" ht="15.75" customHeight="1">
      <c r="F403" s="24"/>
    </row>
    <row r="404" spans="6:6" ht="15.75" customHeight="1">
      <c r="F404" s="24"/>
    </row>
    <row r="405" spans="6:6" ht="15.75" customHeight="1">
      <c r="F405" s="24"/>
    </row>
    <row r="406" spans="6:6" ht="15.75" customHeight="1">
      <c r="F406" s="24"/>
    </row>
    <row r="407" spans="6:6" ht="15.75" customHeight="1">
      <c r="F407" s="24"/>
    </row>
    <row r="408" spans="6:6" ht="15.75" customHeight="1">
      <c r="F408" s="24"/>
    </row>
    <row r="409" spans="6:6" ht="15.75" customHeight="1">
      <c r="F409" s="24"/>
    </row>
    <row r="410" spans="6:6" ht="15.75" customHeight="1">
      <c r="F410" s="24"/>
    </row>
    <row r="411" spans="6:6" ht="15.75" customHeight="1">
      <c r="F411" s="24"/>
    </row>
    <row r="412" spans="6:6" ht="15.75" customHeight="1">
      <c r="F412" s="24"/>
    </row>
    <row r="413" spans="6:6" ht="15.75" customHeight="1">
      <c r="F413" s="24"/>
    </row>
    <row r="414" spans="6:6" ht="15.75" customHeight="1">
      <c r="F414" s="24"/>
    </row>
    <row r="415" spans="6:6" ht="15.75" customHeight="1">
      <c r="F415" s="24"/>
    </row>
    <row r="416" spans="6:6" ht="15.75" customHeight="1">
      <c r="F416" s="24"/>
    </row>
    <row r="417" spans="6:6" ht="15.75" customHeight="1">
      <c r="F417" s="24"/>
    </row>
    <row r="418" spans="6:6" ht="15.75" customHeight="1">
      <c r="F418" s="24"/>
    </row>
    <row r="419" spans="6:6" ht="15.75" customHeight="1">
      <c r="F419" s="24"/>
    </row>
    <row r="420" spans="6:6" ht="15.75" customHeight="1">
      <c r="F420" s="24"/>
    </row>
    <row r="421" spans="6:6" ht="15.75" customHeight="1">
      <c r="F421" s="24"/>
    </row>
    <row r="422" spans="6:6" ht="15.75" customHeight="1">
      <c r="F422" s="24"/>
    </row>
    <row r="423" spans="6:6" ht="15.75" customHeight="1">
      <c r="F423" s="24"/>
    </row>
    <row r="424" spans="6:6" ht="15.75" customHeight="1">
      <c r="F424" s="24"/>
    </row>
    <row r="425" spans="6:6" ht="15.75" customHeight="1">
      <c r="F425" s="24"/>
    </row>
    <row r="426" spans="6:6" ht="15.75" customHeight="1">
      <c r="F426" s="24"/>
    </row>
    <row r="427" spans="6:6" ht="15.75" customHeight="1">
      <c r="F427" s="24"/>
    </row>
    <row r="428" spans="6:6" ht="15.75" customHeight="1">
      <c r="F428" s="24"/>
    </row>
    <row r="429" spans="6:6" ht="15.75" customHeight="1">
      <c r="F429" s="24"/>
    </row>
    <row r="430" spans="6:6" ht="15.75" customHeight="1">
      <c r="F430" s="24"/>
    </row>
    <row r="431" spans="6:6" ht="15.75" customHeight="1">
      <c r="F431" s="24"/>
    </row>
    <row r="432" spans="6:6" ht="15.75" customHeight="1">
      <c r="F432" s="24"/>
    </row>
    <row r="433" spans="6:6" ht="15.75" customHeight="1">
      <c r="F433" s="24"/>
    </row>
    <row r="434" spans="6:6" ht="15.75" customHeight="1">
      <c r="F434" s="24"/>
    </row>
    <row r="435" spans="6:6" ht="15.75" customHeight="1">
      <c r="F435" s="24"/>
    </row>
    <row r="436" spans="6:6" ht="15.75" customHeight="1">
      <c r="F436" s="24"/>
    </row>
    <row r="437" spans="6:6" ht="15.75" customHeight="1">
      <c r="F437" s="24"/>
    </row>
    <row r="438" spans="6:6" ht="15.75" customHeight="1">
      <c r="F438" s="24"/>
    </row>
    <row r="439" spans="6:6" ht="15.75" customHeight="1">
      <c r="F439" s="24"/>
    </row>
    <row r="440" spans="6:6" ht="15.75" customHeight="1">
      <c r="F440" s="24"/>
    </row>
    <row r="441" spans="6:6" ht="15.75" customHeight="1">
      <c r="F441" s="24"/>
    </row>
    <row r="442" spans="6:6" ht="15.75" customHeight="1">
      <c r="F442" s="24"/>
    </row>
    <row r="443" spans="6:6" ht="15.75" customHeight="1">
      <c r="F443" s="24"/>
    </row>
    <row r="444" spans="6:6" ht="15.75" customHeight="1">
      <c r="F444" s="24"/>
    </row>
    <row r="445" spans="6:6" ht="15.75" customHeight="1">
      <c r="F445" s="24"/>
    </row>
    <row r="446" spans="6:6" ht="15.75" customHeight="1">
      <c r="F446" s="24"/>
    </row>
    <row r="447" spans="6:6" ht="15.75" customHeight="1">
      <c r="F447" s="24"/>
    </row>
    <row r="448" spans="6:6" ht="15.75" customHeight="1">
      <c r="F448" s="24"/>
    </row>
    <row r="449" spans="6:6" ht="15.75" customHeight="1">
      <c r="F449" s="24"/>
    </row>
    <row r="450" spans="6:6" ht="15.75" customHeight="1">
      <c r="F450" s="24"/>
    </row>
    <row r="451" spans="6:6" ht="15.75" customHeight="1">
      <c r="F451" s="24"/>
    </row>
    <row r="452" spans="6:6" ht="15.75" customHeight="1">
      <c r="F452" s="24"/>
    </row>
    <row r="453" spans="6:6" ht="15.75" customHeight="1">
      <c r="F453" s="24"/>
    </row>
    <row r="454" spans="6:6" ht="15.75" customHeight="1">
      <c r="F454" s="24"/>
    </row>
    <row r="455" spans="6:6" ht="15.75" customHeight="1">
      <c r="F455" s="24"/>
    </row>
    <row r="456" spans="6:6" ht="15.75" customHeight="1">
      <c r="F456" s="24"/>
    </row>
    <row r="457" spans="6:6" ht="15.75" customHeight="1">
      <c r="F457" s="24"/>
    </row>
    <row r="458" spans="6:6" ht="15.75" customHeight="1">
      <c r="F458" s="24"/>
    </row>
    <row r="459" spans="6:6" ht="15.75" customHeight="1">
      <c r="F459" s="24"/>
    </row>
    <row r="460" spans="6:6" ht="15.75" customHeight="1">
      <c r="F460" s="24"/>
    </row>
    <row r="461" spans="6:6" ht="15.75" customHeight="1">
      <c r="F461" s="24"/>
    </row>
    <row r="462" spans="6:6" ht="15.75" customHeight="1">
      <c r="F462" s="24"/>
    </row>
    <row r="463" spans="6:6" ht="15.75" customHeight="1">
      <c r="F463" s="24"/>
    </row>
    <row r="464" spans="6:6" ht="15.75" customHeight="1">
      <c r="F464" s="24"/>
    </row>
    <row r="465" spans="6:6" ht="15.75" customHeight="1">
      <c r="F465" s="24"/>
    </row>
    <row r="466" spans="6:6" ht="15.75" customHeight="1">
      <c r="F466" s="24"/>
    </row>
    <row r="467" spans="6:6" ht="15.75" customHeight="1">
      <c r="F467" s="24"/>
    </row>
    <row r="468" spans="6:6" ht="15.75" customHeight="1">
      <c r="F468" s="24"/>
    </row>
    <row r="469" spans="6:6" ht="15.75" customHeight="1">
      <c r="F469" s="24"/>
    </row>
    <row r="470" spans="6:6" ht="15.75" customHeight="1">
      <c r="F470" s="24"/>
    </row>
    <row r="471" spans="6:6" ht="15.75" customHeight="1">
      <c r="F471" s="24"/>
    </row>
    <row r="472" spans="6:6" ht="15.75" customHeight="1">
      <c r="F472" s="24"/>
    </row>
    <row r="473" spans="6:6" ht="15.75" customHeight="1">
      <c r="F473" s="24"/>
    </row>
    <row r="474" spans="6:6" ht="15.75" customHeight="1">
      <c r="F474" s="24"/>
    </row>
    <row r="475" spans="6:6" ht="15.75" customHeight="1">
      <c r="F475" s="24"/>
    </row>
    <row r="476" spans="6:6" ht="15.75" customHeight="1">
      <c r="F476" s="24"/>
    </row>
    <row r="477" spans="6:6" ht="15.75" customHeight="1">
      <c r="F477" s="24"/>
    </row>
    <row r="478" spans="6:6" ht="15.75" customHeight="1">
      <c r="F478" s="24"/>
    </row>
    <row r="479" spans="6:6" ht="15.75" customHeight="1">
      <c r="F479" s="24"/>
    </row>
    <row r="480" spans="6:6" ht="15.75" customHeight="1">
      <c r="F480" s="24"/>
    </row>
    <row r="481" spans="6:6" ht="15.75" customHeight="1">
      <c r="F481" s="24"/>
    </row>
    <row r="482" spans="6:6" ht="15.75" customHeight="1">
      <c r="F482" s="24"/>
    </row>
    <row r="483" spans="6:6" ht="15.75" customHeight="1">
      <c r="F483" s="24"/>
    </row>
    <row r="484" spans="6:6" ht="15.75" customHeight="1">
      <c r="F484" s="24"/>
    </row>
    <row r="485" spans="6:6" ht="15.75" customHeight="1">
      <c r="F485" s="24"/>
    </row>
    <row r="486" spans="6:6" ht="15.75" customHeight="1">
      <c r="F486" s="24"/>
    </row>
    <row r="487" spans="6:6" ht="15.75" customHeight="1">
      <c r="F487" s="24"/>
    </row>
    <row r="488" spans="6:6" ht="15.75" customHeight="1">
      <c r="F488" s="24"/>
    </row>
    <row r="489" spans="6:6" ht="15.75" customHeight="1">
      <c r="F489" s="24"/>
    </row>
    <row r="490" spans="6:6" ht="15.75" customHeight="1">
      <c r="F490" s="24"/>
    </row>
    <row r="491" spans="6:6" ht="15.75" customHeight="1">
      <c r="F491" s="24"/>
    </row>
    <row r="492" spans="6:6" ht="15.75" customHeight="1">
      <c r="F492" s="24"/>
    </row>
    <row r="493" spans="6:6" ht="15.75" customHeight="1">
      <c r="F493" s="24"/>
    </row>
    <row r="494" spans="6:6" ht="15.75" customHeight="1">
      <c r="F494" s="24"/>
    </row>
    <row r="495" spans="6:6" ht="15.75" customHeight="1">
      <c r="F495" s="24"/>
    </row>
    <row r="496" spans="6:6" ht="15.75" customHeight="1">
      <c r="F496" s="24"/>
    </row>
    <row r="497" spans="6:6" ht="15.75" customHeight="1">
      <c r="F497" s="24"/>
    </row>
    <row r="498" spans="6:6" ht="15.75" customHeight="1">
      <c r="F498" s="24"/>
    </row>
    <row r="499" spans="6:6" ht="15.75" customHeight="1">
      <c r="F499" s="24"/>
    </row>
    <row r="500" spans="6:6" ht="15.75" customHeight="1">
      <c r="F500" s="24"/>
    </row>
    <row r="501" spans="6:6" ht="15.75" customHeight="1">
      <c r="F501" s="24"/>
    </row>
    <row r="502" spans="6:6" ht="15.75" customHeight="1">
      <c r="F502" s="24"/>
    </row>
    <row r="503" spans="6:6" ht="15.75" customHeight="1">
      <c r="F503" s="24"/>
    </row>
    <row r="504" spans="6:6" ht="15.75" customHeight="1">
      <c r="F504" s="24"/>
    </row>
    <row r="505" spans="6:6" ht="15.75" customHeight="1">
      <c r="F505" s="24"/>
    </row>
    <row r="506" spans="6:6" ht="15.75" customHeight="1">
      <c r="F506" s="24"/>
    </row>
    <row r="507" spans="6:6" ht="15.75" customHeight="1">
      <c r="F507" s="24"/>
    </row>
    <row r="508" spans="6:6" ht="15.75" customHeight="1">
      <c r="F508" s="24"/>
    </row>
    <row r="509" spans="6:6" ht="15.75" customHeight="1">
      <c r="F509" s="24"/>
    </row>
    <row r="510" spans="6:6" ht="15.75" customHeight="1">
      <c r="F510" s="24"/>
    </row>
    <row r="511" spans="6:6" ht="15.75" customHeight="1">
      <c r="F511" s="24"/>
    </row>
    <row r="512" spans="6:6" ht="15.75" customHeight="1">
      <c r="F512" s="24"/>
    </row>
    <row r="513" spans="6:6" ht="15.75" customHeight="1">
      <c r="F513" s="24"/>
    </row>
    <row r="514" spans="6:6" ht="15.75" customHeight="1">
      <c r="F514" s="24"/>
    </row>
    <row r="515" spans="6:6" ht="15.75" customHeight="1">
      <c r="F515" s="24"/>
    </row>
    <row r="516" spans="6:6" ht="15.75" customHeight="1">
      <c r="F516" s="24"/>
    </row>
    <row r="517" spans="6:6" ht="15.75" customHeight="1">
      <c r="F517" s="24"/>
    </row>
    <row r="518" spans="6:6" ht="15.75" customHeight="1">
      <c r="F518" s="24"/>
    </row>
    <row r="519" spans="6:6" ht="15.75" customHeight="1">
      <c r="F519" s="24"/>
    </row>
    <row r="520" spans="6:6" ht="15.75" customHeight="1">
      <c r="F520" s="24"/>
    </row>
    <row r="521" spans="6:6" ht="15.75" customHeight="1">
      <c r="F521" s="24"/>
    </row>
    <row r="522" spans="6:6" ht="15.75" customHeight="1">
      <c r="F522" s="24"/>
    </row>
    <row r="523" spans="6:6" ht="15.75" customHeight="1">
      <c r="F523" s="24"/>
    </row>
    <row r="524" spans="6:6" ht="15.75" customHeight="1">
      <c r="F524" s="24"/>
    </row>
    <row r="525" spans="6:6" ht="15.75" customHeight="1">
      <c r="F525" s="24"/>
    </row>
    <row r="526" spans="6:6" ht="15.75" customHeight="1">
      <c r="F526" s="24"/>
    </row>
    <row r="527" spans="6:6" ht="15.75" customHeight="1">
      <c r="F527" s="24"/>
    </row>
    <row r="528" spans="6:6" ht="15.75" customHeight="1">
      <c r="F528" s="24"/>
    </row>
    <row r="529" spans="6:6" ht="15.75" customHeight="1">
      <c r="F529" s="24"/>
    </row>
    <row r="530" spans="6:6" ht="15.75" customHeight="1">
      <c r="F530" s="24"/>
    </row>
    <row r="531" spans="6:6" ht="15.75" customHeight="1">
      <c r="F531" s="24"/>
    </row>
    <row r="532" spans="6:6" ht="15.75" customHeight="1">
      <c r="F532" s="24"/>
    </row>
    <row r="533" spans="6:6" ht="15.75" customHeight="1">
      <c r="F533" s="24"/>
    </row>
    <row r="534" spans="6:6" ht="15.75" customHeight="1">
      <c r="F534" s="24"/>
    </row>
    <row r="535" spans="6:6" ht="15.75" customHeight="1">
      <c r="F535" s="24"/>
    </row>
    <row r="536" spans="6:6" ht="15.75" customHeight="1">
      <c r="F536" s="24"/>
    </row>
    <row r="537" spans="6:6" ht="15.75" customHeight="1">
      <c r="F537" s="24"/>
    </row>
    <row r="538" spans="6:6" ht="15.75" customHeight="1">
      <c r="F538" s="24"/>
    </row>
    <row r="539" spans="6:6" ht="15.75" customHeight="1">
      <c r="F539" s="24"/>
    </row>
    <row r="540" spans="6:6" ht="15.75" customHeight="1">
      <c r="F540" s="24"/>
    </row>
    <row r="541" spans="6:6" ht="15.75" customHeight="1">
      <c r="F541" s="24"/>
    </row>
    <row r="542" spans="6:6" ht="15.75" customHeight="1">
      <c r="F542" s="24"/>
    </row>
    <row r="543" spans="6:6" ht="15.75" customHeight="1">
      <c r="F543" s="24"/>
    </row>
    <row r="544" spans="6:6" ht="15.75" customHeight="1">
      <c r="F544" s="24"/>
    </row>
    <row r="545" spans="6:6" ht="15.75" customHeight="1">
      <c r="F545" s="24"/>
    </row>
    <row r="546" spans="6:6" ht="15.75" customHeight="1">
      <c r="F546" s="24"/>
    </row>
    <row r="547" spans="6:6" ht="15.75" customHeight="1">
      <c r="F547" s="24"/>
    </row>
    <row r="548" spans="6:6" ht="15.75" customHeight="1">
      <c r="F548" s="24"/>
    </row>
    <row r="549" spans="6:6" ht="15.75" customHeight="1">
      <c r="F549" s="24"/>
    </row>
    <row r="550" spans="6:6" ht="15.75" customHeight="1">
      <c r="F550" s="24"/>
    </row>
    <row r="551" spans="6:6" ht="15.75" customHeight="1">
      <c r="F551" s="24"/>
    </row>
    <row r="552" spans="6:6" ht="15.75" customHeight="1">
      <c r="F552" s="24"/>
    </row>
    <row r="553" spans="6:6" ht="15.75" customHeight="1">
      <c r="F553" s="24"/>
    </row>
    <row r="554" spans="6:6" ht="15.75" customHeight="1">
      <c r="F554" s="24"/>
    </row>
    <row r="555" spans="6:6" ht="15.75" customHeight="1">
      <c r="F555" s="24"/>
    </row>
    <row r="556" spans="6:6" ht="15.75" customHeight="1">
      <c r="F556" s="24"/>
    </row>
    <row r="557" spans="6:6" ht="15.75" customHeight="1">
      <c r="F557" s="24"/>
    </row>
    <row r="558" spans="6:6" ht="15.75" customHeight="1">
      <c r="F558" s="24"/>
    </row>
    <row r="559" spans="6:6" ht="15.75" customHeight="1">
      <c r="F559" s="24"/>
    </row>
    <row r="560" spans="6:6" ht="15.75" customHeight="1">
      <c r="F560" s="24"/>
    </row>
    <row r="561" spans="6:6" ht="15.75" customHeight="1">
      <c r="F561" s="24"/>
    </row>
    <row r="562" spans="6:6" ht="15.75" customHeight="1">
      <c r="F562" s="24"/>
    </row>
    <row r="563" spans="6:6" ht="15.75" customHeight="1">
      <c r="F563" s="24"/>
    </row>
    <row r="564" spans="6:6" ht="15.75" customHeight="1">
      <c r="F564" s="24"/>
    </row>
    <row r="565" spans="6:6" ht="15.75" customHeight="1">
      <c r="F565" s="24"/>
    </row>
    <row r="566" spans="6:6" ht="15.75" customHeight="1">
      <c r="F566" s="24"/>
    </row>
    <row r="567" spans="6:6" ht="15.75" customHeight="1">
      <c r="F567" s="24"/>
    </row>
    <row r="568" spans="6:6" ht="15.75" customHeight="1">
      <c r="F568" s="24"/>
    </row>
    <row r="569" spans="6:6" ht="15.75" customHeight="1">
      <c r="F569" s="24"/>
    </row>
    <row r="570" spans="6:6" ht="15.75" customHeight="1">
      <c r="F570" s="24"/>
    </row>
    <row r="571" spans="6:6" ht="15.75" customHeight="1">
      <c r="F571" s="24"/>
    </row>
    <row r="572" spans="6:6" ht="15.75" customHeight="1">
      <c r="F572" s="24"/>
    </row>
    <row r="573" spans="6:6" ht="15.75" customHeight="1">
      <c r="F573" s="24"/>
    </row>
    <row r="574" spans="6:6" ht="15.75" customHeight="1">
      <c r="F574" s="24"/>
    </row>
    <row r="575" spans="6:6" ht="15.75" customHeight="1">
      <c r="F575" s="24"/>
    </row>
    <row r="576" spans="6:6" ht="15.75" customHeight="1">
      <c r="F576" s="24"/>
    </row>
    <row r="577" spans="6:6" ht="15.75" customHeight="1">
      <c r="F577" s="24"/>
    </row>
    <row r="578" spans="6:6" ht="15.75" customHeight="1">
      <c r="F578" s="24"/>
    </row>
    <row r="579" spans="6:6" ht="15.75" customHeight="1">
      <c r="F579" s="24"/>
    </row>
    <row r="580" spans="6:6" ht="15.75" customHeight="1">
      <c r="F580" s="24"/>
    </row>
    <row r="581" spans="6:6" ht="15.75" customHeight="1">
      <c r="F581" s="24"/>
    </row>
    <row r="582" spans="6:6" ht="15.75" customHeight="1">
      <c r="F582" s="24"/>
    </row>
    <row r="583" spans="6:6" ht="15.75" customHeight="1">
      <c r="F583" s="24"/>
    </row>
    <row r="584" spans="6:6" ht="15.75" customHeight="1">
      <c r="F584" s="24"/>
    </row>
    <row r="585" spans="6:6" ht="15.75" customHeight="1">
      <c r="F585" s="24"/>
    </row>
    <row r="586" spans="6:6" ht="15.75" customHeight="1">
      <c r="F586" s="24"/>
    </row>
    <row r="587" spans="6:6" ht="15.75" customHeight="1">
      <c r="F587" s="24"/>
    </row>
    <row r="588" spans="6:6" ht="15.75" customHeight="1">
      <c r="F588" s="24"/>
    </row>
    <row r="589" spans="6:6" ht="15.75" customHeight="1">
      <c r="F589" s="24"/>
    </row>
    <row r="590" spans="6:6" ht="15.75" customHeight="1">
      <c r="F590" s="24"/>
    </row>
    <row r="591" spans="6:6" ht="15.75" customHeight="1">
      <c r="F591" s="24"/>
    </row>
    <row r="592" spans="6:6" ht="15.75" customHeight="1">
      <c r="F592" s="24"/>
    </row>
    <row r="593" spans="6:6" ht="15.75" customHeight="1">
      <c r="F593" s="24"/>
    </row>
    <row r="594" spans="6:6" ht="15.75" customHeight="1">
      <c r="F594" s="24"/>
    </row>
    <row r="595" spans="6:6" ht="15.75" customHeight="1">
      <c r="F595" s="24"/>
    </row>
    <row r="596" spans="6:6" ht="15.75" customHeight="1">
      <c r="F596" s="24"/>
    </row>
    <row r="597" spans="6:6" ht="15.75" customHeight="1">
      <c r="F597" s="24"/>
    </row>
    <row r="598" spans="6:6" ht="15.75" customHeight="1">
      <c r="F598" s="24"/>
    </row>
    <row r="599" spans="6:6" ht="15.75" customHeight="1">
      <c r="F599" s="24"/>
    </row>
    <row r="600" spans="6:6" ht="15.75" customHeight="1">
      <c r="F600" s="24"/>
    </row>
    <row r="601" spans="6:6" ht="15.75" customHeight="1">
      <c r="F601" s="24"/>
    </row>
    <row r="602" spans="6:6" ht="15.75" customHeight="1">
      <c r="F602" s="24"/>
    </row>
    <row r="603" spans="6:6" ht="15.75" customHeight="1">
      <c r="F603" s="24"/>
    </row>
    <row r="604" spans="6:6" ht="15.75" customHeight="1">
      <c r="F604" s="24"/>
    </row>
    <row r="605" spans="6:6" ht="15.75" customHeight="1">
      <c r="F605" s="24"/>
    </row>
    <row r="606" spans="6:6" ht="15.75" customHeight="1">
      <c r="F606" s="24"/>
    </row>
    <row r="607" spans="6:6" ht="15.75" customHeight="1">
      <c r="F607" s="24"/>
    </row>
    <row r="608" spans="6:6" ht="15.75" customHeight="1">
      <c r="F608" s="24"/>
    </row>
    <row r="609" spans="6:6" ht="15.75" customHeight="1">
      <c r="F609" s="24"/>
    </row>
    <row r="610" spans="6:6" ht="15.75" customHeight="1">
      <c r="F610" s="24"/>
    </row>
    <row r="611" spans="6:6" ht="15.75" customHeight="1">
      <c r="F611" s="24"/>
    </row>
    <row r="612" spans="6:6" ht="15.75" customHeight="1">
      <c r="F612" s="24"/>
    </row>
    <row r="613" spans="6:6" ht="15.75" customHeight="1">
      <c r="F613" s="24"/>
    </row>
    <row r="614" spans="6:6" ht="15.75" customHeight="1">
      <c r="F614" s="24"/>
    </row>
    <row r="615" spans="6:6" ht="15.75" customHeight="1">
      <c r="F615" s="24"/>
    </row>
    <row r="616" spans="6:6" ht="15.75" customHeight="1">
      <c r="F616" s="24"/>
    </row>
    <row r="617" spans="6:6" ht="15.75" customHeight="1">
      <c r="F617" s="24"/>
    </row>
    <row r="618" spans="6:6" ht="15.75" customHeight="1">
      <c r="F618" s="24"/>
    </row>
    <row r="619" spans="6:6" ht="15.75" customHeight="1">
      <c r="F619" s="24"/>
    </row>
    <row r="620" spans="6:6" ht="15.75" customHeight="1">
      <c r="F620" s="24"/>
    </row>
    <row r="621" spans="6:6" ht="15.75" customHeight="1">
      <c r="F621" s="24"/>
    </row>
    <row r="622" spans="6:6" ht="15.75" customHeight="1">
      <c r="F622" s="24"/>
    </row>
    <row r="623" spans="6:6" ht="15.75" customHeight="1">
      <c r="F623" s="24"/>
    </row>
    <row r="624" spans="6:6" ht="15.75" customHeight="1">
      <c r="F624" s="24"/>
    </row>
    <row r="625" spans="6:6" ht="15.75" customHeight="1">
      <c r="F625" s="24"/>
    </row>
    <row r="626" spans="6:6" ht="15.75" customHeight="1">
      <c r="F626" s="24"/>
    </row>
    <row r="627" spans="6:6" ht="15.75" customHeight="1">
      <c r="F627" s="24"/>
    </row>
    <row r="628" spans="6:6" ht="15.75" customHeight="1">
      <c r="F628" s="24"/>
    </row>
    <row r="629" spans="6:6" ht="15.75" customHeight="1">
      <c r="F629" s="24"/>
    </row>
    <row r="630" spans="6:6" ht="15.75" customHeight="1">
      <c r="F630" s="24"/>
    </row>
    <row r="631" spans="6:6" ht="15.75" customHeight="1">
      <c r="F631" s="24"/>
    </row>
    <row r="632" spans="6:6" ht="15.75" customHeight="1">
      <c r="F632" s="24"/>
    </row>
    <row r="633" spans="6:6" ht="15.75" customHeight="1">
      <c r="F633" s="24"/>
    </row>
    <row r="634" spans="6:6" ht="15.75" customHeight="1">
      <c r="F634" s="24"/>
    </row>
    <row r="635" spans="6:6" ht="15.75" customHeight="1">
      <c r="F635" s="24"/>
    </row>
    <row r="636" spans="6:6" ht="15.75" customHeight="1">
      <c r="F636" s="24"/>
    </row>
    <row r="637" spans="6:6" ht="15.75" customHeight="1">
      <c r="F637" s="24"/>
    </row>
    <row r="638" spans="6:6" ht="15.75" customHeight="1">
      <c r="F638" s="24"/>
    </row>
    <row r="639" spans="6:6" ht="15.75" customHeight="1">
      <c r="F639" s="24"/>
    </row>
    <row r="640" spans="6:6" ht="15.75" customHeight="1">
      <c r="F640" s="24"/>
    </row>
    <row r="641" spans="6:6" ht="15.75" customHeight="1">
      <c r="F641" s="24"/>
    </row>
    <row r="642" spans="6:6" ht="15.75" customHeight="1">
      <c r="F642" s="24"/>
    </row>
    <row r="643" spans="6:6" ht="15.75" customHeight="1">
      <c r="F643" s="24"/>
    </row>
    <row r="644" spans="6:6" ht="15.75" customHeight="1">
      <c r="F644" s="24"/>
    </row>
    <row r="645" spans="6:6" ht="15.75" customHeight="1">
      <c r="F645" s="24"/>
    </row>
    <row r="646" spans="6:6" ht="15.75" customHeight="1">
      <c r="F646" s="24"/>
    </row>
    <row r="647" spans="6:6" ht="15.75" customHeight="1">
      <c r="F647" s="24"/>
    </row>
    <row r="648" spans="6:6" ht="15.75" customHeight="1">
      <c r="F648" s="24"/>
    </row>
    <row r="649" spans="6:6" ht="15.75" customHeight="1">
      <c r="F649" s="24"/>
    </row>
    <row r="650" spans="6:6" ht="15.75" customHeight="1">
      <c r="F650" s="24"/>
    </row>
    <row r="651" spans="6:6" ht="15.75" customHeight="1">
      <c r="F651" s="24"/>
    </row>
    <row r="652" spans="6:6" ht="15.75" customHeight="1">
      <c r="F652" s="24"/>
    </row>
    <row r="653" spans="6:6" ht="15.75" customHeight="1">
      <c r="F653" s="24"/>
    </row>
    <row r="654" spans="6:6" ht="15.75" customHeight="1">
      <c r="F654" s="24"/>
    </row>
    <row r="655" spans="6:6" ht="15.75" customHeight="1">
      <c r="F655" s="24"/>
    </row>
    <row r="656" spans="6:6" ht="15.75" customHeight="1">
      <c r="F656" s="24"/>
    </row>
    <row r="657" spans="6:6" ht="15.75" customHeight="1">
      <c r="F657" s="24"/>
    </row>
    <row r="658" spans="6:6" ht="15.75" customHeight="1">
      <c r="F658" s="24"/>
    </row>
    <row r="659" spans="6:6" ht="15.75" customHeight="1">
      <c r="F659" s="24"/>
    </row>
    <row r="660" spans="6:6" ht="15.75" customHeight="1">
      <c r="F660" s="24"/>
    </row>
    <row r="661" spans="6:6" ht="15.75" customHeight="1">
      <c r="F661" s="24"/>
    </row>
    <row r="662" spans="6:6" ht="15.75" customHeight="1">
      <c r="F662" s="24"/>
    </row>
    <row r="663" spans="6:6" ht="15.75" customHeight="1">
      <c r="F663" s="24"/>
    </row>
    <row r="664" spans="6:6" ht="15.75" customHeight="1">
      <c r="F664" s="24"/>
    </row>
    <row r="665" spans="6:6" ht="15.75" customHeight="1">
      <c r="F665" s="24"/>
    </row>
    <row r="666" spans="6:6" ht="15.75" customHeight="1">
      <c r="F666" s="24"/>
    </row>
    <row r="667" spans="6:6" ht="15.75" customHeight="1">
      <c r="F667" s="24"/>
    </row>
    <row r="668" spans="6:6" ht="15.75" customHeight="1">
      <c r="F668" s="24"/>
    </row>
    <row r="669" spans="6:6" ht="15.75" customHeight="1">
      <c r="F669" s="24"/>
    </row>
    <row r="670" spans="6:6" ht="15.75" customHeight="1">
      <c r="F670" s="24"/>
    </row>
    <row r="671" spans="6:6" ht="15.75" customHeight="1">
      <c r="F671" s="24"/>
    </row>
    <row r="672" spans="6:6" ht="15.75" customHeight="1">
      <c r="F672" s="24"/>
    </row>
    <row r="673" spans="6:6" ht="15.75" customHeight="1">
      <c r="F673" s="24"/>
    </row>
    <row r="674" spans="6:6" ht="15.75" customHeight="1">
      <c r="F674" s="24"/>
    </row>
    <row r="675" spans="6:6" ht="15.75" customHeight="1">
      <c r="F675" s="24"/>
    </row>
    <row r="676" spans="6:6" ht="15.75" customHeight="1">
      <c r="F676" s="24"/>
    </row>
    <row r="677" spans="6:6" ht="15.75" customHeight="1">
      <c r="F677" s="24"/>
    </row>
    <row r="678" spans="6:6" ht="15.75" customHeight="1">
      <c r="F678" s="24"/>
    </row>
    <row r="679" spans="6:6" ht="15.75" customHeight="1">
      <c r="F679" s="24"/>
    </row>
    <row r="680" spans="6:6" ht="15.75" customHeight="1">
      <c r="F680" s="24"/>
    </row>
    <row r="681" spans="6:6" ht="15.75" customHeight="1">
      <c r="F681" s="24"/>
    </row>
    <row r="682" spans="6:6" ht="15.75" customHeight="1">
      <c r="F682" s="24"/>
    </row>
    <row r="683" spans="6:6" ht="15.75" customHeight="1">
      <c r="F683" s="24"/>
    </row>
    <row r="684" spans="6:6" ht="15.75" customHeight="1">
      <c r="F684" s="24"/>
    </row>
    <row r="685" spans="6:6" ht="15.75" customHeight="1">
      <c r="F685" s="24"/>
    </row>
    <row r="686" spans="6:6" ht="15.75" customHeight="1">
      <c r="F686" s="24"/>
    </row>
    <row r="687" spans="6:6" ht="15.75" customHeight="1">
      <c r="F687" s="24"/>
    </row>
    <row r="688" spans="6:6" ht="15.75" customHeight="1">
      <c r="F688" s="24"/>
    </row>
    <row r="689" spans="6:6" ht="15.75" customHeight="1">
      <c r="F689" s="24"/>
    </row>
    <row r="690" spans="6:6" ht="15.75" customHeight="1">
      <c r="F690" s="24"/>
    </row>
    <row r="691" spans="6:6" ht="15.75" customHeight="1">
      <c r="F691" s="24"/>
    </row>
    <row r="692" spans="6:6" ht="15.75" customHeight="1">
      <c r="F692" s="24"/>
    </row>
    <row r="693" spans="6:6" ht="15.75" customHeight="1">
      <c r="F693" s="24"/>
    </row>
    <row r="694" spans="6:6" ht="15.75" customHeight="1">
      <c r="F694" s="24"/>
    </row>
    <row r="695" spans="6:6" ht="15.75" customHeight="1">
      <c r="F695" s="24"/>
    </row>
    <row r="696" spans="6:6" ht="15.75" customHeight="1">
      <c r="F696" s="24"/>
    </row>
    <row r="697" spans="6:6" ht="15.75" customHeight="1">
      <c r="F697" s="24"/>
    </row>
    <row r="698" spans="6:6" ht="15.75" customHeight="1">
      <c r="F698" s="24"/>
    </row>
    <row r="699" spans="6:6" ht="15.75" customHeight="1">
      <c r="F699" s="24"/>
    </row>
    <row r="700" spans="6:6" ht="15.75" customHeight="1">
      <c r="F700" s="24"/>
    </row>
    <row r="701" spans="6:6" ht="15.75" customHeight="1">
      <c r="F701" s="24"/>
    </row>
    <row r="702" spans="6:6" ht="15.75" customHeight="1">
      <c r="F702" s="24"/>
    </row>
    <row r="703" spans="6:6" ht="15.75" customHeight="1">
      <c r="F703" s="24"/>
    </row>
    <row r="704" spans="6:6" ht="15.75" customHeight="1">
      <c r="F704" s="24"/>
    </row>
    <row r="705" spans="6:6" ht="15.75" customHeight="1">
      <c r="F705" s="24"/>
    </row>
    <row r="706" spans="6:6" ht="15.75" customHeight="1">
      <c r="F706" s="24"/>
    </row>
    <row r="707" spans="6:6" ht="15.75" customHeight="1">
      <c r="F707" s="24"/>
    </row>
    <row r="708" spans="6:6" ht="15.75" customHeight="1">
      <c r="F708" s="24"/>
    </row>
    <row r="709" spans="6:6" ht="15.75" customHeight="1">
      <c r="F709" s="24"/>
    </row>
    <row r="710" spans="6:6" ht="15.75" customHeight="1">
      <c r="F710" s="24"/>
    </row>
    <row r="711" spans="6:6" ht="15.75" customHeight="1">
      <c r="F711" s="24"/>
    </row>
    <row r="712" spans="6:6" ht="15.75" customHeight="1">
      <c r="F712" s="24"/>
    </row>
    <row r="713" spans="6:6" ht="15.75" customHeight="1">
      <c r="F713" s="24"/>
    </row>
    <row r="714" spans="6:6" ht="15.75" customHeight="1">
      <c r="F714" s="24"/>
    </row>
    <row r="715" spans="6:6" ht="15.75" customHeight="1">
      <c r="F715" s="24"/>
    </row>
    <row r="716" spans="6:6" ht="15.75" customHeight="1">
      <c r="F716" s="24"/>
    </row>
    <row r="717" spans="6:6" ht="15.75" customHeight="1">
      <c r="F717" s="24"/>
    </row>
    <row r="718" spans="6:6" ht="15.75" customHeight="1">
      <c r="F718" s="24"/>
    </row>
    <row r="719" spans="6:6" ht="15.75" customHeight="1">
      <c r="F719" s="24"/>
    </row>
    <row r="720" spans="6:6" ht="15.75" customHeight="1">
      <c r="F720" s="24"/>
    </row>
    <row r="721" spans="6:6" ht="15.75" customHeight="1">
      <c r="F721" s="24"/>
    </row>
    <row r="722" spans="6:6" ht="15.75" customHeight="1">
      <c r="F722" s="24"/>
    </row>
    <row r="723" spans="6:6" ht="15.75" customHeight="1">
      <c r="F723" s="24"/>
    </row>
    <row r="724" spans="6:6" ht="15.75" customHeight="1">
      <c r="F724" s="24"/>
    </row>
    <row r="725" spans="6:6" ht="15.75" customHeight="1">
      <c r="F725" s="24"/>
    </row>
    <row r="726" spans="6:6" ht="15.75" customHeight="1">
      <c r="F726" s="24"/>
    </row>
    <row r="727" spans="6:6" ht="15.75" customHeight="1">
      <c r="F727" s="24"/>
    </row>
    <row r="728" spans="6:6" ht="15.75" customHeight="1">
      <c r="F728" s="24"/>
    </row>
    <row r="729" spans="6:6" ht="15.75" customHeight="1">
      <c r="F729" s="24"/>
    </row>
    <row r="730" spans="6:6" ht="15.75" customHeight="1">
      <c r="F730" s="24"/>
    </row>
    <row r="731" spans="6:6" ht="15.75" customHeight="1">
      <c r="F731" s="24"/>
    </row>
    <row r="732" spans="6:6" ht="15.75" customHeight="1">
      <c r="F732" s="24"/>
    </row>
    <row r="733" spans="6:6" ht="15.75" customHeight="1">
      <c r="F733" s="24"/>
    </row>
    <row r="734" spans="6:6" ht="15.75" customHeight="1">
      <c r="F734" s="24"/>
    </row>
    <row r="735" spans="6:6" ht="15.75" customHeight="1">
      <c r="F735" s="24"/>
    </row>
    <row r="736" spans="6:6" ht="15.75" customHeight="1">
      <c r="F736" s="24"/>
    </row>
    <row r="737" spans="6:6" ht="15.75" customHeight="1">
      <c r="F737" s="24"/>
    </row>
    <row r="738" spans="6:6" ht="15.75" customHeight="1">
      <c r="F738" s="24"/>
    </row>
    <row r="739" spans="6:6" ht="15.75" customHeight="1">
      <c r="F739" s="24"/>
    </row>
    <row r="740" spans="6:6" ht="15.75" customHeight="1">
      <c r="F740" s="24"/>
    </row>
    <row r="741" spans="6:6" ht="15.75" customHeight="1">
      <c r="F741" s="24"/>
    </row>
    <row r="742" spans="6:6" ht="15.75" customHeight="1">
      <c r="F742" s="24"/>
    </row>
    <row r="743" spans="6:6" ht="15.75" customHeight="1">
      <c r="F743" s="24"/>
    </row>
    <row r="744" spans="6:6" ht="15.75" customHeight="1">
      <c r="F744" s="24"/>
    </row>
    <row r="745" spans="6:6" ht="15.75" customHeight="1">
      <c r="F745" s="24"/>
    </row>
    <row r="746" spans="6:6" ht="15.75" customHeight="1">
      <c r="F746" s="24"/>
    </row>
    <row r="747" spans="6:6" ht="15.75" customHeight="1">
      <c r="F747" s="24"/>
    </row>
    <row r="748" spans="6:6" ht="15.75" customHeight="1">
      <c r="F748" s="24"/>
    </row>
    <row r="749" spans="6:6" ht="15.75" customHeight="1">
      <c r="F749" s="24"/>
    </row>
    <row r="750" spans="6:6" ht="15.75" customHeight="1">
      <c r="F750" s="24"/>
    </row>
    <row r="751" spans="6:6" ht="15.75" customHeight="1">
      <c r="F751" s="24"/>
    </row>
    <row r="752" spans="6:6" ht="15.75" customHeight="1">
      <c r="F752" s="24"/>
    </row>
    <row r="753" spans="6:6" ht="15.75" customHeight="1">
      <c r="F753" s="24"/>
    </row>
    <row r="754" spans="6:6" ht="15.75" customHeight="1">
      <c r="F754" s="24"/>
    </row>
    <row r="755" spans="6:6" ht="15.75" customHeight="1">
      <c r="F755" s="24"/>
    </row>
    <row r="756" spans="6:6" ht="15.75" customHeight="1">
      <c r="F756" s="24"/>
    </row>
    <row r="757" spans="6:6" ht="15.75" customHeight="1">
      <c r="F757" s="24"/>
    </row>
    <row r="758" spans="6:6" ht="15.75" customHeight="1">
      <c r="F758" s="24"/>
    </row>
    <row r="759" spans="6:6" ht="15.75" customHeight="1">
      <c r="F759" s="24"/>
    </row>
    <row r="760" spans="6:6" ht="15.75" customHeight="1">
      <c r="F760" s="24"/>
    </row>
    <row r="761" spans="6:6" ht="15.75" customHeight="1">
      <c r="F761" s="24"/>
    </row>
    <row r="762" spans="6:6" ht="15.75" customHeight="1">
      <c r="F762" s="24"/>
    </row>
    <row r="763" spans="6:6" ht="15.75" customHeight="1">
      <c r="F763" s="24"/>
    </row>
    <row r="764" spans="6:6" ht="15.75" customHeight="1">
      <c r="F764" s="24"/>
    </row>
    <row r="765" spans="6:6" ht="15.75" customHeight="1">
      <c r="F765" s="24"/>
    </row>
    <row r="766" spans="6:6" ht="15.75" customHeight="1">
      <c r="F766" s="24"/>
    </row>
    <row r="767" spans="6:6" ht="15.75" customHeight="1">
      <c r="F767" s="24"/>
    </row>
    <row r="768" spans="6:6" ht="15.75" customHeight="1">
      <c r="F768" s="24"/>
    </row>
    <row r="769" spans="6:6" ht="15.75" customHeight="1">
      <c r="F769" s="24"/>
    </row>
    <row r="770" spans="6:6" ht="15.75" customHeight="1">
      <c r="F770" s="24"/>
    </row>
    <row r="771" spans="6:6" ht="15.75" customHeight="1">
      <c r="F771" s="24"/>
    </row>
    <row r="772" spans="6:6" ht="15.75" customHeight="1">
      <c r="F772" s="24"/>
    </row>
    <row r="773" spans="6:6" ht="15.75" customHeight="1">
      <c r="F773" s="24"/>
    </row>
    <row r="774" spans="6:6" ht="15.75" customHeight="1">
      <c r="F774" s="24"/>
    </row>
    <row r="775" spans="6:6" ht="15.75" customHeight="1">
      <c r="F775" s="24"/>
    </row>
    <row r="776" spans="6:6" ht="15.75" customHeight="1">
      <c r="F776" s="24"/>
    </row>
    <row r="777" spans="6:6" ht="15.75" customHeight="1">
      <c r="F777" s="24"/>
    </row>
    <row r="778" spans="6:6" ht="15.75" customHeight="1">
      <c r="F778" s="24"/>
    </row>
    <row r="779" spans="6:6" ht="15.75" customHeight="1">
      <c r="F779" s="24"/>
    </row>
    <row r="780" spans="6:6" ht="15.75" customHeight="1">
      <c r="F780" s="24"/>
    </row>
    <row r="781" spans="6:6" ht="15.75" customHeight="1">
      <c r="F781" s="24"/>
    </row>
    <row r="782" spans="6:6" ht="15.75" customHeight="1">
      <c r="F782" s="24"/>
    </row>
    <row r="783" spans="6:6" ht="15.75" customHeight="1">
      <c r="F783" s="24"/>
    </row>
    <row r="784" spans="6:6" ht="15.75" customHeight="1">
      <c r="F784" s="24"/>
    </row>
    <row r="785" spans="6:6" ht="15.75" customHeight="1">
      <c r="F785" s="24"/>
    </row>
    <row r="786" spans="6:6" ht="15.75" customHeight="1">
      <c r="F786" s="24"/>
    </row>
    <row r="787" spans="6:6" ht="15.75" customHeight="1">
      <c r="F787" s="24"/>
    </row>
    <row r="788" spans="6:6" ht="15.75" customHeight="1">
      <c r="F788" s="24"/>
    </row>
    <row r="789" spans="6:6" ht="15.75" customHeight="1">
      <c r="F789" s="24"/>
    </row>
    <row r="790" spans="6:6" ht="15.75" customHeight="1">
      <c r="F790" s="24"/>
    </row>
    <row r="791" spans="6:6" ht="15.75" customHeight="1">
      <c r="F791" s="24"/>
    </row>
    <row r="792" spans="6:6" ht="15.75" customHeight="1">
      <c r="F792" s="24"/>
    </row>
    <row r="793" spans="6:6" ht="15.75" customHeight="1">
      <c r="F793" s="24"/>
    </row>
    <row r="794" spans="6:6" ht="15.75" customHeight="1">
      <c r="F794" s="24"/>
    </row>
    <row r="795" spans="6:6" ht="15.75" customHeight="1">
      <c r="F795" s="24"/>
    </row>
    <row r="796" spans="6:6" ht="15.75" customHeight="1">
      <c r="F796" s="24"/>
    </row>
    <row r="797" spans="6:6" ht="15.75" customHeight="1">
      <c r="F797" s="24"/>
    </row>
    <row r="798" spans="6:6" ht="15.75" customHeight="1">
      <c r="F798" s="24"/>
    </row>
    <row r="799" spans="6:6" ht="15.75" customHeight="1">
      <c r="F799" s="24"/>
    </row>
    <row r="800" spans="6:6" ht="15.75" customHeight="1">
      <c r="F800" s="24"/>
    </row>
    <row r="801" spans="6:6" ht="15.75" customHeight="1">
      <c r="F801" s="24"/>
    </row>
    <row r="802" spans="6:6" ht="15.75" customHeight="1">
      <c r="F802" s="24"/>
    </row>
    <row r="803" spans="6:6" ht="15.75" customHeight="1">
      <c r="F803" s="24"/>
    </row>
    <row r="804" spans="6:6" ht="15.75" customHeight="1">
      <c r="F804" s="24"/>
    </row>
    <row r="805" spans="6:6" ht="15.75" customHeight="1">
      <c r="F805" s="24"/>
    </row>
    <row r="806" spans="6:6" ht="15.75" customHeight="1">
      <c r="F806" s="24"/>
    </row>
    <row r="807" spans="6:6" ht="15.75" customHeight="1">
      <c r="F807" s="24"/>
    </row>
    <row r="808" spans="6:6" ht="15.75" customHeight="1">
      <c r="F808" s="24"/>
    </row>
    <row r="809" spans="6:6" ht="15.75" customHeight="1">
      <c r="F809" s="24"/>
    </row>
    <row r="810" spans="6:6" ht="15.75" customHeight="1">
      <c r="F810" s="24"/>
    </row>
    <row r="811" spans="6:6" ht="15.75" customHeight="1">
      <c r="F811" s="24"/>
    </row>
    <row r="812" spans="6:6" ht="15.75" customHeight="1">
      <c r="F812" s="24"/>
    </row>
    <row r="813" spans="6:6" ht="15.75" customHeight="1">
      <c r="F813" s="24"/>
    </row>
    <row r="814" spans="6:6" ht="15.75" customHeight="1">
      <c r="F814" s="24"/>
    </row>
    <row r="815" spans="6:6" ht="15.75" customHeight="1">
      <c r="F815" s="24"/>
    </row>
    <row r="816" spans="6:6" ht="15.75" customHeight="1">
      <c r="F816" s="24"/>
    </row>
    <row r="817" spans="6:6" ht="15.75" customHeight="1">
      <c r="F817" s="24"/>
    </row>
    <row r="818" spans="6:6" ht="15.75" customHeight="1">
      <c r="F818" s="24"/>
    </row>
    <row r="819" spans="6:6" ht="15.75" customHeight="1">
      <c r="F819" s="24"/>
    </row>
    <row r="820" spans="6:6" ht="15.75" customHeight="1">
      <c r="F820" s="24"/>
    </row>
    <row r="821" spans="6:6" ht="15.75" customHeight="1">
      <c r="F821" s="24"/>
    </row>
    <row r="822" spans="6:6" ht="15.75" customHeight="1">
      <c r="F822" s="24"/>
    </row>
    <row r="823" spans="6:6" ht="15.75" customHeight="1">
      <c r="F823" s="24"/>
    </row>
    <row r="824" spans="6:6" ht="15.75" customHeight="1">
      <c r="F824" s="24"/>
    </row>
    <row r="825" spans="6:6" ht="15.75" customHeight="1">
      <c r="F825" s="24"/>
    </row>
    <row r="826" spans="6:6" ht="15.75" customHeight="1">
      <c r="F826" s="24"/>
    </row>
    <row r="827" spans="6:6" ht="15.75" customHeight="1">
      <c r="F827" s="24"/>
    </row>
    <row r="828" spans="6:6" ht="15.75" customHeight="1">
      <c r="F828" s="24"/>
    </row>
    <row r="829" spans="6:6" ht="15.75" customHeight="1">
      <c r="F829" s="24"/>
    </row>
    <row r="830" spans="6:6" ht="15.75" customHeight="1">
      <c r="F830" s="24"/>
    </row>
    <row r="831" spans="6:6" ht="15.75" customHeight="1">
      <c r="F831" s="24"/>
    </row>
    <row r="832" spans="6:6" ht="15.75" customHeight="1">
      <c r="F832" s="24"/>
    </row>
    <row r="833" spans="6:6" ht="15.75" customHeight="1">
      <c r="F833" s="24"/>
    </row>
    <row r="834" spans="6:6" ht="15.75" customHeight="1">
      <c r="F834" s="24"/>
    </row>
    <row r="835" spans="6:6" ht="15.75" customHeight="1">
      <c r="F835" s="24"/>
    </row>
    <row r="836" spans="6:6" ht="15.75" customHeight="1">
      <c r="F836" s="24"/>
    </row>
    <row r="837" spans="6:6" ht="15.75" customHeight="1">
      <c r="F837" s="24"/>
    </row>
    <row r="838" spans="6:6" ht="15.75" customHeight="1">
      <c r="F838" s="24"/>
    </row>
    <row r="839" spans="6:6" ht="15.75" customHeight="1">
      <c r="F839" s="24"/>
    </row>
    <row r="840" spans="6:6" ht="15.75" customHeight="1">
      <c r="F840" s="24"/>
    </row>
    <row r="841" spans="6:6" ht="15.75" customHeight="1">
      <c r="F841" s="24"/>
    </row>
    <row r="842" spans="6:6" ht="15.75" customHeight="1">
      <c r="F842" s="24"/>
    </row>
    <row r="843" spans="6:6" ht="15.75" customHeight="1">
      <c r="F843" s="24"/>
    </row>
    <row r="844" spans="6:6" ht="15.75" customHeight="1">
      <c r="F844" s="24"/>
    </row>
    <row r="845" spans="6:6" ht="15.75" customHeight="1">
      <c r="F845" s="24"/>
    </row>
    <row r="846" spans="6:6" ht="15.75" customHeight="1">
      <c r="F846" s="24"/>
    </row>
    <row r="847" spans="6:6" ht="15.75" customHeight="1">
      <c r="F847" s="24"/>
    </row>
    <row r="848" spans="6:6" ht="15.75" customHeight="1">
      <c r="F848" s="24"/>
    </row>
    <row r="849" spans="6:6" ht="15.75" customHeight="1">
      <c r="F849" s="24"/>
    </row>
    <row r="850" spans="6:6" ht="15.75" customHeight="1">
      <c r="F850" s="24"/>
    </row>
    <row r="851" spans="6:6" ht="15.75" customHeight="1">
      <c r="F851" s="24"/>
    </row>
    <row r="852" spans="6:6" ht="15.75" customHeight="1">
      <c r="F852" s="24"/>
    </row>
    <row r="853" spans="6:6" ht="15.75" customHeight="1">
      <c r="F853" s="24"/>
    </row>
    <row r="854" spans="6:6" ht="15.75" customHeight="1">
      <c r="F854" s="24"/>
    </row>
    <row r="855" spans="6:6" ht="15.75" customHeight="1">
      <c r="F855" s="24"/>
    </row>
    <row r="856" spans="6:6" ht="15.75" customHeight="1">
      <c r="F856" s="24"/>
    </row>
    <row r="857" spans="6:6" ht="15.75" customHeight="1">
      <c r="F857" s="24"/>
    </row>
    <row r="858" spans="6:6" ht="15.75" customHeight="1">
      <c r="F858" s="24"/>
    </row>
    <row r="859" spans="6:6" ht="15.75" customHeight="1">
      <c r="F859" s="24"/>
    </row>
    <row r="860" spans="6:6" ht="15.75" customHeight="1">
      <c r="F860" s="24"/>
    </row>
    <row r="861" spans="6:6" ht="15.75" customHeight="1">
      <c r="F861" s="24"/>
    </row>
    <row r="862" spans="6:6" ht="15.75" customHeight="1">
      <c r="F862" s="24"/>
    </row>
    <row r="863" spans="6:6" ht="15.75" customHeight="1">
      <c r="F863" s="24"/>
    </row>
    <row r="864" spans="6:6" ht="15.75" customHeight="1">
      <c r="F864" s="24"/>
    </row>
    <row r="865" spans="6:6" ht="15.75" customHeight="1">
      <c r="F865" s="24"/>
    </row>
    <row r="866" spans="6:6" ht="15.75" customHeight="1">
      <c r="F866" s="24"/>
    </row>
    <row r="867" spans="6:6" ht="15.75" customHeight="1">
      <c r="F867" s="24"/>
    </row>
    <row r="868" spans="6:6" ht="15.75" customHeight="1">
      <c r="F868" s="24"/>
    </row>
    <row r="869" spans="6:6" ht="15.75" customHeight="1">
      <c r="F869" s="24"/>
    </row>
    <row r="870" spans="6:6" ht="15.75" customHeight="1">
      <c r="F870" s="24"/>
    </row>
    <row r="871" spans="6:6" ht="15.75" customHeight="1">
      <c r="F871" s="24"/>
    </row>
    <row r="872" spans="6:6" ht="15.75" customHeight="1">
      <c r="F872" s="24"/>
    </row>
    <row r="873" spans="6:6" ht="15.75" customHeight="1">
      <c r="F873" s="24"/>
    </row>
    <row r="874" spans="6:6" ht="15.75" customHeight="1">
      <c r="F874" s="24"/>
    </row>
    <row r="875" spans="6:6" ht="15.75" customHeight="1">
      <c r="F875" s="24"/>
    </row>
    <row r="876" spans="6:6" ht="15.75" customHeight="1">
      <c r="F876" s="24"/>
    </row>
    <row r="877" spans="6:6" ht="15.75" customHeight="1">
      <c r="F877" s="24"/>
    </row>
    <row r="878" spans="6:6" ht="15.75" customHeight="1">
      <c r="F878" s="24"/>
    </row>
    <row r="879" spans="6:6" ht="15.75" customHeight="1">
      <c r="F879" s="24"/>
    </row>
    <row r="880" spans="6:6" ht="15.75" customHeight="1">
      <c r="F880" s="24"/>
    </row>
    <row r="881" spans="6:6" ht="15.75" customHeight="1">
      <c r="F881" s="24"/>
    </row>
    <row r="882" spans="6:6" ht="15.75" customHeight="1">
      <c r="F882" s="24"/>
    </row>
    <row r="883" spans="6:6" ht="15.75" customHeight="1">
      <c r="F883" s="24"/>
    </row>
    <row r="884" spans="6:6" ht="15.75" customHeight="1">
      <c r="F884" s="24"/>
    </row>
    <row r="885" spans="6:6" ht="15.75" customHeight="1">
      <c r="F885" s="24"/>
    </row>
    <row r="886" spans="6:6" ht="15.75" customHeight="1">
      <c r="F886" s="24"/>
    </row>
    <row r="887" spans="6:6" ht="15.75" customHeight="1">
      <c r="F887" s="24"/>
    </row>
    <row r="888" spans="6:6" ht="15.75" customHeight="1">
      <c r="F888" s="24"/>
    </row>
    <row r="889" spans="6:6" ht="15.75" customHeight="1">
      <c r="F889" s="24"/>
    </row>
    <row r="890" spans="6:6" ht="15.75" customHeight="1">
      <c r="F890" s="24"/>
    </row>
    <row r="891" spans="6:6" ht="15.75" customHeight="1">
      <c r="F891" s="24"/>
    </row>
    <row r="892" spans="6:6" ht="15.75" customHeight="1">
      <c r="F892" s="24"/>
    </row>
    <row r="893" spans="6:6" ht="15.75" customHeight="1">
      <c r="F893" s="24"/>
    </row>
    <row r="894" spans="6:6" ht="15.75" customHeight="1">
      <c r="F894" s="24"/>
    </row>
    <row r="895" spans="6:6" ht="15.75" customHeight="1">
      <c r="F895" s="24"/>
    </row>
    <row r="896" spans="6:6" ht="15.75" customHeight="1">
      <c r="F896" s="24"/>
    </row>
    <row r="897" spans="6:6" ht="15.75" customHeight="1">
      <c r="F897" s="24"/>
    </row>
    <row r="898" spans="6:6" ht="15.75" customHeight="1">
      <c r="F898" s="24"/>
    </row>
    <row r="899" spans="6:6" ht="15.75" customHeight="1">
      <c r="F899" s="24"/>
    </row>
    <row r="900" spans="6:6" ht="15.75" customHeight="1">
      <c r="F900" s="24"/>
    </row>
    <row r="901" spans="6:6" ht="15.75" customHeight="1">
      <c r="F901" s="24"/>
    </row>
    <row r="902" spans="6:6" ht="15.75" customHeight="1">
      <c r="F902" s="24"/>
    </row>
    <row r="903" spans="6:6" ht="15.75" customHeight="1">
      <c r="F903" s="24"/>
    </row>
    <row r="904" spans="6:6" ht="15.75" customHeight="1">
      <c r="F904" s="24"/>
    </row>
    <row r="905" spans="6:6" ht="15.75" customHeight="1">
      <c r="F905" s="24"/>
    </row>
    <row r="906" spans="6:6" ht="15.75" customHeight="1">
      <c r="F906" s="24"/>
    </row>
    <row r="907" spans="6:6" ht="15.75" customHeight="1">
      <c r="F907" s="24"/>
    </row>
    <row r="908" spans="6:6" ht="15.75" customHeight="1">
      <c r="F908" s="24"/>
    </row>
    <row r="909" spans="6:6" ht="15.75" customHeight="1">
      <c r="F909" s="24"/>
    </row>
    <row r="910" spans="6:6" ht="15.75" customHeight="1">
      <c r="F910" s="24"/>
    </row>
    <row r="911" spans="6:6" ht="15.75" customHeight="1">
      <c r="F911" s="24"/>
    </row>
    <row r="912" spans="6:6" ht="15.75" customHeight="1">
      <c r="F912" s="24"/>
    </row>
    <row r="913" spans="6:6" ht="15.75" customHeight="1">
      <c r="F913" s="24"/>
    </row>
    <row r="914" spans="6:6" ht="15.75" customHeight="1">
      <c r="F914" s="24"/>
    </row>
    <row r="915" spans="6:6" ht="15.75" customHeight="1">
      <c r="F915" s="24"/>
    </row>
    <row r="916" spans="6:6" ht="15.75" customHeight="1">
      <c r="F916" s="24"/>
    </row>
    <row r="917" spans="6:6" ht="15.75" customHeight="1">
      <c r="F917" s="24"/>
    </row>
    <row r="918" spans="6:6" ht="15.75" customHeight="1">
      <c r="F918" s="24"/>
    </row>
    <row r="919" spans="6:6" ht="15.75" customHeight="1">
      <c r="F919" s="24"/>
    </row>
    <row r="920" spans="6:6" ht="15.75" customHeight="1">
      <c r="F920" s="24"/>
    </row>
    <row r="921" spans="6:6" ht="15.75" customHeight="1">
      <c r="F921" s="24"/>
    </row>
    <row r="922" spans="6:6" ht="15.75" customHeight="1">
      <c r="F922" s="24"/>
    </row>
    <row r="923" spans="6:6" ht="15.75" customHeight="1">
      <c r="F923" s="24"/>
    </row>
    <row r="924" spans="6:6" ht="15.75" customHeight="1">
      <c r="F924" s="24"/>
    </row>
    <row r="925" spans="6:6" ht="15.75" customHeight="1">
      <c r="F925" s="24"/>
    </row>
    <row r="926" spans="6:6" ht="15.75" customHeight="1">
      <c r="F926" s="24"/>
    </row>
    <row r="927" spans="6:6" ht="15.75" customHeight="1">
      <c r="F927" s="24"/>
    </row>
    <row r="928" spans="6:6" ht="15.75" customHeight="1">
      <c r="F928" s="24"/>
    </row>
    <row r="929" spans="6:6" ht="15.75" customHeight="1">
      <c r="F929" s="24"/>
    </row>
    <row r="930" spans="6:6" ht="15.75" customHeight="1">
      <c r="F930" s="24"/>
    </row>
    <row r="931" spans="6:6" ht="15.75" customHeight="1">
      <c r="F931" s="24"/>
    </row>
    <row r="932" spans="6:6" ht="15.75" customHeight="1">
      <c r="F932" s="24"/>
    </row>
    <row r="933" spans="6:6" ht="15.75" customHeight="1">
      <c r="F933" s="24"/>
    </row>
    <row r="934" spans="6:6" ht="15.75" customHeight="1">
      <c r="F934" s="24"/>
    </row>
    <row r="935" spans="6:6" ht="15.75" customHeight="1">
      <c r="F935" s="24"/>
    </row>
    <row r="936" spans="6:6" ht="15.75" customHeight="1">
      <c r="F936" s="24"/>
    </row>
    <row r="937" spans="6:6" ht="15.75" customHeight="1">
      <c r="F937" s="24"/>
    </row>
    <row r="938" spans="6:6" ht="15.75" customHeight="1">
      <c r="F938" s="24"/>
    </row>
    <row r="939" spans="6:6" ht="15.75" customHeight="1">
      <c r="F939" s="24"/>
    </row>
    <row r="940" spans="6:6" ht="15.75" customHeight="1">
      <c r="F940" s="24"/>
    </row>
    <row r="941" spans="6:6" ht="15.75" customHeight="1">
      <c r="F941" s="24"/>
    </row>
    <row r="942" spans="6:6" ht="15.75" customHeight="1">
      <c r="F942" s="24"/>
    </row>
    <row r="943" spans="6:6" ht="15.75" customHeight="1">
      <c r="F943" s="24"/>
    </row>
    <row r="944" spans="6:6" ht="15.75" customHeight="1">
      <c r="F944" s="24"/>
    </row>
    <row r="945" spans="6:6" ht="15.75" customHeight="1">
      <c r="F945" s="24"/>
    </row>
    <row r="946" spans="6:6" ht="15.75" customHeight="1">
      <c r="F946" s="24"/>
    </row>
    <row r="947" spans="6:6" ht="15.75" customHeight="1">
      <c r="F947" s="24"/>
    </row>
    <row r="948" spans="6:6" ht="15.75" customHeight="1">
      <c r="F948" s="24"/>
    </row>
    <row r="949" spans="6:6" ht="15.75" customHeight="1">
      <c r="F949" s="24"/>
    </row>
    <row r="950" spans="6:6" ht="15.75" customHeight="1">
      <c r="F950" s="24"/>
    </row>
    <row r="951" spans="6:6" ht="15.75" customHeight="1">
      <c r="F951" s="24"/>
    </row>
    <row r="952" spans="6:6" ht="15.75" customHeight="1">
      <c r="F952" s="24"/>
    </row>
    <row r="953" spans="6:6" ht="15.75" customHeight="1">
      <c r="F953" s="24"/>
    </row>
    <row r="954" spans="6:6" ht="15.75" customHeight="1">
      <c r="F954" s="24"/>
    </row>
    <row r="955" spans="6:6" ht="15.75" customHeight="1">
      <c r="F955" s="24"/>
    </row>
    <row r="956" spans="6:6" ht="15.75" customHeight="1">
      <c r="F956" s="24"/>
    </row>
    <row r="957" spans="6:6" ht="15.75" customHeight="1">
      <c r="F957" s="24"/>
    </row>
    <row r="958" spans="6:6" ht="15.75" customHeight="1">
      <c r="F958" s="24"/>
    </row>
    <row r="959" spans="6:6" ht="15.75" customHeight="1">
      <c r="F959" s="24"/>
    </row>
    <row r="960" spans="6:6" ht="15.75" customHeight="1">
      <c r="F960" s="24"/>
    </row>
    <row r="961" spans="6:6" ht="15.75" customHeight="1">
      <c r="F961" s="24"/>
    </row>
    <row r="962" spans="6:6" ht="15.75" customHeight="1">
      <c r="F962" s="24"/>
    </row>
    <row r="963" spans="6:6" ht="15.75" customHeight="1">
      <c r="F963" s="24"/>
    </row>
    <row r="964" spans="6:6" ht="15.75" customHeight="1">
      <c r="F964" s="24"/>
    </row>
    <row r="965" spans="6:6" ht="15.75" customHeight="1">
      <c r="F965" s="24"/>
    </row>
    <row r="966" spans="6:6" ht="15.75" customHeight="1">
      <c r="F966" s="24"/>
    </row>
    <row r="967" spans="6:6" ht="15.75" customHeight="1">
      <c r="F967" s="24"/>
    </row>
    <row r="968" spans="6:6" ht="15.75" customHeight="1">
      <c r="F968" s="24"/>
    </row>
    <row r="969" spans="6:6" ht="15.75" customHeight="1">
      <c r="F969" s="24"/>
    </row>
    <row r="970" spans="6:6" ht="15.75" customHeight="1">
      <c r="F970" s="24"/>
    </row>
    <row r="971" spans="6:6" ht="15.75" customHeight="1">
      <c r="F971" s="24"/>
    </row>
    <row r="972" spans="6:6" ht="15.75" customHeight="1">
      <c r="F972" s="24"/>
    </row>
    <row r="973" spans="6:6" ht="15.75" customHeight="1">
      <c r="F973" s="24"/>
    </row>
    <row r="974" spans="6:6" ht="15.75" customHeight="1">
      <c r="F974" s="24"/>
    </row>
    <row r="975" spans="6:6" ht="15.75" customHeight="1">
      <c r="F975" s="24"/>
    </row>
    <row r="976" spans="6:6" ht="15.75" customHeight="1">
      <c r="F976" s="24"/>
    </row>
    <row r="977" spans="6:6" ht="15.75" customHeight="1">
      <c r="F977" s="24"/>
    </row>
    <row r="978" spans="6:6" ht="15.75" customHeight="1">
      <c r="F978" s="24"/>
    </row>
    <row r="979" spans="6:6" ht="15.75" customHeight="1">
      <c r="F979" s="24"/>
    </row>
    <row r="980" spans="6:6" ht="15.75" customHeight="1">
      <c r="F980" s="24"/>
    </row>
    <row r="981" spans="6:6" ht="15.75" customHeight="1">
      <c r="F981" s="24"/>
    </row>
    <row r="982" spans="6:6" ht="15.75" customHeight="1">
      <c r="F982" s="24"/>
    </row>
    <row r="983" spans="6:6" ht="15.75" customHeight="1">
      <c r="F983" s="24"/>
    </row>
    <row r="984" spans="6:6" ht="15.75" customHeight="1">
      <c r="F984" s="24"/>
    </row>
    <row r="985" spans="6:6" ht="15.75" customHeight="1">
      <c r="F985" s="24"/>
    </row>
    <row r="986" spans="6:6" ht="15.75" customHeight="1">
      <c r="F986" s="24"/>
    </row>
    <row r="987" spans="6:6" ht="15.75" customHeight="1">
      <c r="F987" s="24"/>
    </row>
    <row r="988" spans="6:6" ht="15.75" customHeight="1">
      <c r="F988" s="24"/>
    </row>
    <row r="989" spans="6:6" ht="15.75" customHeight="1">
      <c r="F989" s="24"/>
    </row>
    <row r="990" spans="6:6" ht="15.75" customHeight="1">
      <c r="F990" s="24"/>
    </row>
    <row r="991" spans="6:6" ht="15.75" customHeight="1">
      <c r="F991" s="24"/>
    </row>
    <row r="992" spans="6:6" ht="15.75" customHeight="1">
      <c r="F992" s="24"/>
    </row>
    <row r="993" spans="6:6" ht="15.75" customHeight="1">
      <c r="F993" s="24"/>
    </row>
    <row r="994" spans="6:6" ht="15.75" customHeight="1">
      <c r="F994" s="24"/>
    </row>
    <row r="995" spans="6:6" ht="15.75" customHeight="1">
      <c r="F995" s="24"/>
    </row>
    <row r="996" spans="6:6" ht="15.75" customHeight="1">
      <c r="F996" s="24"/>
    </row>
    <row r="997" spans="6:6" ht="15.75" customHeight="1">
      <c r="F997" s="24"/>
    </row>
    <row r="998" spans="6:6" ht="15.75" customHeight="1">
      <c r="F998" s="24"/>
    </row>
    <row r="999" spans="6:6" ht="15.75" customHeight="1">
      <c r="F999" s="24"/>
    </row>
    <row r="1000" spans="6:6" ht="15.75" customHeight="1">
      <c r="F1000" s="24"/>
    </row>
  </sheetData>
  <conditionalFormatting sqref="F2:F74 O2:O74 F78:F150 O78:O150 F154:F226 O154:O226 F230:F302 O230:O302 F306:F378 O306:O378 F382:F454 O382:O454 F458:F530 O458:O530 F534:F606 O534:O606 F610:F682 O610:O682 F686:F758 O686:O758 F762:F834 O762:O834 F838:F910 O838:O910 F914:F986 O914:O98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 MAR 2026</vt:lpstr>
      <vt:lpstr>2 MAR 2026</vt:lpstr>
      <vt:lpstr>3 MAR 2026</vt:lpstr>
      <vt:lpstr>4 MAR 2026</vt:lpstr>
      <vt:lpstr>5 MAR 2026</vt:lpstr>
      <vt:lpstr>6 MAR. 2026</vt:lpstr>
      <vt:lpstr>7 MAR 2026</vt:lpstr>
      <vt:lpstr>8 MAR. 2026</vt:lpstr>
      <vt:lpstr>9 MAR.2026</vt:lpstr>
      <vt:lpstr>10 MAR.2026</vt:lpstr>
      <vt:lpstr>11 MAR. 2026</vt:lpstr>
      <vt:lpstr>12 MAR.2026</vt:lpstr>
      <vt:lpstr>13 MAR.2026</vt:lpstr>
      <vt:lpstr>14 MAR. 2026</vt:lpstr>
      <vt:lpstr>15 MAR.2026</vt:lpstr>
      <vt:lpstr>16 MAR.2026</vt:lpstr>
      <vt:lpstr>17 MAR. 2026</vt:lpstr>
      <vt:lpstr>18 MAR. 2026</vt:lpstr>
      <vt:lpstr>19 MAR. 2026</vt:lpstr>
      <vt:lpstr>20 MAR. 2026</vt:lpstr>
      <vt:lpstr>21 MAR. 2026</vt:lpstr>
      <vt:lpstr>22 MAR. 2026</vt:lpstr>
      <vt:lpstr>23 MAR. 2026</vt:lpstr>
      <vt:lpstr>24 MAR. 2026</vt:lpstr>
      <vt:lpstr>25 MAR. 2026</vt:lpstr>
      <vt:lpstr>26 MAR. 2026</vt:lpstr>
      <vt:lpstr>27 MAR. 2026</vt:lpstr>
      <vt:lpstr>28 MAR. 2026</vt:lpstr>
      <vt:lpstr>29 MAR. 2026</vt:lpstr>
      <vt:lpstr>30 MAR. 2026</vt:lpstr>
      <vt:lpstr>31 MAR.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Kumar</dc:creator>
  <cp:lastModifiedBy>Pratik Kumar</cp:lastModifiedBy>
  <dcterms:created xsi:type="dcterms:W3CDTF">2025-09-10T06:13:20Z</dcterms:created>
  <dcterms:modified xsi:type="dcterms:W3CDTF">2026-04-10T11:37:02Z</dcterms:modified>
</cp:coreProperties>
</file>