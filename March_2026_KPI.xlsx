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nishchoubey\OneDrive\Desktop\March_2026_Gen._Analysis\"/>
    </mc:Choice>
  </mc:AlternateContent>
  <xr:revisionPtr revIDLastSave="0" documentId="13_ncr:1_{C22EC9AD-29A8-4E3A-8743-E232B463AE9F}" xr6:coauthVersionLast="47" xr6:coauthVersionMax="47" xr10:uidLastSave="{00000000-0000-0000-0000-000000000000}"/>
  <bookViews>
    <workbookView xWindow="-110" yWindow="-110" windowWidth="19420" windowHeight="10300" xr2:uid="{3B827A41-AFAD-4BA1-9836-A3AE75B8F069}"/>
  </bookViews>
  <sheets>
    <sheet name="Y24-Y25" sheetId="3" r:id="rId1"/>
    <sheet name="Y26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3" i="3"/>
  <c r="J17" i="3"/>
  <c r="J16" i="3"/>
  <c r="J15" i="3"/>
  <c r="J14" i="3"/>
  <c r="J13" i="3"/>
  <c r="J12" i="3"/>
  <c r="J11" i="3"/>
  <c r="J10" i="3"/>
  <c r="J9" i="3"/>
  <c r="J8" i="3"/>
  <c r="J4" i="3"/>
  <c r="J6" i="3"/>
  <c r="J7" i="3"/>
  <c r="G7" i="3"/>
  <c r="G8" i="3"/>
  <c r="G9" i="3"/>
  <c r="G10" i="3"/>
  <c r="G11" i="3"/>
  <c r="G12" i="3"/>
  <c r="G13" i="3"/>
  <c r="G14" i="3"/>
  <c r="G15" i="3"/>
  <c r="G16" i="3"/>
  <c r="G17" i="3"/>
  <c r="G6" i="3"/>
  <c r="H15" i="5"/>
  <c r="N5" i="5"/>
  <c r="M5" i="5"/>
  <c r="L5" i="5"/>
  <c r="I5" i="5"/>
  <c r="H5" i="5"/>
  <c r="G5" i="5"/>
  <c r="F6" i="5"/>
  <c r="F4" i="5"/>
  <c r="F5" i="5"/>
  <c r="F7" i="5"/>
  <c r="F8" i="5"/>
  <c r="F9" i="5"/>
  <c r="F10" i="5"/>
  <c r="F11" i="5"/>
  <c r="F12" i="5"/>
  <c r="F13" i="5"/>
  <c r="F14" i="5"/>
  <c r="F3" i="5"/>
  <c r="E5" i="5"/>
  <c r="L4" i="5"/>
  <c r="I4" i="5"/>
  <c r="L15" i="5"/>
  <c r="K15" i="5"/>
  <c r="I15" i="5"/>
  <c r="D15" i="5"/>
  <c r="M15" i="5" s="1"/>
  <c r="C15" i="5"/>
  <c r="B15" i="5"/>
  <c r="N4" i="5"/>
  <c r="M4" i="5"/>
  <c r="G4" i="5"/>
  <c r="H4" i="5"/>
  <c r="G3" i="5"/>
  <c r="H3" i="5"/>
  <c r="I3" i="5"/>
  <c r="E4" i="5"/>
  <c r="I20" i="3"/>
  <c r="H20" i="3"/>
  <c r="E20" i="3"/>
  <c r="E18" i="3"/>
  <c r="E19" i="3"/>
  <c r="I18" i="3"/>
  <c r="H18" i="3"/>
  <c r="I19" i="3"/>
  <c r="H19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G19" i="3"/>
  <c r="B19" i="3"/>
  <c r="L3" i="5"/>
  <c r="M3" i="5"/>
  <c r="N3" i="5"/>
  <c r="E3" i="5"/>
  <c r="L20" i="3"/>
  <c r="K20" i="3"/>
  <c r="F20" i="3"/>
  <c r="D20" i="3"/>
  <c r="C20" i="3"/>
  <c r="F19" i="3"/>
  <c r="F18" i="3"/>
  <c r="L19" i="3"/>
  <c r="K19" i="3"/>
  <c r="L18" i="3"/>
  <c r="K18" i="3"/>
  <c r="D19" i="3"/>
  <c r="C19" i="3"/>
  <c r="D18" i="3"/>
  <c r="C18" i="3"/>
  <c r="M16" i="3"/>
  <c r="M17" i="3"/>
  <c r="L17" i="3"/>
  <c r="L16" i="3"/>
  <c r="F16" i="3"/>
  <c r="F17" i="3"/>
  <c r="E16" i="3"/>
  <c r="E17" i="3"/>
  <c r="M4" i="3"/>
  <c r="M5" i="3"/>
  <c r="M6" i="3"/>
  <c r="M7" i="3"/>
  <c r="M8" i="3"/>
  <c r="M9" i="3"/>
  <c r="M10" i="3"/>
  <c r="M11" i="3"/>
  <c r="M12" i="3"/>
  <c r="M13" i="3"/>
  <c r="M14" i="3"/>
  <c r="M15" i="3"/>
  <c r="M3" i="3"/>
  <c r="F4" i="3"/>
  <c r="F5" i="3"/>
  <c r="F6" i="3"/>
  <c r="F7" i="3"/>
  <c r="F8" i="3"/>
  <c r="F9" i="3"/>
  <c r="F10" i="3"/>
  <c r="F11" i="3"/>
  <c r="F12" i="3"/>
  <c r="F13" i="3"/>
  <c r="F14" i="3"/>
  <c r="F15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3" i="3"/>
  <c r="N15" i="5" l="1"/>
  <c r="G15" i="5"/>
  <c r="F15" i="5"/>
  <c r="E15" i="5"/>
</calcChain>
</file>

<file path=xl/sharedStrings.xml><?xml version="1.0" encoding="utf-8"?>
<sst xmlns="http://schemas.openxmlformats.org/spreadsheetml/2006/main" count="34" uniqueCount="20">
  <si>
    <t>Month</t>
  </si>
  <si>
    <t>Irradiance (kWh/m²)</t>
  </si>
  <si>
    <t>Energy (MWh), Expected Main Meter( PVSyst)</t>
  </si>
  <si>
    <t>Energy (MWh), Actual main meter</t>
  </si>
  <si>
    <t>% Generation (Actual / Expected)</t>
  </si>
  <si>
    <t>Loss vs PVsyst (MWh)</t>
  </si>
  <si>
    <t>PR (%)</t>
  </si>
  <si>
    <t>Specific Yield (kWh/kWp)</t>
  </si>
  <si>
    <t>CUF (%)</t>
  </si>
  <si>
    <t>Plant+Grid Availability (%)</t>
  </si>
  <si>
    <t>Energy (MWh) INV Actual</t>
  </si>
  <si>
    <t>Energy (MWh) INV PVsyst</t>
  </si>
  <si>
    <t>% of Energy available at main meter Actual</t>
  </si>
  <si>
    <t>% of Energy available at main meter PVsyst</t>
  </si>
  <si>
    <t>YOY-2024-2025</t>
  </si>
  <si>
    <t>TOTAL-24</t>
  </si>
  <si>
    <t>TOTAL-25</t>
  </si>
  <si>
    <t>TOTAL_24-25</t>
  </si>
  <si>
    <t>YOY-2026</t>
  </si>
  <si>
    <t>TOTAL-26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</si>
</sst>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Consolas"/>
      <family val="3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6" xfId="0" applyBorder="1"/>
    <xf numFmtId="0" fontId="1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4" borderId="2" xfId="0" applyFill="1" applyBorder="1"/>
    <xf numFmtId="0" fontId="0" fillId="5" borderId="2" xfId="0" applyFill="1" applyBorder="1"/>
    <xf numFmtId="0" fontId="0" fillId="0" borderId="6" xfId="0" applyBorder="1" applyAlignment="1">
      <alignment horizontal="right" vertical="center" wrapText="1"/>
    </xf>
    <xf numFmtId="0" fontId="0" fillId="5" borderId="6" xfId="0" applyFill="1" applyBorder="1"/>
    <xf numFmtId="0" fontId="0" fillId="0" borderId="6" xfId="0" applyBorder="1" applyAlignment="1">
      <alignment vertical="center" wrapText="1"/>
    </xf>
    <xf numFmtId="17" fontId="0" fillId="6" borderId="2" xfId="0" applyNumberFormat="1" applyFill="1" applyBorder="1" applyAlignment="1">
      <alignment vertical="center" wrapText="1"/>
    </xf>
    <xf numFmtId="17" fontId="0" fillId="7" borderId="2" xfId="0" applyNumberFormat="1" applyFill="1" applyBorder="1" applyAlignment="1">
      <alignment vertical="center" wrapText="1"/>
    </xf>
    <xf numFmtId="17" fontId="0" fillId="7" borderId="6" xfId="0" applyNumberForma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textRotation="45" wrapText="1"/>
    </xf>
    <xf numFmtId="0" fontId="4" fillId="8" borderId="7" xfId="0" applyFont="1" applyFill="1" applyBorder="1"/>
    <xf numFmtId="0" fontId="4" fillId="8" borderId="8" xfId="0" applyFont="1" applyFill="1" applyBorder="1"/>
    <xf numFmtId="0" fontId="4" fillId="4" borderId="9" xfId="0" applyFont="1" applyFill="1" applyBorder="1"/>
    <xf numFmtId="0" fontId="4" fillId="8" borderId="8" xfId="0" applyFont="1" applyFill="1" applyBorder="1" applyAlignment="1">
      <alignment vertical="center"/>
    </xf>
    <xf numFmtId="0" fontId="4" fillId="8" borderId="9" xfId="0" applyFont="1" applyFill="1" applyBorder="1"/>
    <xf numFmtId="0" fontId="4" fillId="8" borderId="10" xfId="0" applyFont="1" applyFill="1" applyBorder="1"/>
    <xf numFmtId="0" fontId="4" fillId="8" borderId="5" xfId="0" applyFont="1" applyFill="1" applyBorder="1"/>
    <xf numFmtId="0" fontId="4" fillId="8" borderId="0" xfId="0" applyFont="1" applyFill="1"/>
    <xf numFmtId="0" fontId="4" fillId="8" borderId="2" xfId="0" applyFont="1" applyFill="1" applyBorder="1"/>
    <xf numFmtId="0" fontId="4" fillId="8" borderId="0" xfId="0" applyFont="1" applyFill="1" applyAlignment="1">
      <alignment vertical="center"/>
    </xf>
    <xf numFmtId="0" fontId="4" fillId="8" borderId="11" xfId="0" applyFont="1" applyFill="1" applyBorder="1"/>
    <xf numFmtId="0" fontId="4" fillId="8" borderId="12" xfId="0" applyFont="1" applyFill="1" applyBorder="1"/>
    <xf numFmtId="0" fontId="4" fillId="8" borderId="13" xfId="0" applyFont="1" applyFill="1" applyBorder="1"/>
    <xf numFmtId="0" fontId="4" fillId="4" borderId="14" xfId="0" applyFont="1" applyFill="1" applyBorder="1"/>
    <xf numFmtId="0" fontId="4" fillId="8" borderId="13" xfId="0" applyFont="1" applyFill="1" applyBorder="1" applyAlignment="1">
      <alignment vertical="center"/>
    </xf>
    <xf numFmtId="0" fontId="4" fillId="8" borderId="15" xfId="0" applyFont="1" applyFill="1" applyBorder="1"/>
    <xf numFmtId="0" fontId="0" fillId="9" borderId="2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5" fillId="8" borderId="6" xfId="0" applyFont="1" applyFill="1" applyBorder="1"/>
    <xf numFmtId="0" fontId="2" fillId="8" borderId="6" xfId="0" applyFont="1" applyFill="1" applyBorder="1"/>
    <xf numFmtId="0" fontId="4" fillId="8" borderId="6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horizontal="right" vertical="center" wrapText="1"/>
    </xf>
    <xf numFmtId="0" fontId="4" fillId="8" borderId="5" xfId="0" applyFont="1" applyFill="1" applyBorder="1" applyAlignment="1">
      <alignment vertical="center"/>
    </xf>
    <xf numFmtId="0" fontId="5" fillId="8" borderId="6" xfId="0" applyFont="1" applyFill="1" applyBorder="1" applyAlignment="1">
      <alignment vertical="center"/>
    </xf>
    <xf numFmtId="0" fontId="4" fillId="8" borderId="11" xfId="0" applyFont="1" applyFill="1" applyBorder="1" applyAlignment="1">
      <alignment vertical="center" wrapText="1"/>
    </xf>
    <xf numFmtId="2" fontId="3" fillId="9" borderId="2" xfId="0" applyNumberFormat="1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0" fontId="0" fillId="9" borderId="2" xfId="0" applyNumberFormat="1" applyFill="1" applyBorder="1" applyAlignment="1">
      <alignment horizontal="center"/>
    </xf>
    <xf numFmtId="10" fontId="0" fillId="0" borderId="2" xfId="0" applyNumberFormat="1" applyBorder="1"/>
    <xf numFmtId="10" fontId="2" fillId="0" borderId="2" xfId="0" applyNumberFormat="1" applyFont="1" applyBorder="1"/>
    <xf numFmtId="10" fontId="0" fillId="0" borderId="2" xfId="0" applyNumberFormat="1" applyBorder="1" applyAlignment="1">
      <alignment vertical="center"/>
    </xf>
    <xf numFmtId="10" fontId="0" fillId="0" borderId="6" xfId="0" applyNumberFormat="1" applyBorder="1" applyAlignment="1">
      <alignment vertical="center"/>
    </xf>
    <xf numFmtId="10" fontId="0" fillId="0" borderId="2" xfId="0" applyNumberFormat="1" applyBorder="1" applyAlignment="1">
      <alignment vertical="center" wrapText="1"/>
    </xf>
    <xf numFmtId="0" fontId="1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E11D-75D9-4D11-88FB-937F64E56E66}">
  <dimension ref="A1:N20"/>
  <sheetViews>
    <sheetView tabSelected="1" topLeftCell="E1" workbookViewId="0">
      <pane ySplit="1" topLeftCell="A2" activePane="bottomLeft" state="frozen"/>
      <selection pane="bottomLeft" activeCell="I3" sqref="I3:I17"/>
    </sheetView>
  </sheetViews>
  <sheetFormatPr defaultRowHeight="14.5" x14ac:dyDescent="0.35"/>
  <cols>
    <col min="1" max="1" width="12.54296875" bestFit="1" customWidth="1"/>
    <col min="2" max="2" width="15.81640625" customWidth="1"/>
    <col min="3" max="3" width="18.54296875" customWidth="1"/>
    <col min="4" max="4" width="17.26953125" customWidth="1"/>
    <col min="5" max="5" width="17.54296875" customWidth="1"/>
    <col min="6" max="6" width="13" customWidth="1"/>
    <col min="7" max="7" width="17.7265625" bestFit="1" customWidth="1"/>
    <col min="8" max="8" width="12.453125" customWidth="1"/>
    <col min="10" max="10" width="15.26953125" style="14" customWidth="1"/>
    <col min="11" max="11" width="15.7265625" customWidth="1"/>
    <col min="12" max="12" width="14.1796875" customWidth="1"/>
    <col min="13" max="13" width="15.54296875" customWidth="1"/>
    <col min="14" max="14" width="16.7265625" customWidth="1"/>
  </cols>
  <sheetData>
    <row r="1" spans="1:14" ht="57.75" customHeight="1" x14ac:dyDescent="0.35">
      <c r="A1" s="23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5" t="s">
        <v>10</v>
      </c>
      <c r="L1" s="5" t="s">
        <v>11</v>
      </c>
      <c r="M1" s="5" t="s">
        <v>12</v>
      </c>
      <c r="N1" s="4" t="s">
        <v>13</v>
      </c>
    </row>
    <row r="2" spans="1:14" x14ac:dyDescent="0.35">
      <c r="A2" s="58" t="s">
        <v>14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x14ac:dyDescent="0.35">
      <c r="A3" s="20">
        <v>45566</v>
      </c>
      <c r="B3" s="7"/>
      <c r="C3" s="7">
        <v>472.7</v>
      </c>
      <c r="D3" s="3">
        <v>136.78</v>
      </c>
      <c r="E3" s="11">
        <f>D3*100/C3</f>
        <v>28.935900148085466</v>
      </c>
      <c r="F3" s="15">
        <f>D3-C3</f>
        <v>-335.91999999999996</v>
      </c>
      <c r="G3" s="53"/>
      <c r="H3" s="7">
        <f>D3*1000/(3159.1*31)</f>
        <v>1.3966819868051437</v>
      </c>
      <c r="I3" s="57">
        <f>K3/(3.1591*24*31)</f>
        <v>5.7837692305859542E-2</v>
      </c>
      <c r="J3" s="55"/>
      <c r="K3" s="3">
        <v>135.94</v>
      </c>
      <c r="L3" s="3">
        <v>488.71</v>
      </c>
      <c r="M3" s="3">
        <f>D3*100/K3</f>
        <v>100.61791967044284</v>
      </c>
      <c r="N3" s="53">
        <f>C3/L3</f>
        <v>0.96724028564997644</v>
      </c>
    </row>
    <row r="4" spans="1:14" x14ac:dyDescent="0.35">
      <c r="A4" s="20">
        <v>45597</v>
      </c>
      <c r="B4" s="7"/>
      <c r="C4" s="11">
        <v>416</v>
      </c>
      <c r="D4" s="3">
        <v>369.62099999999998</v>
      </c>
      <c r="E4" s="11">
        <f t="shared" ref="E4:E20" si="0">D4*100/C4</f>
        <v>88.851201923076914</v>
      </c>
      <c r="F4" s="15">
        <f t="shared" ref="F4:F20" si="1">D4-C4</f>
        <v>-46.379000000000019</v>
      </c>
      <c r="G4" s="53"/>
      <c r="H4" s="7">
        <f>D4*1000/(3159.1*30)</f>
        <v>3.9000664746288498</v>
      </c>
      <c r="I4" s="57">
        <f t="shared" ref="I4:I17" si="2">K4/(3.1591*24*31)</f>
        <v>0.15649405727709984</v>
      </c>
      <c r="J4" s="55">
        <f>90.78/100</f>
        <v>0.90780000000000005</v>
      </c>
      <c r="K4" s="3">
        <v>367.81900000000002</v>
      </c>
      <c r="L4" s="3">
        <v>430.54</v>
      </c>
      <c r="M4" s="3">
        <f t="shared" ref="M4:M17" si="3">D4*100/K4</f>
        <v>100.4899148766105</v>
      </c>
      <c r="N4" s="53">
        <f t="shared" ref="N4:N17" si="4">C4/L4</f>
        <v>0.96622845728619866</v>
      </c>
    </row>
    <row r="5" spans="1:14" x14ac:dyDescent="0.35">
      <c r="A5" s="20">
        <v>45627</v>
      </c>
      <c r="B5" s="7"/>
      <c r="C5" s="11">
        <v>424.4</v>
      </c>
      <c r="D5" s="3">
        <v>387.44</v>
      </c>
      <c r="E5" s="11">
        <f t="shared" si="0"/>
        <v>91.291234684260132</v>
      </c>
      <c r="F5" s="15">
        <f t="shared" si="1"/>
        <v>-36.95999999999998</v>
      </c>
      <c r="G5" s="53"/>
      <c r="H5" s="7">
        <f>D5*1000/(3159.1*31)</f>
        <v>3.9562104764423518</v>
      </c>
      <c r="I5" s="57">
        <f t="shared" si="2"/>
        <v>0.14681005172631514</v>
      </c>
      <c r="J5" s="55"/>
      <c r="K5" s="3">
        <v>345.05799999999999</v>
      </c>
      <c r="L5" s="3">
        <v>438.92</v>
      </c>
      <c r="M5" s="3">
        <f t="shared" si="3"/>
        <v>112.28257278486515</v>
      </c>
      <c r="N5" s="53">
        <f t="shared" si="4"/>
        <v>0.96691880069260905</v>
      </c>
    </row>
    <row r="6" spans="1:14" x14ac:dyDescent="0.35">
      <c r="A6" s="21">
        <v>45658</v>
      </c>
      <c r="B6" s="3">
        <v>167.71</v>
      </c>
      <c r="C6" s="3">
        <v>436.4</v>
      </c>
      <c r="D6" s="3">
        <v>398.40899999999999</v>
      </c>
      <c r="E6" s="11">
        <f t="shared" si="0"/>
        <v>91.29445462878094</v>
      </c>
      <c r="F6" s="15">
        <f t="shared" si="1"/>
        <v>-37.990999999999985</v>
      </c>
      <c r="G6" s="54">
        <f>(D6/(3159.1*B6))*1000</f>
        <v>0.75198089688536152</v>
      </c>
      <c r="H6" s="7">
        <f>D6*1000/(3159.1*31)</f>
        <v>4.0682166521498058</v>
      </c>
      <c r="I6" s="57">
        <f t="shared" si="2"/>
        <v>0.167370215349887</v>
      </c>
      <c r="J6" s="55">
        <f>94.08/100</f>
        <v>0.94079999999999997</v>
      </c>
      <c r="K6" s="3">
        <v>393.38200000000001</v>
      </c>
      <c r="L6" s="3">
        <v>450.85</v>
      </c>
      <c r="M6" s="3">
        <f t="shared" si="3"/>
        <v>101.27789273530563</v>
      </c>
      <c r="N6" s="53">
        <f t="shared" si="4"/>
        <v>0.96794942885660407</v>
      </c>
    </row>
    <row r="7" spans="1:14" x14ac:dyDescent="0.35">
      <c r="A7" s="21">
        <v>45689</v>
      </c>
      <c r="B7" s="3">
        <v>163.05000000000001</v>
      </c>
      <c r="C7" s="3">
        <v>395.4</v>
      </c>
      <c r="D7" s="3">
        <v>435.42399999999998</v>
      </c>
      <c r="E7" s="11">
        <f t="shared" si="0"/>
        <v>110.12240768841679</v>
      </c>
      <c r="F7" s="16">
        <f t="shared" si="1"/>
        <v>40.024000000000001</v>
      </c>
      <c r="G7" s="54">
        <f t="shared" ref="G7:G17" si="5">(D7/(3159.1*B7))*1000</f>
        <v>0.8453337069370358</v>
      </c>
      <c r="H7" s="7">
        <f>D7*1000/(3159.1*28)</f>
        <v>4.9225593184315608</v>
      </c>
      <c r="I7" s="57">
        <f t="shared" si="2"/>
        <v>0.1857843342479126</v>
      </c>
      <c r="J7" s="55">
        <f>96.42/100</f>
        <v>0.96420000000000006</v>
      </c>
      <c r="K7" s="3">
        <v>436.66199999999998</v>
      </c>
      <c r="L7" s="3">
        <v>456.47</v>
      </c>
      <c r="M7" s="3">
        <f t="shared" si="3"/>
        <v>99.716485519692569</v>
      </c>
      <c r="N7" s="53">
        <f t="shared" si="4"/>
        <v>0.86621245645935097</v>
      </c>
    </row>
    <row r="8" spans="1:14" x14ac:dyDescent="0.35">
      <c r="A8" s="21">
        <v>45717</v>
      </c>
      <c r="B8" s="3">
        <v>218.94</v>
      </c>
      <c r="C8" s="3">
        <v>466.1</v>
      </c>
      <c r="D8" s="3">
        <v>564.65899999999999</v>
      </c>
      <c r="E8" s="11">
        <f t="shared" si="0"/>
        <v>121.1454623471358</v>
      </c>
      <c r="F8" s="16">
        <f t="shared" si="1"/>
        <v>98.558999999999969</v>
      </c>
      <c r="G8" s="54">
        <f t="shared" si="5"/>
        <v>0.81639017107983269</v>
      </c>
      <c r="H8" s="7">
        <f>D8*1000/(3159.1*31)</f>
        <v>5.765821421168341</v>
      </c>
      <c r="I8" s="57">
        <f t="shared" si="2"/>
        <v>0.24131175239443114</v>
      </c>
      <c r="J8" s="55">
        <f>95.52/100</f>
        <v>0.95519999999999994</v>
      </c>
      <c r="K8" s="3">
        <v>567.17200000000003</v>
      </c>
      <c r="L8" s="3">
        <v>540.16999999999996</v>
      </c>
      <c r="M8" s="3">
        <f t="shared" si="3"/>
        <v>99.556924530830159</v>
      </c>
      <c r="N8" s="53">
        <f t="shared" si="4"/>
        <v>0.86287650184201281</v>
      </c>
    </row>
    <row r="9" spans="1:14" x14ac:dyDescent="0.35">
      <c r="A9" s="21">
        <v>45748</v>
      </c>
      <c r="B9" s="3">
        <v>219.4</v>
      </c>
      <c r="C9" s="3">
        <v>512.4</v>
      </c>
      <c r="D9" s="3">
        <v>562.38400000000001</v>
      </c>
      <c r="E9" s="11">
        <f t="shared" si="0"/>
        <v>109.75487900078065</v>
      </c>
      <c r="F9" s="16">
        <f t="shared" si="1"/>
        <v>49.984000000000037</v>
      </c>
      <c r="G9" s="54">
        <f t="shared" si="5"/>
        <v>0.81139618160290328</v>
      </c>
      <c r="H9" s="7">
        <f>D9*1000/(3159.1*30)</f>
        <v>5.9340107414559</v>
      </c>
      <c r="I9" s="57">
        <f t="shared" si="2"/>
        <v>0.23939673508481901</v>
      </c>
      <c r="J9" s="55">
        <f>97.78/100</f>
        <v>0.9778</v>
      </c>
      <c r="K9" s="3">
        <v>562.67100000000005</v>
      </c>
      <c r="L9" s="3">
        <v>530.61</v>
      </c>
      <c r="M9" s="3">
        <f t="shared" si="3"/>
        <v>99.94899328381949</v>
      </c>
      <c r="N9" s="53">
        <f t="shared" si="4"/>
        <v>0.96568100865042117</v>
      </c>
    </row>
    <row r="10" spans="1:14" x14ac:dyDescent="0.35">
      <c r="A10" s="22">
        <v>45778</v>
      </c>
      <c r="B10" s="9">
        <v>191.26</v>
      </c>
      <c r="C10" s="9">
        <v>519.4</v>
      </c>
      <c r="D10" s="9">
        <v>529.97299999999996</v>
      </c>
      <c r="E10" s="17">
        <f t="shared" si="0"/>
        <v>102.03561802079322</v>
      </c>
      <c r="F10" s="18">
        <f t="shared" si="1"/>
        <v>10.572999999999979</v>
      </c>
      <c r="G10" s="54">
        <f t="shared" si="5"/>
        <v>0.87713455320145561</v>
      </c>
      <c r="H10" s="19">
        <f>D10*1000/(3159.1*31)</f>
        <v>5.4116372466229157</v>
      </c>
      <c r="I10" s="57">
        <f t="shared" si="2"/>
        <v>0.22557806207906636</v>
      </c>
      <c r="J10" s="56">
        <f>95.56/100</f>
        <v>0.9556</v>
      </c>
      <c r="K10" s="9">
        <v>530.19200000000001</v>
      </c>
      <c r="L10" s="9">
        <v>537.01</v>
      </c>
      <c r="M10" s="9">
        <f t="shared" si="3"/>
        <v>99.95869420889035</v>
      </c>
      <c r="N10" s="53">
        <f t="shared" si="4"/>
        <v>0.96720731457514753</v>
      </c>
    </row>
    <row r="11" spans="1:14" x14ac:dyDescent="0.35">
      <c r="A11" s="21">
        <v>45809</v>
      </c>
      <c r="B11" s="3">
        <v>175.8</v>
      </c>
      <c r="C11" s="3">
        <v>454.7</v>
      </c>
      <c r="D11" s="3">
        <v>452.39400000000001</v>
      </c>
      <c r="E11" s="11">
        <f t="shared" si="0"/>
        <v>99.492852430173741</v>
      </c>
      <c r="F11" s="15">
        <f t="shared" si="1"/>
        <v>-2.3059999999999832</v>
      </c>
      <c r="G11" s="54">
        <f t="shared" si="5"/>
        <v>0.8145815928263147</v>
      </c>
      <c r="H11" s="7">
        <f>D11*1000/(3159.1*30)</f>
        <v>4.7734481339622041</v>
      </c>
      <c r="I11" s="57">
        <f t="shared" si="2"/>
        <v>0.20015994074806254</v>
      </c>
      <c r="J11" s="55">
        <f>97.44/100</f>
        <v>0.97439999999999993</v>
      </c>
      <c r="K11" s="3">
        <v>470.45</v>
      </c>
      <c r="L11" s="3">
        <v>469.48</v>
      </c>
      <c r="M11" s="3">
        <f t="shared" si="3"/>
        <v>96.161972579445219</v>
      </c>
      <c r="N11" s="53">
        <f t="shared" si="4"/>
        <v>0.96851836073954156</v>
      </c>
    </row>
    <row r="12" spans="1:14" x14ac:dyDescent="0.35">
      <c r="A12" s="21">
        <v>45839</v>
      </c>
      <c r="B12" s="3">
        <v>116.1</v>
      </c>
      <c r="C12" s="3">
        <v>341.3</v>
      </c>
      <c r="D12" s="3">
        <v>343.351</v>
      </c>
      <c r="E12" s="11">
        <f t="shared" si="0"/>
        <v>100.60093759156167</v>
      </c>
      <c r="F12" s="16">
        <f t="shared" si="1"/>
        <v>2.0509999999999877</v>
      </c>
      <c r="G12" s="54">
        <f t="shared" si="5"/>
        <v>0.9361441405304356</v>
      </c>
      <c r="H12" s="7">
        <f>D12*1000/(3159.1*31)</f>
        <v>3.5060107972768892</v>
      </c>
      <c r="I12" s="57">
        <f t="shared" si="2"/>
        <v>0.14575149516859132</v>
      </c>
      <c r="J12" s="55">
        <f>96.38/100</f>
        <v>0.96379999999999999</v>
      </c>
      <c r="K12" s="3">
        <v>342.57</v>
      </c>
      <c r="L12" s="3">
        <v>403.92</v>
      </c>
      <c r="M12" s="3">
        <f t="shared" si="3"/>
        <v>100.22798260209592</v>
      </c>
      <c r="N12" s="53">
        <f t="shared" si="4"/>
        <v>0.84496930085165378</v>
      </c>
    </row>
    <row r="13" spans="1:14" x14ac:dyDescent="0.35">
      <c r="A13" s="21">
        <v>45870</v>
      </c>
      <c r="B13" s="3">
        <v>157.54</v>
      </c>
      <c r="C13" s="3">
        <v>373.4</v>
      </c>
      <c r="D13" s="3">
        <v>394.45</v>
      </c>
      <c r="E13" s="11">
        <f t="shared" si="0"/>
        <v>105.6373861810391</v>
      </c>
      <c r="F13" s="16">
        <f t="shared" si="1"/>
        <v>21.050000000000011</v>
      </c>
      <c r="G13" s="54">
        <f t="shared" si="5"/>
        <v>0.79257021194551147</v>
      </c>
      <c r="H13" s="7">
        <f>D13*1000/(3159.1*31)</f>
        <v>4.0277906835450281</v>
      </c>
      <c r="I13" s="57">
        <f t="shared" si="2"/>
        <v>0.16740723079221898</v>
      </c>
      <c r="J13" s="55">
        <f>89.26/100</f>
        <v>0.89260000000000006</v>
      </c>
      <c r="K13" s="3">
        <v>393.46899999999999</v>
      </c>
      <c r="L13" s="3">
        <v>386.27</v>
      </c>
      <c r="M13" s="3">
        <f t="shared" si="3"/>
        <v>100.24932078511904</v>
      </c>
      <c r="N13" s="53">
        <f t="shared" si="4"/>
        <v>0.96668133688870483</v>
      </c>
    </row>
    <row r="14" spans="1:14" x14ac:dyDescent="0.35">
      <c r="A14" s="21">
        <v>45901</v>
      </c>
      <c r="B14" s="3">
        <v>173.95</v>
      </c>
      <c r="C14" s="3">
        <v>438.1</v>
      </c>
      <c r="D14" s="3">
        <v>434.15</v>
      </c>
      <c r="E14" s="11">
        <f t="shared" si="0"/>
        <v>99.098379365441673</v>
      </c>
      <c r="F14" s="15">
        <f t="shared" si="1"/>
        <v>-3.9500000000000455</v>
      </c>
      <c r="G14" s="54">
        <f t="shared" si="5"/>
        <v>0.79004530900293446</v>
      </c>
      <c r="H14" s="7">
        <f>D14*1000/(3159.1*30)</f>
        <v>4.5809460500353474</v>
      </c>
      <c r="I14" s="57">
        <f t="shared" si="2"/>
        <v>0.18516230463079353</v>
      </c>
      <c r="J14" s="55">
        <f>95.82/100</f>
        <v>0.95819999999999994</v>
      </c>
      <c r="K14" s="3">
        <v>435.2</v>
      </c>
      <c r="L14" s="3">
        <v>452.92</v>
      </c>
      <c r="M14" s="3">
        <f t="shared" si="3"/>
        <v>99.758731617647058</v>
      </c>
      <c r="N14" s="53">
        <f t="shared" si="4"/>
        <v>0.96727898966704939</v>
      </c>
    </row>
    <row r="15" spans="1:14" x14ac:dyDescent="0.35">
      <c r="A15" s="21">
        <v>45931</v>
      </c>
      <c r="B15" s="3">
        <v>171</v>
      </c>
      <c r="C15" s="3">
        <v>472.7</v>
      </c>
      <c r="D15" s="3">
        <v>433.3</v>
      </c>
      <c r="E15" s="11">
        <f t="shared" si="0"/>
        <v>91.664903744446804</v>
      </c>
      <c r="F15" s="15">
        <f t="shared" si="1"/>
        <v>-39.399999999999977</v>
      </c>
      <c r="G15" s="54">
        <f t="shared" si="5"/>
        <v>0.8021012720885603</v>
      </c>
      <c r="H15" s="7">
        <f>D15*1000/(3159.1*31)</f>
        <v>4.4244941137788327</v>
      </c>
      <c r="I15" s="57">
        <f t="shared" si="2"/>
        <v>0.18637913411435067</v>
      </c>
      <c r="J15" s="55">
        <f>96.94/100</f>
        <v>0.96939999999999993</v>
      </c>
      <c r="K15" s="3">
        <v>438.06</v>
      </c>
      <c r="L15" s="3">
        <v>488.71</v>
      </c>
      <c r="M15" s="3">
        <f t="shared" si="3"/>
        <v>98.913390859699589</v>
      </c>
      <c r="N15" s="53">
        <f t="shared" si="4"/>
        <v>0.96724028564997644</v>
      </c>
    </row>
    <row r="16" spans="1:14" x14ac:dyDescent="0.35">
      <c r="A16" s="21">
        <v>45962</v>
      </c>
      <c r="B16" s="3">
        <v>163.81</v>
      </c>
      <c r="C16" s="3">
        <v>416</v>
      </c>
      <c r="D16" s="3">
        <v>419.548</v>
      </c>
      <c r="E16" s="11">
        <f t="shared" si="0"/>
        <v>100.85288461538462</v>
      </c>
      <c r="F16" s="16">
        <f t="shared" si="1"/>
        <v>3.5480000000000018</v>
      </c>
      <c r="G16" s="54">
        <f t="shared" si="5"/>
        <v>0.81073303812358544</v>
      </c>
      <c r="H16" s="7">
        <f>D16*1000/(3159.1*31)</f>
        <v>4.2840702895169205</v>
      </c>
      <c r="I16" s="57">
        <f t="shared" si="2"/>
        <v>0.18103529554320461</v>
      </c>
      <c r="J16" s="55">
        <f>93.24/100</f>
        <v>0.9323999999999999</v>
      </c>
      <c r="K16" s="3">
        <v>425.5</v>
      </c>
      <c r="L16" s="3">
        <f>K16*0.9859</f>
        <v>419.50045</v>
      </c>
      <c r="M16" s="3">
        <f t="shared" si="3"/>
        <v>98.601175088131612</v>
      </c>
      <c r="N16" s="53">
        <f t="shared" si="4"/>
        <v>0.9916556704527969</v>
      </c>
    </row>
    <row r="17" spans="1:14" x14ac:dyDescent="0.35">
      <c r="A17" s="22">
        <v>45992</v>
      </c>
      <c r="B17" s="9">
        <v>166.4</v>
      </c>
      <c r="C17" s="9">
        <v>424.4</v>
      </c>
      <c r="D17" s="9">
        <v>425.01499999999999</v>
      </c>
      <c r="E17" s="17">
        <f t="shared" si="0"/>
        <v>100.14491046182847</v>
      </c>
      <c r="F17" s="18">
        <f t="shared" si="1"/>
        <v>0.61500000000000909</v>
      </c>
      <c r="G17" s="54">
        <f t="shared" si="5"/>
        <v>0.80851403332984317</v>
      </c>
      <c r="H17" s="19">
        <f>D17*1000/(3159.1*31)</f>
        <v>4.3398946821318036</v>
      </c>
      <c r="I17" s="57">
        <f t="shared" si="2"/>
        <v>0.18349703519070867</v>
      </c>
      <c r="J17" s="56">
        <f>94.05/100</f>
        <v>0.9405</v>
      </c>
      <c r="K17" s="9">
        <v>431.286</v>
      </c>
      <c r="L17" s="9">
        <f>K17*0.9859</f>
        <v>425.20486740000001</v>
      </c>
      <c r="M17" s="9">
        <f t="shared" si="3"/>
        <v>98.545976451820835</v>
      </c>
      <c r="N17" s="53">
        <f t="shared" si="4"/>
        <v>0.9981071068049584</v>
      </c>
    </row>
    <row r="18" spans="1:14" x14ac:dyDescent="0.35">
      <c r="A18" s="24" t="s">
        <v>15</v>
      </c>
      <c r="B18" s="25"/>
      <c r="C18" s="25">
        <f>SUM(C3:C5)</f>
        <v>1313.1</v>
      </c>
      <c r="D18" s="25">
        <f>SUM(D3:D5)</f>
        <v>893.84099999999989</v>
      </c>
      <c r="E18" s="45">
        <f t="shared" si="0"/>
        <v>68.071053232807856</v>
      </c>
      <c r="F18" s="26">
        <f t="shared" si="1"/>
        <v>-419.25900000000001</v>
      </c>
      <c r="G18" s="43"/>
      <c r="H18" s="44">
        <f>D18*1000/(3159.1*92)</f>
        <v>3.0754528326036716</v>
      </c>
      <c r="I18" s="44">
        <f>K18*100/(3.1591*24*92)</f>
        <v>12.168908522377729</v>
      </c>
      <c r="J18" s="27"/>
      <c r="K18" s="25">
        <f>SUM(K3:K5)</f>
        <v>848.81700000000001</v>
      </c>
      <c r="L18" s="25">
        <f>SUM(L3:L5)</f>
        <v>1358.17</v>
      </c>
      <c r="M18" s="28"/>
      <c r="N18" s="29"/>
    </row>
    <row r="19" spans="1:14" x14ac:dyDescent="0.35">
      <c r="A19" s="30" t="s">
        <v>16</v>
      </c>
      <c r="B19" s="31">
        <f>SUM(B6:B17)</f>
        <v>2084.96</v>
      </c>
      <c r="C19" s="31">
        <f>SUM(C6:C17)</f>
        <v>5250.3</v>
      </c>
      <c r="D19" s="31">
        <f>SUM(D6:D17)</f>
        <v>5393.0570000000007</v>
      </c>
      <c r="E19" s="45">
        <f t="shared" si="0"/>
        <v>102.7190255794907</v>
      </c>
      <c r="F19" s="32">
        <f t="shared" si="1"/>
        <v>142.75700000000052</v>
      </c>
      <c r="G19" s="42">
        <f t="shared" ref="G19" si="6">(D19/(3159.1*B19))*100*1000</f>
        <v>81.879260088999033</v>
      </c>
      <c r="H19" s="44">
        <f>D19*1000/(3159.1*365)</f>
        <v>4.6771227976756</v>
      </c>
      <c r="I19" s="44">
        <f>K19*100/(3.1591*24*365)</f>
        <v>19.609271122100118</v>
      </c>
      <c r="J19" s="33"/>
      <c r="K19" s="31">
        <f>SUM(K6:K17)</f>
        <v>5426.6140000000005</v>
      </c>
      <c r="L19" s="31">
        <f>SUM(L6:L17)</f>
        <v>5561.1153173999992</v>
      </c>
      <c r="M19" s="31"/>
      <c r="N19" s="34"/>
    </row>
    <row r="20" spans="1:14" x14ac:dyDescent="0.35">
      <c r="A20" s="35" t="s">
        <v>17</v>
      </c>
      <c r="B20" s="36"/>
      <c r="C20" s="36">
        <f>SUM(C3:C17)</f>
        <v>6563.4</v>
      </c>
      <c r="D20" s="36">
        <f>SUM(D3:D17)</f>
        <v>6286.8979999999992</v>
      </c>
      <c r="E20" s="45">
        <f t="shared" si="0"/>
        <v>95.787213943992441</v>
      </c>
      <c r="F20" s="37">
        <f t="shared" si="1"/>
        <v>-276.50200000000041</v>
      </c>
      <c r="G20" s="36"/>
      <c r="H20" s="44">
        <f>D20*1000/(3159.1*365)</f>
        <v>5.4523054294551541</v>
      </c>
      <c r="I20" s="44">
        <f>K20*100/(3.1591*24*365)</f>
        <v>22.676502859247385</v>
      </c>
      <c r="J20" s="38"/>
      <c r="K20" s="36">
        <f>SUM(K3:K17)</f>
        <v>6275.4310000000005</v>
      </c>
      <c r="L20" s="36">
        <f>SUM(L3:L17)</f>
        <v>6919.2853174000011</v>
      </c>
      <c r="M20" s="36"/>
      <c r="N20" s="39"/>
    </row>
  </sheetData>
  <mergeCells count="1">
    <mergeCell ref="A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B37D-DEA7-40B5-A356-322A63526EBD}">
  <dimension ref="A1:N15"/>
  <sheetViews>
    <sheetView workbookViewId="0">
      <selection activeCell="E10" sqref="E10"/>
    </sheetView>
  </sheetViews>
  <sheetFormatPr defaultRowHeight="14.5" x14ac:dyDescent="0.35"/>
  <cols>
    <col min="1" max="1" width="9.453125" bestFit="1" customWidth="1"/>
    <col min="2" max="2" width="14" customWidth="1"/>
    <col min="3" max="3" width="15.453125" customWidth="1"/>
    <col min="4" max="4" width="14.81640625" customWidth="1"/>
    <col min="5" max="5" width="14.26953125" customWidth="1"/>
    <col min="6" max="6" width="12" style="51" customWidth="1"/>
    <col min="7" max="7" width="12.453125" customWidth="1"/>
    <col min="8" max="8" width="20.26953125" customWidth="1"/>
    <col min="9" max="9" width="12.7265625" customWidth="1"/>
    <col min="10" max="10" width="14.7265625" customWidth="1"/>
    <col min="11" max="11" width="12" customWidth="1"/>
    <col min="12" max="12" width="12.81640625" customWidth="1"/>
    <col min="13" max="14" width="13.81640625" customWidth="1"/>
  </cols>
  <sheetData>
    <row r="1" spans="1:14" ht="62.25" customHeight="1" x14ac:dyDescent="0.35">
      <c r="A1" s="23" t="s">
        <v>0</v>
      </c>
      <c r="B1" s="1" t="s">
        <v>1</v>
      </c>
      <c r="C1" s="1" t="s">
        <v>2</v>
      </c>
      <c r="D1" s="2" t="s">
        <v>3</v>
      </c>
      <c r="E1" s="4" t="s">
        <v>4</v>
      </c>
      <c r="F1" s="10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5" t="s">
        <v>10</v>
      </c>
      <c r="L1" s="5" t="s">
        <v>11</v>
      </c>
      <c r="M1" s="5" t="s">
        <v>12</v>
      </c>
      <c r="N1" s="4" t="s">
        <v>13</v>
      </c>
    </row>
    <row r="2" spans="1:14" x14ac:dyDescent="0.35">
      <c r="A2" s="59" t="s">
        <v>18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4" x14ac:dyDescent="0.35">
      <c r="A3" s="21">
        <v>46023</v>
      </c>
      <c r="B3" s="40">
        <v>169.98</v>
      </c>
      <c r="C3" s="8">
        <v>436.4</v>
      </c>
      <c r="D3" s="8">
        <v>449.67399999999998</v>
      </c>
      <c r="E3" s="11">
        <f t="shared" ref="E3:E4" si="0">D3*100/C3</f>
        <v>103.04170485792849</v>
      </c>
      <c r="F3" s="49">
        <f t="shared" ref="F3:F14" si="1">D3-C3</f>
        <v>13.274000000000001</v>
      </c>
      <c r="G3" s="6">
        <f>(D3/(3159.1*B3))*100*1000</f>
        <v>83.740698495312941</v>
      </c>
      <c r="H3" s="7">
        <f>D3*1000/(3.159*31)</f>
        <v>4591.8369430914236</v>
      </c>
      <c r="I3" s="7">
        <f>K3*100/(3.159*24*31)</f>
        <v>19.421894093339731</v>
      </c>
      <c r="J3" s="52">
        <v>0.94159999999999999</v>
      </c>
      <c r="K3" s="8">
        <v>456.47199999999998</v>
      </c>
      <c r="L3" s="8">
        <f>0.9859*457.3</f>
        <v>450.85207000000003</v>
      </c>
      <c r="M3" s="3">
        <f t="shared" ref="M3:M5" si="2">D3*100/K3</f>
        <v>98.510752028601971</v>
      </c>
      <c r="N3" s="3">
        <f t="shared" ref="N3:N5" si="3">C3*100/L3</f>
        <v>96.794498470418461</v>
      </c>
    </row>
    <row r="4" spans="1:14" x14ac:dyDescent="0.35">
      <c r="A4" s="21">
        <v>46054</v>
      </c>
      <c r="B4" s="40">
        <v>177.17</v>
      </c>
      <c r="C4" s="40">
        <v>395.4</v>
      </c>
      <c r="D4" s="40">
        <v>436.69</v>
      </c>
      <c r="E4" s="11">
        <f t="shared" si="0"/>
        <v>110.44258978249874</v>
      </c>
      <c r="F4" s="49">
        <f t="shared" si="1"/>
        <v>41.29000000000002</v>
      </c>
      <c r="G4" s="6">
        <f>(D4/(3159.1*B4))*100*1000</f>
        <v>78.022468795108452</v>
      </c>
      <c r="H4" s="7">
        <f>D4*1000/(3.159*31)</f>
        <v>4459.2510900754633</v>
      </c>
      <c r="I4" s="7">
        <f>K4*100/(3.159*24*28)</f>
        <v>20.887642450142451</v>
      </c>
      <c r="J4" s="52">
        <v>0.95220000000000005</v>
      </c>
      <c r="K4" s="40">
        <v>443.41289999999998</v>
      </c>
      <c r="L4" s="40">
        <f>463*0.9859</f>
        <v>456.4717</v>
      </c>
      <c r="M4" s="3">
        <f t="shared" si="2"/>
        <v>98.483828503861758</v>
      </c>
      <c r="N4" s="3">
        <f t="shared" si="3"/>
        <v>86.620923049555969</v>
      </c>
    </row>
    <row r="5" spans="1:14" x14ac:dyDescent="0.35">
      <c r="A5" s="21">
        <v>46082</v>
      </c>
      <c r="B5" s="40">
        <v>184.99449999999999</v>
      </c>
      <c r="C5" s="40">
        <v>466.1</v>
      </c>
      <c r="D5" s="40">
        <v>524.92516350000005</v>
      </c>
      <c r="E5" s="11">
        <f>D5*100/C5</f>
        <v>112.62071733533577</v>
      </c>
      <c r="F5" s="49">
        <f t="shared" si="1"/>
        <v>58.825163500000031</v>
      </c>
      <c r="G5" s="6">
        <f>(D5/(3159.1*B5))*100*1000</f>
        <v>89.820444900439796</v>
      </c>
      <c r="H5" s="7">
        <f>D5*1000/(3.159*31)</f>
        <v>5360.2626749992351</v>
      </c>
      <c r="I5" s="7">
        <f>K5*100/(3.159*24*28)</f>
        <v>25.118958116643302</v>
      </c>
      <c r="J5" s="52">
        <v>0.964831349</v>
      </c>
      <c r="K5" s="40">
        <v>533.2373</v>
      </c>
      <c r="L5" s="40">
        <f>547.9*0.9859</f>
        <v>540.17461000000003</v>
      </c>
      <c r="M5" s="3">
        <f t="shared" si="2"/>
        <v>98.44119372369488</v>
      </c>
      <c r="N5" s="3">
        <f t="shared" si="3"/>
        <v>86.286913781452995</v>
      </c>
    </row>
    <row r="6" spans="1:14" x14ac:dyDescent="0.35">
      <c r="A6" s="21">
        <v>46113</v>
      </c>
      <c r="B6" s="3"/>
      <c r="C6" s="41"/>
      <c r="D6" s="8"/>
      <c r="E6" s="11"/>
      <c r="F6" s="49">
        <f t="shared" si="1"/>
        <v>0</v>
      </c>
      <c r="G6" s="3"/>
      <c r="H6" s="7"/>
      <c r="I6" s="7"/>
      <c r="J6" s="13"/>
      <c r="K6" s="8"/>
      <c r="L6" s="8"/>
      <c r="M6" s="3"/>
      <c r="N6" s="3"/>
    </row>
    <row r="7" spans="1:14" x14ac:dyDescent="0.35">
      <c r="A7" s="21">
        <v>46143</v>
      </c>
      <c r="B7" s="3"/>
      <c r="C7" s="3"/>
      <c r="D7" s="3"/>
      <c r="E7" s="3"/>
      <c r="F7" s="49">
        <f t="shared" si="1"/>
        <v>0</v>
      </c>
      <c r="G7" s="3"/>
      <c r="H7" s="3"/>
      <c r="I7" s="3"/>
      <c r="J7" s="3"/>
      <c r="K7" s="3"/>
      <c r="L7" s="3"/>
      <c r="M7" s="3"/>
      <c r="N7" s="3"/>
    </row>
    <row r="8" spans="1:14" x14ac:dyDescent="0.35">
      <c r="A8" s="21">
        <v>46174</v>
      </c>
      <c r="B8" s="3"/>
      <c r="C8" s="3"/>
      <c r="D8" s="3"/>
      <c r="E8" s="3"/>
      <c r="F8" s="49">
        <f t="shared" si="1"/>
        <v>0</v>
      </c>
      <c r="G8" s="3"/>
      <c r="H8" s="3"/>
      <c r="I8" s="3"/>
      <c r="J8" s="3"/>
      <c r="K8" s="3"/>
      <c r="L8" s="3"/>
      <c r="M8" s="3"/>
      <c r="N8" s="3"/>
    </row>
    <row r="9" spans="1:14" x14ac:dyDescent="0.35">
      <c r="A9" s="21">
        <v>46204</v>
      </c>
      <c r="B9" s="3"/>
      <c r="C9" s="3"/>
      <c r="D9" s="3"/>
      <c r="E9" s="3"/>
      <c r="F9" s="49">
        <f t="shared" si="1"/>
        <v>0</v>
      </c>
      <c r="G9" s="3"/>
      <c r="H9" s="3"/>
      <c r="I9" s="3"/>
      <c r="J9" s="3"/>
      <c r="K9" s="3"/>
      <c r="L9" s="3"/>
      <c r="M9" s="3"/>
      <c r="N9" s="3"/>
    </row>
    <row r="10" spans="1:14" x14ac:dyDescent="0.35">
      <c r="A10" s="21">
        <v>46235</v>
      </c>
      <c r="B10" s="3"/>
      <c r="C10" s="3"/>
      <c r="D10" s="3"/>
      <c r="E10" s="3"/>
      <c r="F10" s="49">
        <f t="shared" si="1"/>
        <v>0</v>
      </c>
      <c r="G10" s="3"/>
      <c r="H10" s="3"/>
      <c r="I10" s="3"/>
      <c r="J10" s="3"/>
      <c r="K10" s="3"/>
      <c r="L10" s="3"/>
      <c r="M10" s="3"/>
      <c r="N10" s="3"/>
    </row>
    <row r="11" spans="1:14" x14ac:dyDescent="0.35">
      <c r="A11" s="21">
        <v>46266</v>
      </c>
      <c r="B11" s="3"/>
      <c r="C11" s="3"/>
      <c r="D11" s="3"/>
      <c r="E11" s="3"/>
      <c r="F11" s="49">
        <f t="shared" si="1"/>
        <v>0</v>
      </c>
      <c r="G11" s="3"/>
      <c r="H11" s="3"/>
      <c r="I11" s="3"/>
      <c r="J11" s="3"/>
      <c r="K11" s="3"/>
      <c r="L11" s="3"/>
      <c r="M11" s="3"/>
      <c r="N11" s="3"/>
    </row>
    <row r="12" spans="1:14" x14ac:dyDescent="0.35">
      <c r="A12" s="21">
        <v>46296</v>
      </c>
      <c r="B12" s="3"/>
      <c r="C12" s="3"/>
      <c r="D12" s="3"/>
      <c r="E12" s="3"/>
      <c r="F12" s="49">
        <f t="shared" si="1"/>
        <v>0</v>
      </c>
      <c r="G12" s="3"/>
      <c r="H12" s="3"/>
      <c r="I12" s="3"/>
      <c r="J12" s="3"/>
      <c r="K12" s="3"/>
      <c r="L12" s="3"/>
      <c r="M12" s="3"/>
      <c r="N12" s="3"/>
    </row>
    <row r="13" spans="1:14" x14ac:dyDescent="0.35">
      <c r="A13" s="21">
        <v>46327</v>
      </c>
      <c r="B13" s="3"/>
      <c r="C13" s="3"/>
      <c r="D13" s="3"/>
      <c r="E13" s="3"/>
      <c r="F13" s="49">
        <f t="shared" si="1"/>
        <v>0</v>
      </c>
      <c r="G13" s="3"/>
      <c r="H13" s="3"/>
      <c r="I13" s="3"/>
      <c r="J13" s="3"/>
      <c r="K13" s="3"/>
      <c r="L13" s="3"/>
      <c r="M13" s="3"/>
      <c r="N13" s="3"/>
    </row>
    <row r="14" spans="1:14" x14ac:dyDescent="0.35">
      <c r="A14" s="21">
        <v>46357</v>
      </c>
      <c r="B14" s="3"/>
      <c r="C14" s="3"/>
      <c r="D14" s="3"/>
      <c r="E14" s="3"/>
      <c r="F14" s="49">
        <f t="shared" si="1"/>
        <v>0</v>
      </c>
      <c r="G14" s="3"/>
      <c r="H14" s="3"/>
      <c r="I14" s="3"/>
      <c r="J14" s="3"/>
      <c r="K14" s="3"/>
      <c r="L14" s="3"/>
      <c r="M14" s="3"/>
      <c r="N14" s="3"/>
    </row>
    <row r="15" spans="1:14" ht="22.5" customHeight="1" x14ac:dyDescent="0.35">
      <c r="A15" s="46" t="s">
        <v>19</v>
      </c>
      <c r="B15" s="33">
        <f>SUM(B2:B13)</f>
        <v>532.14449999999999</v>
      </c>
      <c r="C15" s="33">
        <f>SUM(C2:C13)</f>
        <v>1297.9000000000001</v>
      </c>
      <c r="D15" s="33">
        <f>SUM(D2:D13)</f>
        <v>1411.2891635000001</v>
      </c>
      <c r="E15" s="44">
        <f t="shared" ref="E15" si="4">D15*100/C15</f>
        <v>108.73635592110332</v>
      </c>
      <c r="F15" s="50">
        <f t="shared" ref="F15" si="5">D15-C15</f>
        <v>113.3891635</v>
      </c>
      <c r="G15" s="47">
        <f t="shared" ref="G15" si="6">(D15/(3159.1*B15))*100*1000</f>
        <v>83.950455225595803</v>
      </c>
      <c r="H15" s="44">
        <f>D15*1000/(3159.1*365)</f>
        <v>1.2239389868711523</v>
      </c>
      <c r="I15" s="44">
        <f>K15*100/(3.1591*24*365)</f>
        <v>5.1786402664535549</v>
      </c>
      <c r="J15" s="33"/>
      <c r="K15" s="33">
        <f>SUM(K2:K13)</f>
        <v>1433.1222</v>
      </c>
      <c r="L15" s="33">
        <f>SUM(L2:L13)</f>
        <v>1447.49838</v>
      </c>
      <c r="M15" s="33">
        <f>D15*100/K15</f>
        <v>98.476540486219534</v>
      </c>
      <c r="N15" s="48">
        <f>C15*100/L15</f>
        <v>89.665039901460901</v>
      </c>
    </row>
  </sheetData>
  <mergeCells count="1">
    <mergeCell ref="A2:N2"/>
  </mergeCells>
  <conditionalFormatting sqref="F3:F14">
    <cfRule type="cellIs" dxfId="1" priority="1" operator="lessThan">
      <formula>1</formula>
    </cfRule>
    <cfRule type="cellIs" dxfId="0" priority="2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Y24-Y25</vt:lpstr>
      <vt:lpstr>Y26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 Aleo</dc:creator>
  <cp:keywords/>
  <dc:description/>
  <cp:lastModifiedBy>Pratik Kumar</cp:lastModifiedBy>
  <cp:revision/>
  <dcterms:created xsi:type="dcterms:W3CDTF">2025-11-26T10:22:24Z</dcterms:created>
  <dcterms:modified xsi:type="dcterms:W3CDTF">2026-04-10T11:37:59Z</dcterms:modified>
  <cp:category/>
  <cp:contentStatus/>
</cp:coreProperties>
</file>