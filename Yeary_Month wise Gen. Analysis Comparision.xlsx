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mc:AlternateContent xmlns:mc="http://schemas.openxmlformats.org/markup-compatibility/2006">
    <mc:Choice Requires="x15">
      <x15ac:absPath xmlns:x15ac="http://schemas.microsoft.com/office/spreadsheetml/2010/11/ac" url="D:\AleoManali Solar projects\KRN\KRN\KRN_Monthly files\KRN_Generation Analysis\KRN_2025_Gen._Analysis\KRN_March_2026_Gen._Analysis\"/>
    </mc:Choice>
  </mc:AlternateContent>
  <xr:revisionPtr revIDLastSave="0" documentId="13_ncr:1_{433AB50E-1228-4ED7-9C57-AC7D9B4FA808}" xr6:coauthVersionLast="47" xr6:coauthVersionMax="47" xr10:uidLastSave="{00000000-0000-0000-0000-000000000000}"/>
  <bookViews>
    <workbookView xWindow="-110" yWindow="-110" windowWidth="19420" windowHeight="10300" xr2:uid="{69AC2C8C-8304-4FFC-BA2E-BEAAEC907D6B}"/>
  </bookViews>
  <sheets>
    <sheet name="Sheet2" sheetId="2"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12" i="2" l="1"/>
  <c r="P10" i="2"/>
  <c r="P8" i="2"/>
  <c r="P6" i="2"/>
  <c r="P4" i="2"/>
  <c r="P2" i="2"/>
  <c r="L12" i="2"/>
  <c r="L10" i="2"/>
  <c r="L8" i="2"/>
  <c r="L6" i="2"/>
  <c r="L4" i="2"/>
  <c r="L2" i="2"/>
  <c r="K12" i="2"/>
  <c r="K10" i="2"/>
  <c r="K8" i="2"/>
  <c r="K6" i="2"/>
  <c r="K4" i="2"/>
  <c r="K2" i="2"/>
  <c r="J12" i="2"/>
  <c r="J10" i="2"/>
  <c r="J8" i="2"/>
  <c r="J6" i="2"/>
  <c r="J4" i="2"/>
  <c r="J2" i="2"/>
  <c r="H12" i="2"/>
  <c r="H10" i="2"/>
  <c r="H8" i="2"/>
  <c r="H6" i="2"/>
  <c r="H4" i="2"/>
  <c r="H2" i="2"/>
  <c r="G12" i="2"/>
  <c r="G10" i="2"/>
  <c r="G8" i="2"/>
  <c r="G6" i="2"/>
  <c r="G4" i="2"/>
  <c r="G2" i="2"/>
  <c r="F12" i="2"/>
  <c r="F10" i="2"/>
  <c r="S9" i="2"/>
  <c r="F8" i="2"/>
  <c r="F6" i="2"/>
  <c r="F4" i="2"/>
  <c r="F2" i="2"/>
</calcChain>
</file>

<file path=xl/sharedStrings.xml><?xml version="1.0" encoding="utf-8"?>
<sst xmlns="http://schemas.openxmlformats.org/spreadsheetml/2006/main" count="25" uniqueCount="25">
  <si>
    <t>Remarks</t>
  </si>
  <si>
    <t>Multiple grid breakdown observed due to 132 kV Siwana side LD messages, Change over in bus &amp; brunt changeover, mokalsr feedar fault &amp; earthing work in g.s.s . One time plant shutdown taken for testing MCCB spreader by L &amp; T engineer. Multiple time plant shutdown due to over voltage, B &amp; Y phase fuse burnout &amp; OC fault.Majority of downtime attributed to grid and feeder-side disturbances, internal plant faults minimal.</t>
  </si>
  <si>
    <t>Months</t>
  </si>
  <si>
    <t>Actual POA / Irradiance (kWh/m²)</t>
  </si>
  <si>
    <t>Inverter Generation (kWh)</t>
  </si>
  <si>
    <t>MFM Energy (kWh)</t>
  </si>
  <si>
    <t>Main Meter / JMR Energy (kWh)</t>
  </si>
  <si>
    <t>Specific Yield (kWh/kWp)</t>
  </si>
  <si>
    <t>CUF (%)</t>
  </si>
  <si>
    <t>PR (%)</t>
  </si>
  <si>
    <t>PVsyst PR (%)</t>
  </si>
  <si>
    <t>Inverter → MFM Loss (%)</t>
  </si>
  <si>
    <t>MFM → Main Meter Line Loss (%)</t>
  </si>
  <si>
    <t>Total (Inverter → Main Meter Loss) (%)</t>
  </si>
  <si>
    <t>Daytime Plant Availability (%)</t>
  </si>
  <si>
    <t>Daytime Grid Availability (%)</t>
  </si>
  <si>
    <t>% Generation (Actual / Simulated)</t>
  </si>
  <si>
    <t>% of Energy available at main meter Actual</t>
  </si>
  <si>
    <t>Module Temp (°C)</t>
  </si>
  <si>
    <t>Ambient Temp (°C)</t>
  </si>
  <si>
    <t>YoY performance improved significantly with higher PR and availability, leading to increased generation despite similar irradiance.</t>
  </si>
  <si>
    <t>"Multiple grid breakdown observed due to 132 kV Siwana side LD messages and line changeovers.
Interruptions also recorded due to DF/DT fault (220 kV Balotra line impact).
Several trippings from Kerli Nadi GSS (33 kV incomer trips, fuse failures, rural feeder faults).
Solar VCB tripping observed due to earth fault (2 instances).
Extended outage due to Hinglaj feeder jumper burn &amp; replacement work.
Scheduled shutdowns carried out for VCB yearly maintenance, auxiliary transformer maintenance, and module isolation for VOC checking.
One inverter (Inv-9) tripped due to T203 module issue (temporarily bypassed).
Inv-2 remained off for one full day, contributing to generation loss.
Majority of downtime attributed to grid and feeder-side disturbances, internal plant faults minimal."</t>
  </si>
  <si>
    <t>"Multiple grid breakdown observed due to 132 kV Siwana side LD messages and line changeovers.
Interruptions also recorded due to DF/DT fault  (220 kV Balotra Line Impact) .One time shutdown taken for  Epoxy bushing of IDT X'mer replacement and testing of X'mer And Transformer yearly maintenance.  Majority of downtime this month due to DF/DT fault (220 kV balotra) nd IDT t/f epoxy busing replacement , testing and yearly maintenance ."</t>
  </si>
  <si>
    <t>During March 2025, plant performance was moderate with noticeable deviation from expected generation. Generation was impacted due to lower grid availability (~94.31%) and higher downtime (~1270 minutes).  Significant downtime losses (~64.141 MWh) were observed, indicating major grid dependency issues. Overall, performance was affected primarily due to grid unavailability and environmental factors.  Remarks: I think there may be some calibration issue with module temp. in march 2025 bevause the ambient temp. and module temp. cannot be same. And here both are approx same.</t>
  </si>
  <si>
    <t>"Compared to March 2025, plant performance in March 2026 showed improvement in terms of better grid availability and significantly reduced downtime losses, indicating improved operational stability.
However, despite these improvements, overall generation remained lower than March 2025 primarily due to lower irradiance (POA) and higher ambient and module temperatures, which adversely affected plant efficiency and performance.
Overall, operational parameters improved, but environmental factors limited the generation performance."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</si>
</sst>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ptos Narrow"/>
      <family val="2"/>
      <scheme val="minor"/>
    </font>
    <font>
      <b/>
      <sz val="14"/>
      <color theme="0"/>
      <name val="Aptos"/>
      <family val="2"/>
    </font>
    <font>
      <b/>
      <sz val="12"/>
      <color theme="1"/>
      <name val="Aptos"/>
      <family val="2"/>
    </font>
    <font>
      <b/>
      <sz val="14"/>
      <color theme="1"/>
      <name val="Aptos Narrow"/>
      <family val="2"/>
      <scheme val="minor"/>
    </font>
    <font>
      <sz val="14"/>
      <color theme="1"/>
      <name val="Aptos Narrow"/>
      <family val="2"/>
      <scheme val="minor"/>
    </font>
  </fonts>
  <fills count="5">
    <fill>
      <patternFill patternType="none"/>
    </fill>
    <fill>
      <patternFill patternType="gray125"/>
    </fill>
    <fill>
      <patternFill patternType="solid">
        <fgColor theme="0"/>
        <bgColor indexed="64"/>
      </patternFill>
    </fill>
    <fill>
      <patternFill patternType="solid">
        <fgColor theme="1"/>
        <bgColor indexed="64"/>
      </patternFill>
    </fill>
    <fill>
      <patternFill patternType="solid">
        <fgColor theme="5" tint="0.79998168889431442"/>
        <bgColor indexed="64"/>
      </patternFill>
    </fill>
  </fills>
  <borders count="3">
    <border>
      <left/>
      <right/>
      <top/>
      <bottom/>
      <diagonal/>
    </border>
    <border>
      <left/>
      <right style="thin">
        <color rgb="FF000000"/>
      </right>
      <top style="thin">
        <color rgb="FF000000"/>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5">
    <xf numFmtId="0" fontId="0" fillId="0" borderId="0" xfId="0"/>
    <xf numFmtId="0" fontId="1" fillId="3" borderId="0" xfId="0" applyFont="1" applyFill="1" applyAlignment="1">
      <alignment horizontal="center" vertical="center" wrapText="1"/>
    </xf>
    <xf numFmtId="0" fontId="1" fillId="3" borderId="1" xfId="0" applyFont="1" applyFill="1" applyBorder="1" applyAlignment="1">
      <alignment horizontal="center" vertical="center" wrapText="1"/>
    </xf>
    <xf numFmtId="0" fontId="2" fillId="0" borderId="0" xfId="0" applyFont="1" applyAlignment="1">
      <alignment vertical="center" wrapText="1"/>
    </xf>
    <xf numFmtId="0" fontId="4" fillId="0" borderId="0" xfId="0" applyFont="1" applyAlignment="1">
      <alignment wrapText="1"/>
    </xf>
    <xf numFmtId="17" fontId="3" fillId="4" borderId="2" xfId="0" applyNumberFormat="1" applyFont="1" applyFill="1" applyBorder="1" applyAlignment="1">
      <alignment horizontal="center" wrapText="1"/>
    </xf>
    <xf numFmtId="0" fontId="4" fillId="4" borderId="2" xfId="0" applyFont="1" applyFill="1" applyBorder="1" applyAlignment="1">
      <alignment wrapText="1"/>
    </xf>
    <xf numFmtId="17" fontId="3" fillId="2" borderId="2" xfId="0" applyNumberFormat="1" applyFont="1" applyFill="1" applyBorder="1" applyAlignment="1">
      <alignment horizontal="center" wrapText="1"/>
    </xf>
    <xf numFmtId="10" fontId="4" fillId="2" borderId="2" xfId="0" applyNumberFormat="1" applyFont="1" applyFill="1" applyBorder="1" applyAlignment="1">
      <alignment wrapText="1"/>
    </xf>
    <xf numFmtId="0" fontId="4" fillId="2" borderId="2" xfId="0" applyFont="1" applyFill="1" applyBorder="1" applyAlignment="1">
      <alignment wrapText="1"/>
    </xf>
    <xf numFmtId="17" fontId="3" fillId="0" borderId="2" xfId="0" applyNumberFormat="1" applyFont="1" applyBorder="1" applyAlignment="1">
      <alignment horizontal="center" wrapText="1"/>
    </xf>
    <xf numFmtId="0" fontId="4" fillId="0" borderId="2" xfId="0" applyFont="1" applyBorder="1" applyAlignment="1">
      <alignment wrapText="1"/>
    </xf>
    <xf numFmtId="0" fontId="0" fillId="0" borderId="0" xfId="0" applyAlignment="1">
      <alignment wrapText="1"/>
    </xf>
    <xf numFmtId="10" fontId="4" fillId="4" borderId="2" xfId="0" applyNumberFormat="1" applyFont="1" applyFill="1" applyBorder="1" applyAlignment="1">
      <alignment wrapText="1"/>
    </xf>
    <xf numFmtId="10" fontId="4" fillId="0" borderId="2" xfId="0" applyNumberFormat="1" applyFont="1" applyBorder="1" applyAlignment="1">
      <alignment wrapText="1"/>
    </xf>
  </cellXfs>
  <cellStyles count="1">
    <cellStyle name="Normal" xfId="0" builtinId="0"/>
  </cellStyles>
  <dxfs count="23">
    <dxf>
      <font>
        <color rgb="FF9C0006"/>
      </font>
      <fill>
        <patternFill patternType="solid">
          <fgColor indexed="64"/>
          <bgColor rgb="FFFFC7CE"/>
        </patternFill>
      </fill>
    </dxf>
    <dxf>
      <font>
        <color rgb="FF006100"/>
      </font>
      <fill>
        <patternFill patternType="solid">
          <fgColor indexed="64"/>
          <bgColor rgb="FFC6EFCE"/>
        </patternFill>
      </fill>
    </dxf>
    <dxf>
      <font>
        <strike val="0"/>
        <outline val="0"/>
        <shadow val="0"/>
        <u val="none"/>
        <vertAlign val="baseline"/>
        <sz val="14"/>
        <name val="Calibri"/>
        <family val="2"/>
      </font>
      <numFmt numFmtId="0" formatCode="General"/>
      <alignment wrapText="1"/>
      <border diagonalUp="0" diagonalDown="0">
        <left style="thin">
          <color indexed="64"/>
        </left>
        <right style="thin">
          <color indexed="64"/>
        </right>
        <top style="thin">
          <color indexed="64"/>
        </top>
        <bottom style="thin">
          <color indexed="64"/>
        </bottom>
      </border>
    </dxf>
    <dxf>
      <font>
        <strike val="0"/>
        <outline val="0"/>
        <shadow val="0"/>
        <u val="none"/>
        <vertAlign val="baseline"/>
        <sz val="14"/>
        <name val="Calibri"/>
        <family val="2"/>
      </font>
      <alignment wrapText="1"/>
      <border diagonalUp="0" diagonalDown="0">
        <left style="thin">
          <color indexed="64"/>
        </left>
        <right style="thin">
          <color indexed="64"/>
        </right>
        <top style="thin">
          <color indexed="64"/>
        </top>
        <bottom style="thin">
          <color indexed="64"/>
        </bottom>
      </border>
    </dxf>
    <dxf>
      <font>
        <strike val="0"/>
        <outline val="0"/>
        <shadow val="0"/>
        <u val="none"/>
        <vertAlign val="baseline"/>
        <sz val="14"/>
        <name val="Calibri"/>
        <family val="2"/>
      </font>
      <alignment wrapText="1"/>
      <border diagonalUp="0" diagonalDown="0">
        <left style="thin">
          <color indexed="64"/>
        </left>
        <right style="thin">
          <color indexed="64"/>
        </right>
        <top style="thin">
          <color indexed="64"/>
        </top>
        <bottom style="thin">
          <color indexed="64"/>
        </bottom>
      </border>
    </dxf>
    <dxf>
      <font>
        <strike val="0"/>
        <outline val="0"/>
        <shadow val="0"/>
        <u val="none"/>
        <vertAlign val="baseline"/>
        <sz val="14"/>
        <name val="Calibri"/>
        <family val="2"/>
      </font>
      <numFmt numFmtId="0" formatCode="General"/>
      <alignment wrapText="1"/>
      <border diagonalUp="0" diagonalDown="0">
        <left style="thin">
          <color indexed="64"/>
        </left>
        <right style="thin">
          <color indexed="64"/>
        </right>
        <top style="thin">
          <color indexed="64"/>
        </top>
        <bottom style="thin">
          <color indexed="64"/>
        </bottom>
      </border>
    </dxf>
    <dxf>
      <font>
        <strike val="0"/>
        <outline val="0"/>
        <shadow val="0"/>
        <u val="none"/>
        <vertAlign val="baseline"/>
        <sz val="14"/>
        <name val="Calibri"/>
        <family val="2"/>
      </font>
      <alignment wrapText="1"/>
      <border diagonalUp="0" diagonalDown="0">
        <left style="thin">
          <color indexed="64"/>
        </left>
        <right style="thin">
          <color indexed="64"/>
        </right>
        <top style="thin">
          <color indexed="64"/>
        </top>
        <bottom style="thin">
          <color indexed="64"/>
        </bottom>
      </border>
    </dxf>
    <dxf>
      <font>
        <strike val="0"/>
        <outline val="0"/>
        <shadow val="0"/>
        <u val="none"/>
        <vertAlign val="baseline"/>
        <sz val="14"/>
        <name val="Calibri"/>
        <family val="2"/>
      </font>
      <alignment wrapText="1"/>
      <border diagonalUp="0" diagonalDown="0">
        <left style="thin">
          <color indexed="64"/>
        </left>
        <right style="thin">
          <color indexed="64"/>
        </right>
        <top style="thin">
          <color indexed="64"/>
        </top>
        <bottom style="thin">
          <color indexed="64"/>
        </bottom>
      </border>
    </dxf>
    <dxf>
      <font>
        <strike val="0"/>
        <outline val="0"/>
        <shadow val="0"/>
        <u val="none"/>
        <vertAlign val="baseline"/>
        <sz val="14"/>
        <name val="Calibri"/>
        <family val="2"/>
      </font>
      <numFmt numFmtId="0" formatCode="General"/>
      <alignment wrapText="1"/>
      <border diagonalUp="0" diagonalDown="0">
        <left style="thin">
          <color indexed="64"/>
        </left>
        <right style="thin">
          <color indexed="64"/>
        </right>
        <top style="thin">
          <color indexed="64"/>
        </top>
        <bottom style="thin">
          <color indexed="64"/>
        </bottom>
      </border>
    </dxf>
    <dxf>
      <font>
        <strike val="0"/>
        <outline val="0"/>
        <shadow val="0"/>
        <u val="none"/>
        <vertAlign val="baseline"/>
        <sz val="14"/>
        <name val="Calibri"/>
        <family val="2"/>
      </font>
      <numFmt numFmtId="0" formatCode="General"/>
      <alignment wrapText="1"/>
      <border diagonalUp="0" diagonalDown="0">
        <left style="thin">
          <color indexed="64"/>
        </left>
        <right style="thin">
          <color indexed="64"/>
        </right>
        <top style="thin">
          <color indexed="64"/>
        </top>
        <bottom style="thin">
          <color indexed="64"/>
        </bottom>
      </border>
    </dxf>
    <dxf>
      <font>
        <strike val="0"/>
        <outline val="0"/>
        <shadow val="0"/>
        <u val="none"/>
        <vertAlign val="baseline"/>
        <sz val="14"/>
        <name val="Calibri"/>
        <family val="2"/>
      </font>
      <alignment wrapText="1"/>
      <border diagonalUp="0" diagonalDown="0">
        <left style="thin">
          <color indexed="64"/>
        </left>
        <right style="thin">
          <color indexed="64"/>
        </right>
        <top style="thin">
          <color indexed="64"/>
        </top>
        <bottom style="thin">
          <color indexed="64"/>
        </bottom>
      </border>
    </dxf>
    <dxf>
      <font>
        <strike val="0"/>
        <outline val="0"/>
        <shadow val="0"/>
        <u val="none"/>
        <vertAlign val="baseline"/>
        <sz val="14"/>
        <name val="Calibri"/>
        <family val="2"/>
      </font>
      <alignment wrapText="1"/>
      <border diagonalUp="0" diagonalDown="0">
        <left style="thin">
          <color indexed="64"/>
        </left>
        <right style="thin">
          <color indexed="64"/>
        </right>
        <top style="thin">
          <color indexed="64"/>
        </top>
        <bottom style="thin">
          <color indexed="64"/>
        </bottom>
      </border>
    </dxf>
    <dxf>
      <font>
        <strike val="0"/>
        <outline val="0"/>
        <shadow val="0"/>
        <u val="none"/>
        <vertAlign val="baseline"/>
        <sz val="14"/>
        <name val="Calibri"/>
        <family val="2"/>
      </font>
      <alignment wrapText="1"/>
      <border diagonalUp="0" diagonalDown="0">
        <left style="thin">
          <color indexed="64"/>
        </left>
        <right style="thin">
          <color indexed="64"/>
        </right>
        <top style="thin">
          <color indexed="64"/>
        </top>
        <bottom style="thin">
          <color indexed="64"/>
        </bottom>
      </border>
    </dxf>
    <dxf>
      <font>
        <strike val="0"/>
        <outline val="0"/>
        <shadow val="0"/>
        <u val="none"/>
        <vertAlign val="baseline"/>
        <sz val="14"/>
        <name val="Calibri"/>
        <family val="2"/>
      </font>
      <numFmt numFmtId="0" formatCode="General"/>
      <alignment wrapText="1"/>
      <border diagonalUp="0" diagonalDown="0">
        <left style="thin">
          <color indexed="64"/>
        </left>
        <right style="thin">
          <color indexed="64"/>
        </right>
        <top style="thin">
          <color indexed="64"/>
        </top>
        <bottom style="thin">
          <color indexed="64"/>
        </bottom>
      </border>
    </dxf>
    <dxf>
      <font>
        <strike val="0"/>
        <outline val="0"/>
        <shadow val="0"/>
        <u val="none"/>
        <vertAlign val="baseline"/>
        <sz val="14"/>
        <name val="Calibri"/>
        <family val="2"/>
      </font>
      <numFmt numFmtId="0" formatCode="General"/>
      <alignment wrapText="1"/>
      <border diagonalUp="0" diagonalDown="0">
        <left style="thin">
          <color indexed="64"/>
        </left>
        <right style="thin">
          <color indexed="64"/>
        </right>
        <top style="thin">
          <color indexed="64"/>
        </top>
        <bottom style="thin">
          <color indexed="64"/>
        </bottom>
      </border>
    </dxf>
    <dxf>
      <font>
        <strike val="0"/>
        <outline val="0"/>
        <shadow val="0"/>
        <u val="none"/>
        <vertAlign val="baseline"/>
        <sz val="14"/>
        <name val="Calibri"/>
        <family val="2"/>
      </font>
      <numFmt numFmtId="0" formatCode="General"/>
      <alignment wrapText="1"/>
      <border diagonalUp="0" diagonalDown="0">
        <left style="thin">
          <color indexed="64"/>
        </left>
        <right style="thin">
          <color indexed="64"/>
        </right>
        <top style="thin">
          <color indexed="64"/>
        </top>
        <bottom style="thin">
          <color indexed="64"/>
        </bottom>
      </border>
    </dxf>
    <dxf>
      <font>
        <strike val="0"/>
        <outline val="0"/>
        <shadow val="0"/>
        <u val="none"/>
        <vertAlign val="baseline"/>
        <sz val="14"/>
        <name val="Calibri"/>
        <family val="2"/>
      </font>
      <alignment wrapText="1"/>
      <border diagonalUp="0" diagonalDown="0">
        <left style="thin">
          <color indexed="64"/>
        </left>
        <right style="thin">
          <color indexed="64"/>
        </right>
        <top style="thin">
          <color indexed="64"/>
        </top>
        <bottom style="thin">
          <color indexed="64"/>
        </bottom>
      </border>
    </dxf>
    <dxf>
      <font>
        <strike val="0"/>
        <outline val="0"/>
        <shadow val="0"/>
        <u val="none"/>
        <vertAlign val="baseline"/>
        <sz val="14"/>
        <name val="Calibri"/>
        <family val="2"/>
      </font>
      <alignment wrapText="1"/>
      <border diagonalUp="0" diagonalDown="0">
        <left style="thin">
          <color indexed="64"/>
        </left>
        <right style="thin">
          <color indexed="64"/>
        </right>
        <top style="thin">
          <color indexed="64"/>
        </top>
        <bottom style="thin">
          <color indexed="64"/>
        </bottom>
      </border>
    </dxf>
    <dxf>
      <font>
        <strike val="0"/>
        <outline val="0"/>
        <shadow val="0"/>
        <u val="none"/>
        <vertAlign val="baseline"/>
        <sz val="14"/>
        <name val="Calibri"/>
        <family val="2"/>
      </font>
      <alignment wrapText="1"/>
      <border diagonalUp="0" diagonalDown="0">
        <left style="thin">
          <color indexed="64"/>
        </left>
        <right style="thin">
          <color indexed="64"/>
        </right>
        <top style="thin">
          <color indexed="64"/>
        </top>
        <bottom style="thin">
          <color indexed="64"/>
        </bottom>
      </border>
    </dxf>
    <dxf>
      <font>
        <strike val="0"/>
        <outline val="0"/>
        <shadow val="0"/>
        <u val="none"/>
        <vertAlign val="baseline"/>
        <sz val="14"/>
        <name val="Calibri"/>
        <family val="2"/>
      </font>
      <alignment wrapText="1"/>
      <border diagonalUp="0" diagonalDown="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4"/>
        <color theme="1"/>
        <name val="Calibri"/>
        <family val="2"/>
        <scheme val="minor"/>
      </font>
      <numFmt numFmtId="22" formatCode="mmm/yy"/>
      <alignment horizontal="center" vertical="bottom" textRotation="0" wrapText="1" indent="0" justifyLastLine="0" shrinkToFit="0" readingOrder="0"/>
      <border diagonalUp="0" diagonalDown="0">
        <left style="thin">
          <color indexed="64"/>
        </left>
        <right style="thin">
          <color indexed="64"/>
        </right>
        <top style="thin">
          <color indexed="64"/>
        </top>
        <bottom style="thin">
          <color indexed="64"/>
        </bottom>
      </border>
    </dxf>
    <dxf>
      <font>
        <strike val="0"/>
        <outline val="0"/>
        <shadow val="0"/>
        <u val="none"/>
        <vertAlign val="baseline"/>
        <sz val="14"/>
        <name val="Calibri"/>
        <family val="2"/>
      </font>
      <alignment wrapText="1"/>
    </dxf>
    <dxf>
      <font>
        <b/>
        <i val="0"/>
        <strike val="0"/>
        <condense val="0"/>
        <extend val="0"/>
        <outline val="0"/>
        <shadow val="0"/>
        <u val="none"/>
        <vertAlign val="baseline"/>
        <sz val="14"/>
        <color theme="0"/>
        <name val="Aptos"/>
        <family val="2"/>
        <scheme val="none"/>
      </font>
      <fill>
        <patternFill patternType="solid">
          <fgColor indexed="64"/>
          <bgColor theme="1"/>
        </patternFill>
      </fill>
      <alignment horizontal="center" vertical="center"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26C817E-D2D0-4B67-8270-0BC192226C0F}" name="Table2" displayName="Table2" ref="A1:S12" totalsRowShown="0" headerRowDxfId="22" dataDxfId="21">
  <autoFilter ref="A1:S12" xr:uid="{926C817E-D2D0-4B67-8270-0BC192226C0F}"/>
  <tableColumns count="19">
    <tableColumn id="1" xr3:uid="{398745E8-8320-4932-9F60-CFC094D024D5}" name="Months" dataDxfId="20"/>
    <tableColumn id="2" xr3:uid="{AD8580C4-A964-47D0-A2A6-C46286C4A90A}" name="Actual POA / Irradiance (kWh/m²)" dataDxfId="19"/>
    <tableColumn id="3" xr3:uid="{67C0BE10-B68E-4660-93DE-74B0A5B8D432}" name="Inverter Generation (kWh)" dataDxfId="18"/>
    <tableColumn id="4" xr3:uid="{CAC155AD-C402-4DA8-BB44-398CB32DADC2}" name="MFM Energy (kWh)" dataDxfId="17"/>
    <tableColumn id="5" xr3:uid="{52779C32-DB2A-4DC9-B301-B1FDDD8AEBB7}" name="Main Meter / JMR Energy (kWh)" dataDxfId="16"/>
    <tableColumn id="6" xr3:uid="{40A055C8-33F1-48F3-AEC1-C3DE7A6F5EB7}" name="Specific Yield (kWh/kWp)" dataDxfId="15">
      <calculatedColumnFormula>C2/(3.1591*31)</calculatedColumnFormula>
    </tableColumn>
    <tableColumn id="7" xr3:uid="{00E9B37D-CC8F-4AE8-8009-39B4B2A5F2F9}" name="CUF (%)" dataDxfId="14">
      <calculatedColumnFormula>C2*100/(3.1591*24*31)</calculatedColumnFormula>
    </tableColumn>
    <tableColumn id="8" xr3:uid="{46A73EB5-3561-4083-80D5-C3DA41C1AF76}" name="PR (%)" dataDxfId="13">
      <calculatedColumnFormula>E2*100/(3.1591*B2)</calculatedColumnFormula>
    </tableColumn>
    <tableColumn id="9" xr3:uid="{3FD2E50F-DECD-432D-A666-B4E9E2CD679A}" name="PVsyst PR (%)" dataDxfId="12"/>
    <tableColumn id="10" xr3:uid="{0507BFEA-AB37-4FD1-9819-9E81128397D4}" name="Inverter → MFM Loss (%)" dataDxfId="11"/>
    <tableColumn id="11" xr3:uid="{A8944475-3D45-4CFB-ADE4-D46A9F84D25C}" name="MFM → Main Meter Line Loss (%)" dataDxfId="10"/>
    <tableColumn id="17" xr3:uid="{099B3C77-67F3-4C71-9B30-A05041B82A1F}" name="Total (Inverter → Main Meter Loss) (%)" dataDxfId="9">
      <calculatedColumnFormula>(C2-E2)*100/C2</calculatedColumnFormula>
    </tableColumn>
    <tableColumn id="12" xr3:uid="{8DE5AD0D-94AE-46A8-BC22-8A930ED074DB}" name="Daytime Plant Availability (%)" dataDxfId="8">
      <calculatedColumnFormula>100-21*100/(31*12)</calculatedColumnFormula>
    </tableColumn>
    <tableColumn id="13" xr3:uid="{ADC79B67-FA96-44A3-8C52-B462A5813A90}" name="Daytime Grid Availability (%)" dataDxfId="7"/>
    <tableColumn id="18" xr3:uid="{C390A48B-8A62-4CEE-8C4A-A16C933B9853}" name="% Generation (Actual / Simulated)" dataDxfId="6"/>
    <tableColumn id="19" xr3:uid="{6966E56A-157A-4563-85FA-D69362783D98}" name="% of Energy available at main meter Actual" dataDxfId="5">
      <calculatedColumnFormula>C2*100/E2</calculatedColumnFormula>
    </tableColumn>
    <tableColumn id="14" xr3:uid="{5FCD691B-C39C-47A8-B4E5-21C69D64EEC2}" name="Module Temp (°C)" dataDxfId="4"/>
    <tableColumn id="15" xr3:uid="{67F3081A-2B79-45D5-AEE9-A79603335512}" name="Ambient Temp (°C)" dataDxfId="3"/>
    <tableColumn id="16" xr3:uid="{BBBB53CE-D2B9-441B-AFFC-C65A8EDD351C}" name="Remarks" dataDxfId="2">
      <calculatedColumnFormula>IF(COUNTA(B2:R2)=0,"","Overall: " &amp; IF(COUNTIF(B2:R2,"Increase")&gt;COUNTIF(B2:R2,"Decrease"),"more increases than decreases","more decreases than increases or equal") &amp; " (" &amp; COUNTIF(B2:R2,"Increase") &amp; " increases, " &amp; COUNTIF(B2:R2,"Decrease") &amp; " decreases, " &amp; COUNTIF(B2:R2,"No Change") &amp; " unchanged.)")</calculatedColumnFormula>
    </tableColumn>
  </tableColumns>
  <tableStyleInfo name="TableStyleMedium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003A46-9AC4-4347-B3D8-006EEE9467CA}">
  <dimension ref="A1:T12"/>
  <sheetViews>
    <sheetView tabSelected="1" zoomScale="60" zoomScaleNormal="60" workbookViewId="0">
      <pane ySplit="1" topLeftCell="A2" activePane="bottomLeft" state="frozen"/>
      <selection pane="bottomLeft" activeCell="Q2" sqref="Q2"/>
    </sheetView>
  </sheetViews>
  <sheetFormatPr defaultColWidth="9.1796875" defaultRowHeight="14.5" x14ac:dyDescent="0.35"/>
  <cols>
    <col min="1" max="1" width="21.7265625" style="12" customWidth="1"/>
    <col min="2" max="2" width="20.81640625" style="12" customWidth="1"/>
    <col min="3" max="3" width="19.453125" style="12" customWidth="1"/>
    <col min="4" max="4" width="18.26953125" style="12" customWidth="1"/>
    <col min="5" max="5" width="21.453125" style="12" customWidth="1"/>
    <col min="6" max="7" width="17.453125" style="12" customWidth="1"/>
    <col min="8" max="8" width="18" style="12" customWidth="1"/>
    <col min="9" max="9" width="13.1796875" style="12" customWidth="1"/>
    <col min="10" max="10" width="17.7265625" style="12" customWidth="1"/>
    <col min="11" max="11" width="19.453125" style="12" customWidth="1"/>
    <col min="12" max="12" width="20.54296875" style="12" customWidth="1"/>
    <col min="13" max="13" width="16.1796875" style="12" customWidth="1"/>
    <col min="14" max="14" width="17.7265625" style="12" customWidth="1"/>
    <col min="15" max="15" width="16.453125" style="12" customWidth="1"/>
    <col min="16" max="16" width="17.453125" style="12" customWidth="1"/>
    <col min="17" max="17" width="12.54296875" style="12" customWidth="1"/>
    <col min="18" max="18" width="11.54296875" style="12" customWidth="1"/>
    <col min="19" max="19" width="139.1796875" style="12" customWidth="1"/>
    <col min="20" max="16384" width="9.1796875" style="12"/>
  </cols>
  <sheetData>
    <row r="1" spans="1:20" ht="131.25" customHeight="1" x14ac:dyDescent="0.35">
      <c r="A1" s="1" t="s">
        <v>2</v>
      </c>
      <c r="B1" s="1" t="s">
        <v>3</v>
      </c>
      <c r="C1" s="1" t="s">
        <v>4</v>
      </c>
      <c r="D1" s="1" t="s">
        <v>5</v>
      </c>
      <c r="E1" s="1" t="s">
        <v>6</v>
      </c>
      <c r="F1" s="1" t="s">
        <v>7</v>
      </c>
      <c r="G1" s="1" t="s">
        <v>8</v>
      </c>
      <c r="H1" s="1" t="s">
        <v>9</v>
      </c>
      <c r="I1" s="1" t="s">
        <v>10</v>
      </c>
      <c r="J1" s="1" t="s">
        <v>11</v>
      </c>
      <c r="K1" s="1" t="s">
        <v>12</v>
      </c>
      <c r="L1" s="1" t="s">
        <v>13</v>
      </c>
      <c r="M1" s="1" t="s">
        <v>14</v>
      </c>
      <c r="N1" s="1" t="s">
        <v>15</v>
      </c>
      <c r="O1" s="1" t="s">
        <v>16</v>
      </c>
      <c r="P1" s="2" t="s">
        <v>17</v>
      </c>
      <c r="Q1" s="1" t="s">
        <v>18</v>
      </c>
      <c r="R1" s="1" t="s">
        <v>19</v>
      </c>
      <c r="S1" s="1" t="s">
        <v>0</v>
      </c>
      <c r="T1" s="3"/>
    </row>
    <row r="2" spans="1:20" ht="18.5" x14ac:dyDescent="0.45">
      <c r="A2" s="5">
        <v>45658</v>
      </c>
      <c r="B2" s="6">
        <v>167.71</v>
      </c>
      <c r="C2" s="6">
        <v>393.38200000000001</v>
      </c>
      <c r="D2" s="6">
        <v>404.42</v>
      </c>
      <c r="E2" s="6">
        <v>398.40899999999999</v>
      </c>
      <c r="F2" s="6">
        <f t="shared" ref="F2:F4" si="0">C2/(3.1591*31)</f>
        <v>4.0168851683972875</v>
      </c>
      <c r="G2" s="13">
        <f>C2/(3.1591*24*31)</f>
        <v>0.167370215349887</v>
      </c>
      <c r="H2" s="13">
        <f>E2/(3.1591*B2)</f>
        <v>0.75198089688536141</v>
      </c>
      <c r="I2" s="13">
        <v>0.86099999999999999</v>
      </c>
      <c r="J2" s="6" t="str">
        <f>IF(C2=0,"",IF(OR(C2="",D2=""),"",IF((D2-C2)/C2&gt;0,TEXT((D2-C2)/C2*100,"0.00")&amp;"% Profit",TEXT(ABS((D2-C2)/C2*100),"0.00")&amp;"% Loss")))</f>
        <v>2.81% Profit</v>
      </c>
      <c r="K2" s="6" t="str">
        <f>IF(D2=0,"",IF(OR(D2="",E2=""),"",IF((E2-D2)/D2&gt;0,TEXT((E2-D2)/D2*100,"0.00")&amp;"% Profit",TEXT(ABS((E2-D2)/D2*100),"0.00")&amp;"% Loss")))</f>
        <v>1.49% Loss</v>
      </c>
      <c r="L2" s="6" t="str">
        <f>IF(C2=0,"",IF(OR(C2="",E2=""),"",IF((E2-C2)/C2&gt;0,TEXT((E2-C2)/C2*100,"0.00")&amp;"% Profit",TEXT(ABS((E2-C2)/C2*100),"0.00")&amp;"% Loss")))</f>
        <v>1.28% Profit</v>
      </c>
      <c r="M2" s="13">
        <v>0.94099999999999995</v>
      </c>
      <c r="N2" s="13">
        <v>0.96730000000000005</v>
      </c>
      <c r="O2" s="13">
        <v>0.91290000000000004</v>
      </c>
      <c r="P2" s="14">
        <f>E2/C2</f>
        <v>1.0127789273530563</v>
      </c>
      <c r="Q2" s="6">
        <v>27.3</v>
      </c>
      <c r="R2" s="6">
        <v>22.32</v>
      </c>
      <c r="S2" s="6" t="s">
        <v>20</v>
      </c>
    </row>
    <row r="3" spans="1:20" ht="18.5" x14ac:dyDescent="0.45">
      <c r="A3" s="7"/>
      <c r="B3" s="8"/>
      <c r="C3" s="8"/>
      <c r="D3" s="8"/>
      <c r="E3" s="8"/>
      <c r="F3" s="9"/>
      <c r="G3" s="9"/>
      <c r="H3" s="9"/>
      <c r="I3" s="8"/>
      <c r="J3" s="8"/>
      <c r="K3" s="8"/>
      <c r="L3" s="9"/>
      <c r="M3" s="8"/>
      <c r="N3" s="8"/>
      <c r="O3" s="8"/>
      <c r="P3" s="9"/>
      <c r="Q3" s="8"/>
      <c r="R3" s="8"/>
      <c r="S3" s="4"/>
      <c r="T3" s="4"/>
    </row>
    <row r="4" spans="1:20" ht="185" x14ac:dyDescent="0.45">
      <c r="A4" s="5">
        <v>46023</v>
      </c>
      <c r="B4" s="6">
        <v>169.98</v>
      </c>
      <c r="C4" s="6">
        <v>456.47199999999998</v>
      </c>
      <c r="D4" s="6">
        <v>454.5</v>
      </c>
      <c r="E4" s="6">
        <v>449.67399999999998</v>
      </c>
      <c r="F4" s="6">
        <f t="shared" si="0"/>
        <v>4.6611070323213735</v>
      </c>
      <c r="G4" s="13">
        <f>C4/(3.1591*24*31)</f>
        <v>0.19421279301339059</v>
      </c>
      <c r="H4" s="13">
        <f>E4/(3.1591*B4)</f>
        <v>0.83740698495312949</v>
      </c>
      <c r="I4" s="13">
        <v>0.86099999999999999</v>
      </c>
      <c r="J4" s="6" t="str">
        <f>IF(C4=0,"",IF(OR(C4="",D4=""),"",IF((D4-C4)/C4&gt;0,TEXT((D4-C4)/C4*100,"0.00")&amp;"% Profit",TEXT(ABS((D4-C4)/C4*100),"0.00")&amp;"% Loss")))</f>
        <v>0.43% Loss</v>
      </c>
      <c r="K4" s="6" t="str">
        <f>IF(D4=0,"",IF(OR(D4="",E4=""),"",IF((E4-D4)/D4&gt;0,TEXT((E4-D4)/D4*100,"0.00")&amp;"% Profit",TEXT(ABS((E4-D4)/D4*100),"0.00")&amp;"% Loss")))</f>
        <v>1.06% Loss</v>
      </c>
      <c r="L4" s="6" t="str">
        <f>IF(C4=0,"",IF(OR(C4="",E4=""),"",IF((E4-C4)/C4&gt;0,TEXT((E4-C4)/C4*100,"0.00")&amp;"% Profit",TEXT(ABS((E4-C4)/C4*100),"0.00")&amp;"% Loss")))</f>
        <v>1.49% Loss</v>
      </c>
      <c r="M4" s="13">
        <v>0.98960000000000004</v>
      </c>
      <c r="N4" s="13">
        <v>0.98470000000000002</v>
      </c>
      <c r="O4" s="13">
        <v>1.0304</v>
      </c>
      <c r="P4" s="14">
        <f>E4/C4</f>
        <v>0.98510752028601978</v>
      </c>
      <c r="Q4" s="6">
        <v>34.21</v>
      </c>
      <c r="R4" s="6">
        <v>18.12</v>
      </c>
      <c r="S4" s="6" t="s">
        <v>21</v>
      </c>
    </row>
    <row r="5" spans="1:20" ht="18.5" x14ac:dyDescent="0.45">
      <c r="A5" s="10"/>
      <c r="B5" s="11"/>
      <c r="C5" s="11"/>
      <c r="D5" s="11"/>
      <c r="E5" s="11"/>
      <c r="F5" s="9"/>
      <c r="G5" s="11"/>
      <c r="H5" s="11"/>
      <c r="I5" s="11"/>
      <c r="J5" s="9"/>
      <c r="K5" s="9"/>
      <c r="L5" s="11"/>
      <c r="M5" s="11"/>
      <c r="N5" s="11"/>
      <c r="O5" s="11"/>
      <c r="P5" s="11"/>
      <c r="Q5" s="11"/>
      <c r="R5" s="11"/>
      <c r="S5" s="11"/>
    </row>
    <row r="6" spans="1:20" ht="74" x14ac:dyDescent="0.45">
      <c r="A6" s="10">
        <v>45689</v>
      </c>
      <c r="B6" s="11">
        <v>163.06</v>
      </c>
      <c r="C6" s="11">
        <v>436.66199999999998</v>
      </c>
      <c r="D6" s="11">
        <v>441.98</v>
      </c>
      <c r="E6" s="11">
        <v>435.42399999999998</v>
      </c>
      <c r="F6" s="6">
        <f>C6/(3.1591*28)</f>
        <v>4.9365551671588195</v>
      </c>
      <c r="G6" s="13">
        <f>C6/(3.1591*24*31)</f>
        <v>0.1857843342479126</v>
      </c>
      <c r="H6" s="13">
        <f>E6/(3.1591*B6)</f>
        <v>0.84528186505632097</v>
      </c>
      <c r="I6" s="14">
        <v>0.76200000000000001</v>
      </c>
      <c r="J6" s="6" t="str">
        <f>IF(C6=0,"",IF(OR(C6="",D6=""),"",IF((D6-C6)/C6&gt;0,TEXT((D6-C6)/C6*100,"0.00")&amp;"% Profit",TEXT(ABS((D6-C6)/C6*100),"0.00")&amp;"% Loss")))</f>
        <v>1.22% Profit</v>
      </c>
      <c r="K6" s="6" t="str">
        <f>IF(D6=0,"",IF(OR(D6="",E6=""),"",IF((E6-D6)/D6&gt;0,TEXT((E6-D6)/D6*100,"0.00")&amp;"% Profit",TEXT(ABS((E6-D6)/D6*100),"0.00")&amp;"% Loss")))</f>
        <v>1.48% Loss</v>
      </c>
      <c r="L6" s="6" t="str">
        <f>IF(C6=0,"",IF(OR(C6="",E6=""),"",IF((E6-C6)/C6&gt;0,TEXT((E6-C6)/C6*100,"0.00")&amp;"% Profit",TEXT(ABS((E6-C6)/C6*100),"0.00")&amp;"% Loss")))</f>
        <v>0.28% Loss</v>
      </c>
      <c r="M6" s="14">
        <v>0.98750000000000004</v>
      </c>
      <c r="N6" s="14">
        <v>0.97719999999999996</v>
      </c>
      <c r="O6" s="14">
        <v>1.1012</v>
      </c>
      <c r="P6" s="14">
        <f>E6/C6</f>
        <v>0.99716485519692577</v>
      </c>
      <c r="Q6" s="11">
        <v>27.17</v>
      </c>
      <c r="R6" s="11">
        <v>32.93</v>
      </c>
      <c r="S6" s="11" t="s">
        <v>1</v>
      </c>
    </row>
    <row r="7" spans="1:20" ht="18.5" x14ac:dyDescent="0.45">
      <c r="A7" s="10"/>
      <c r="B7" s="11"/>
      <c r="C7" s="11"/>
      <c r="D7" s="11"/>
      <c r="E7" s="11"/>
      <c r="F7" s="11"/>
      <c r="G7" s="11"/>
      <c r="H7" s="11"/>
      <c r="I7" s="11"/>
      <c r="J7" s="9"/>
      <c r="K7" s="9"/>
      <c r="L7" s="11"/>
      <c r="M7" s="11"/>
      <c r="N7" s="11"/>
      <c r="O7" s="11"/>
      <c r="P7" s="11"/>
      <c r="Q7" s="11"/>
      <c r="R7" s="11"/>
      <c r="S7" s="11"/>
    </row>
    <row r="8" spans="1:20" ht="74" x14ac:dyDescent="0.45">
      <c r="A8" s="10">
        <v>46054</v>
      </c>
      <c r="B8" s="11">
        <v>177.17</v>
      </c>
      <c r="C8" s="11">
        <v>443.41</v>
      </c>
      <c r="D8" s="11">
        <v>441.03199999999998</v>
      </c>
      <c r="E8" s="11">
        <v>436.69</v>
      </c>
      <c r="F8" s="11">
        <f>C8/(3.1591*28)</f>
        <v>5.0128427174104742</v>
      </c>
      <c r="G8" s="13">
        <f>C8/(3.1591*24*31)</f>
        <v>0.18865537108534045</v>
      </c>
      <c r="H8" s="13">
        <f>E8/(3.1591*B8)</f>
        <v>0.78022468795108446</v>
      </c>
      <c r="I8" s="14">
        <v>0.76200000000000001</v>
      </c>
      <c r="J8" s="6" t="str">
        <f>IF(C8=0,"",IF(OR(C8="",D8=""),"",IF((D8-C8)/C8&gt;0,TEXT((D8-C8)/C8*100,"0.00")&amp;"% Profit",TEXT(ABS((D8-C8)/C8*100),"0.00")&amp;"% Loss")))</f>
        <v>0.54% Loss</v>
      </c>
      <c r="K8" s="6" t="str">
        <f>IF(D8=0,"",IF(OR(D8="",E8=""),"",IF((E8-D8)/D8&gt;0,TEXT((E8-D8)/D8*100,"0.00")&amp;"% Profit",TEXT(ABS((E8-D8)/D8*100),"0.00")&amp;"% Loss")))</f>
        <v>0.98% Loss</v>
      </c>
      <c r="L8" s="6" t="str">
        <f>IF(C8=0,"",IF(OR(C8="",E8=""),"",IF((E8-C8)/C8&gt;0,TEXT((E8-C8)/C8*100,"0.00")&amp;"% Profit",TEXT(ABS((E8-C8)/C8*100),"0.00")&amp;"% Loss")))</f>
        <v>1.52% Loss</v>
      </c>
      <c r="M8" s="14">
        <v>0.97470000000000001</v>
      </c>
      <c r="N8" s="14">
        <v>0.96599999999999997</v>
      </c>
      <c r="O8" s="14">
        <v>1.1044</v>
      </c>
      <c r="P8" s="14">
        <f>E8/C8</f>
        <v>0.98484472609999774</v>
      </c>
      <c r="Q8" s="11">
        <v>22.27</v>
      </c>
      <c r="R8" s="11">
        <v>41.57</v>
      </c>
      <c r="S8" s="11" t="s">
        <v>22</v>
      </c>
    </row>
    <row r="9" spans="1:20" ht="18.5" x14ac:dyDescent="0.45">
      <c r="A9" s="10"/>
      <c r="B9" s="11"/>
      <c r="C9" s="11"/>
      <c r="D9" s="11"/>
      <c r="E9" s="11"/>
      <c r="F9" s="11"/>
      <c r="G9" s="11"/>
      <c r="H9" s="11"/>
      <c r="I9" s="11"/>
      <c r="J9" s="9"/>
      <c r="K9" s="9"/>
      <c r="L9" s="11"/>
      <c r="M9" s="11"/>
      <c r="N9" s="11"/>
      <c r="O9" s="11"/>
      <c r="P9" s="11"/>
      <c r="Q9" s="11"/>
      <c r="R9" s="11"/>
      <c r="S9" s="11" t="str">
        <f>IF(COUNTA(B9:R9)=0,"","Overall: " &amp; IF(COUNTIF(B9:R9,"Increase")&gt;COUNTIF(B9:R9,"Decrease"),"more increases than decreases","more decreases than increases or equal") &amp; " (" &amp; COUNTIF(B9:R9,"Increase") &amp; " increases, " &amp; COUNTIF(B9:R9,"Decrease") &amp; " decreases, " &amp; COUNTIF(B9:R9,"No Change") &amp; " unchanged.)")</f>
        <v/>
      </c>
    </row>
    <row r="10" spans="1:20" ht="92.5" x14ac:dyDescent="0.45">
      <c r="A10" s="10">
        <v>45717</v>
      </c>
      <c r="B10" s="11">
        <v>218.94</v>
      </c>
      <c r="C10" s="11">
        <v>567.17200000000003</v>
      </c>
      <c r="D10" s="11">
        <v>572.66999999999996</v>
      </c>
      <c r="E10" s="11">
        <v>564.65899999999999</v>
      </c>
      <c r="F10" s="11">
        <f t="shared" ref="F10" si="1">C10/(3.1591*31)</f>
        <v>5.7914820574663466</v>
      </c>
      <c r="G10" s="13">
        <f>C10/(3.1591*24*31)</f>
        <v>0.24131175239443114</v>
      </c>
      <c r="H10" s="13">
        <f>E10/(3.1591*B10)</f>
        <v>0.81639017107983247</v>
      </c>
      <c r="I10" s="14">
        <v>0.73899999999999999</v>
      </c>
      <c r="J10" s="6" t="str">
        <f>IF(C10=0,"",IF(OR(C10="",D10=""),"",IF((D10-C10)/C10&gt;0,TEXT((D10-C10)/C10*100,"0.00")&amp;"% Profit",TEXT(ABS((D10-C10)/C10*100),"0.00")&amp;"% Loss")))</f>
        <v>0.97% Profit</v>
      </c>
      <c r="K10" s="6" t="str">
        <f>IF(D10=0,"",IF(OR(D10="",E10=""),"",IF((E10-D10)/D10&gt;0,TEXT((E10-D10)/D10*100,"0.00")&amp;"% Profit",TEXT(ABS((E10-D10)/D10*100),"0.00")&amp;"% Loss")))</f>
        <v>1.40% Loss</v>
      </c>
      <c r="L10" s="6" t="str">
        <f>IF(C10=0,"",IF(OR(C10="",E10=""),"",IF((E10-C10)/C10&gt;0,TEXT((E10-C10)/C10*100,"0.00")&amp;"% Profit",TEXT(ABS((E10-C10)/C10*100),"0.00")&amp;"% Loss")))</f>
        <v>0.44% Loss</v>
      </c>
      <c r="M10" s="14">
        <v>0.94630000000000003</v>
      </c>
      <c r="N10" s="14">
        <v>0.98629999999999995</v>
      </c>
      <c r="O10" s="14">
        <v>1.21E-2</v>
      </c>
      <c r="P10" s="14">
        <f>E10/C10</f>
        <v>0.99556924530830149</v>
      </c>
      <c r="Q10" s="11">
        <v>33.19</v>
      </c>
      <c r="R10" s="11">
        <v>30.23</v>
      </c>
      <c r="S10" s="11" t="s">
        <v>23</v>
      </c>
    </row>
    <row r="11" spans="1:20" ht="18.5" x14ac:dyDescent="0.45">
      <c r="A11" s="10"/>
      <c r="B11" s="11"/>
      <c r="C11" s="11"/>
      <c r="D11" s="11"/>
      <c r="E11" s="11"/>
      <c r="F11" s="11"/>
      <c r="G11" s="11"/>
      <c r="H11" s="11"/>
      <c r="I11" s="11"/>
      <c r="J11" s="9"/>
      <c r="K11" s="9"/>
      <c r="L11" s="11"/>
      <c r="M11" s="11"/>
      <c r="N11" s="11"/>
      <c r="O11" s="11"/>
      <c r="P11" s="11"/>
      <c r="Q11" s="11"/>
      <c r="R11" s="11"/>
      <c r="S11" s="11"/>
    </row>
    <row r="12" spans="1:20" ht="92.5" x14ac:dyDescent="0.45">
      <c r="A12" s="10">
        <v>46082</v>
      </c>
      <c r="B12" s="11">
        <v>184.994</v>
      </c>
      <c r="C12" s="11">
        <v>533.23</v>
      </c>
      <c r="D12" s="11">
        <v>531.31700000000001</v>
      </c>
      <c r="E12" s="11">
        <v>524.91999999999996</v>
      </c>
      <c r="F12" s="11">
        <f t="shared" ref="F12" si="2">C12/(3.1591*31)</f>
        <v>5.4448949833609204</v>
      </c>
      <c r="G12" s="13">
        <f>C12/(3.1591*24*31)</f>
        <v>0.22687062430670504</v>
      </c>
      <c r="H12" s="13">
        <f>E12/(3.1591*B12)</f>
        <v>0.89819804132479419</v>
      </c>
      <c r="I12" s="14">
        <v>0.73899999999999999</v>
      </c>
      <c r="J12" s="6" t="str">
        <f>IF(C12=0,"",IF(OR(C12="",D12=""),"",IF((D12-C12)/C12&gt;0,TEXT((D12-C12)/C12*100,"0.00")&amp;"% Profit",TEXT(ABS((D12-C12)/C12*100),"0.00")&amp;"% Loss")))</f>
        <v>0.36% Loss</v>
      </c>
      <c r="K12" s="6" t="str">
        <f>IF(D12=0,"",IF(OR(D12="",E12=""),"",IF((E12-D12)/D12&gt;0,TEXT((E12-D12)/D12*100,"0.00")&amp;"% Profit",TEXT(ABS((E12-D12)/D12*100),"0.00")&amp;"% Loss")))</f>
        <v>1.20% Loss</v>
      </c>
      <c r="L12" s="6" t="str">
        <f>IF(C12=0,"",IF(OR(C12="",E12=""),"",IF((E12-C12)/C12&gt;0,TEXT((E12-C12)/C12*100,"0.00")&amp;"% Profit",TEXT(ABS((E12-C12)/C12*100),"0.00")&amp;"% Loss")))</f>
        <v>1.56% Loss</v>
      </c>
      <c r="M12" s="14">
        <v>0.98680000000000001</v>
      </c>
      <c r="N12" s="14">
        <v>0.95909999999999995</v>
      </c>
      <c r="O12" s="14">
        <v>1.1299999999999999E-2</v>
      </c>
      <c r="P12" s="14">
        <f>E12/C12</f>
        <v>0.98441573054779352</v>
      </c>
      <c r="Q12" s="11">
        <v>28.81</v>
      </c>
      <c r="R12" s="11">
        <v>45.26</v>
      </c>
      <c r="S12" s="11" t="s">
        <v>24</v>
      </c>
    </row>
  </sheetData>
  <conditionalFormatting sqref="B3:O3 Q3:R3">
    <cfRule type="cellIs" dxfId="1" priority="1" operator="greaterThan">
      <formula>0</formula>
    </cfRule>
    <cfRule type="cellIs" dxfId="0" priority="2" operator="lessThan">
      <formula>0</formula>
    </cfRule>
  </conditionalFormatting>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Sheet2</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Pratik Kumar</dc:creator>
  <cp:keywords/>
  <dc:description/>
  <cp:lastModifiedBy>Pratik Kumar</cp:lastModifiedBy>
  <cp:revision/>
  <dcterms:created xsi:type="dcterms:W3CDTF">2026-02-23T06:18:34Z</dcterms:created>
  <dcterms:modified xsi:type="dcterms:W3CDTF">2026-04-08T10:57:56Z</dcterms:modified>
  <cp:category/>
  <cp:contentStatus/>
</cp:coreProperties>
</file>