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nishchoubey\OneDrive\Desktop\March_2026_Gen._Analysis\"/>
    </mc:Choice>
  </mc:AlternateContent>
  <xr:revisionPtr revIDLastSave="0" documentId="13_ncr:1_{7A063576-FA2B-41BB-81C1-DFF92D535ED4}" xr6:coauthVersionLast="47" xr6:coauthVersionMax="47" xr10:uidLastSave="{00000000-0000-0000-0000-000000000000}"/>
  <bookViews>
    <workbookView xWindow="-110" yWindow="-110" windowWidth="19420" windowHeight="10300" xr2:uid="{DC62D04B-0F5F-447D-8EAF-ECB7405E657D}"/>
  </bookViews>
  <sheets>
    <sheet name="Y24-25" sheetId="1" r:id="rId1"/>
    <sheet name="Y2026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3" l="1"/>
  <c r="L8" i="3"/>
  <c r="L9" i="3"/>
  <c r="L10" i="3"/>
  <c r="L11" i="3"/>
  <c r="L12" i="3"/>
  <c r="L13" i="3"/>
  <c r="L14" i="3"/>
  <c r="L15" i="3"/>
  <c r="L5" i="3"/>
  <c r="L6" i="3"/>
  <c r="L4" i="3"/>
  <c r="N5" i="3"/>
  <c r="N6" i="3"/>
  <c r="N7" i="3"/>
  <c r="N8" i="3"/>
  <c r="N9" i="3"/>
  <c r="N10" i="3"/>
  <c r="N11" i="3"/>
  <c r="N12" i="3"/>
  <c r="N13" i="3"/>
  <c r="N14" i="3"/>
  <c r="N15" i="3"/>
  <c r="N4" i="3"/>
  <c r="M5" i="3"/>
  <c r="M6" i="3"/>
  <c r="M7" i="3"/>
  <c r="M8" i="3"/>
  <c r="M9" i="3"/>
  <c r="M10" i="3"/>
  <c r="M11" i="3"/>
  <c r="M12" i="3"/>
  <c r="M13" i="3"/>
  <c r="M14" i="3"/>
  <c r="M15" i="3"/>
  <c r="M4" i="3"/>
  <c r="I5" i="3"/>
  <c r="I6" i="3"/>
  <c r="I7" i="3"/>
  <c r="I8" i="3"/>
  <c r="I9" i="3"/>
  <c r="I10" i="3"/>
  <c r="I11" i="3"/>
  <c r="I12" i="3"/>
  <c r="I13" i="3"/>
  <c r="I14" i="3"/>
  <c r="I15" i="3"/>
  <c r="I4" i="3"/>
  <c r="G16" i="3"/>
  <c r="F16" i="3"/>
  <c r="O15" i="3"/>
  <c r="E15" i="3"/>
  <c r="H15" i="3" s="1"/>
  <c r="O14" i="3"/>
  <c r="E14" i="3"/>
  <c r="H14" i="3" s="1"/>
  <c r="O13" i="3"/>
  <c r="E13" i="3"/>
  <c r="H13" i="3" s="1"/>
  <c r="O12" i="3"/>
  <c r="E12" i="3"/>
  <c r="H12" i="3" s="1"/>
  <c r="O11" i="3"/>
  <c r="E11" i="3"/>
  <c r="H11" i="3" s="1"/>
  <c r="O10" i="3"/>
  <c r="E10" i="3"/>
  <c r="H10" i="3" s="1"/>
  <c r="O9" i="3"/>
  <c r="E9" i="3"/>
  <c r="H9" i="3" s="1"/>
  <c r="O8" i="3"/>
  <c r="E8" i="3"/>
  <c r="H8" i="3" s="1"/>
  <c r="O7" i="3"/>
  <c r="E7" i="3"/>
  <c r="H7" i="3" s="1"/>
  <c r="O6" i="3"/>
  <c r="E6" i="3"/>
  <c r="H6" i="3" s="1"/>
  <c r="O5" i="3"/>
  <c r="E5" i="3"/>
  <c r="H5" i="3" s="1"/>
  <c r="O4" i="3"/>
  <c r="E4" i="3"/>
  <c r="H4" i="3" s="1"/>
  <c r="L19" i="1"/>
  <c r="E19" i="1"/>
  <c r="E18" i="1"/>
  <c r="E17" i="1"/>
  <c r="E16" i="1"/>
  <c r="E15" i="1"/>
  <c r="E14" i="1"/>
  <c r="E13" i="1"/>
  <c r="E12" i="1"/>
  <c r="E11" i="1"/>
  <c r="E10" i="1"/>
  <c r="H10" i="1" s="1"/>
  <c r="E9" i="1"/>
  <c r="E8" i="1"/>
  <c r="E6" i="1"/>
  <c r="E5" i="1"/>
  <c r="E4" i="1"/>
  <c r="O18" i="1"/>
  <c r="L18" i="1"/>
  <c r="I18" i="1"/>
  <c r="M18" i="1"/>
  <c r="M17" i="1"/>
  <c r="N17" i="1"/>
  <c r="M4" i="1"/>
  <c r="L4" i="1"/>
  <c r="M16" i="1"/>
  <c r="N16" i="1"/>
  <c r="O9" i="1"/>
  <c r="O10" i="1"/>
  <c r="O11" i="1"/>
  <c r="O12" i="1"/>
  <c r="O13" i="1"/>
  <c r="O14" i="1"/>
  <c r="O15" i="1"/>
  <c r="O16" i="1"/>
  <c r="O17" i="1"/>
  <c r="L17" i="1"/>
  <c r="O4" i="1"/>
  <c r="O5" i="1"/>
  <c r="O6" i="1"/>
  <c r="O8" i="1"/>
  <c r="O19" i="1"/>
  <c r="M5" i="1"/>
  <c r="N5" i="1" s="1"/>
  <c r="M6" i="1"/>
  <c r="N6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N18" i="1"/>
  <c r="M19" i="1"/>
  <c r="N19" i="1" s="1"/>
  <c r="N4" i="1"/>
  <c r="G20" i="1"/>
  <c r="F20" i="1" s="1"/>
  <c r="L15" i="1"/>
  <c r="L14" i="1"/>
  <c r="L12" i="1"/>
  <c r="L10" i="1"/>
  <c r="L9" i="1"/>
  <c r="L8" i="1"/>
  <c r="L6" i="1"/>
  <c r="L5" i="1"/>
  <c r="L11" i="1"/>
  <c r="L13" i="1"/>
  <c r="L16" i="1"/>
  <c r="H8" i="1"/>
  <c r="H6" i="1"/>
  <c r="H5" i="1"/>
  <c r="H4" i="1"/>
  <c r="I5" i="1"/>
  <c r="I6" i="1"/>
  <c r="I8" i="1"/>
  <c r="I9" i="1"/>
  <c r="I10" i="1"/>
  <c r="I11" i="1"/>
  <c r="I12" i="1"/>
  <c r="I13" i="1"/>
  <c r="I14" i="1"/>
  <c r="I15" i="1"/>
  <c r="I16" i="1"/>
  <c r="I17" i="1"/>
  <c r="I19" i="1"/>
  <c r="I4" i="1"/>
  <c r="H19" i="1"/>
  <c r="H18" i="1"/>
  <c r="H17" i="1"/>
  <c r="H16" i="1"/>
  <c r="H15" i="1"/>
  <c r="H14" i="1"/>
  <c r="H13" i="1"/>
  <c r="H12" i="1"/>
  <c r="H11" i="1"/>
  <c r="H9" i="1"/>
</calcChain>
</file>

<file path=xl/sharedStrings.xml><?xml version="1.0" encoding="utf-8"?>
<sst xmlns="http://schemas.openxmlformats.org/spreadsheetml/2006/main" count="57" uniqueCount="32">
  <si>
    <t>Year</t>
  </si>
  <si>
    <t>Months</t>
  </si>
  <si>
    <t>INV Energy (MWh) Actual</t>
  </si>
  <si>
    <t>INV Energy (MWh) PVsyst</t>
  </si>
  <si>
    <t>Expected Main Meter Energy(MWh)_PVsyst</t>
  </si>
  <si>
    <t>Main Meter Energy(MWh)_Actual</t>
  </si>
  <si>
    <t>Gain/Loss(E_array)</t>
  </si>
  <si>
    <t>Gain/loss(E grid)</t>
  </si>
  <si>
    <t>% PR</t>
  </si>
  <si>
    <t>PV syst PR</t>
  </si>
  <si>
    <t>CUF(%)</t>
  </si>
  <si>
    <t>% Loss</t>
  </si>
  <si>
    <t>Loss(kwh)</t>
  </si>
  <si>
    <t>% Generation</t>
  </si>
  <si>
    <t>OCT</t>
  </si>
  <si>
    <t>NOV</t>
  </si>
  <si>
    <t>DEC</t>
  </si>
  <si>
    <t>JAN</t>
  </si>
  <si>
    <t>FEB</t>
  </si>
  <si>
    <t>MARCH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</si>
  <si>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</si>
  <si>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</si>
  <si>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</si>
  <si>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</si>
  <si>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</si>
  <si>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</si>
  <si>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</si>
  <si>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</si>
  <si>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</si>
  <si>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Targeted</t>
  </si>
  <si>
    <t>% Gain or Loss</t>
  </si>
  <si>
    <t>% Actual Main meter Gen. compared to PVsyst main meter 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</si>
</sst>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/>
    </xf>
    <xf numFmtId="10" fontId="0" fillId="0" borderId="1" xfId="0" applyNumberFormat="1" applyBorder="1"/>
    <xf numFmtId="10" fontId="0" fillId="0" borderId="16" xfId="0" applyNumberFormat="1" applyBorder="1"/>
    <xf numFmtId="0" fontId="2" fillId="3" borderId="4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2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852058077674955"/>
          <c:y val="2.63641394787320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'Y24-25'!$D$3</c:f>
              <c:strCache>
                <c:ptCount val="1"/>
                <c:pt idx="0">
                  <c:v>INV Energy (MWh) Actual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multiLvlStrRef>
              <c:f>'Y24-25'!$B$4:$C$19</c:f>
              <c:multiLvlStrCache>
                <c:ptCount val="16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MARCH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June</c:v>
                  </c:pt>
                  <c:pt idx="10">
                    <c:v>July</c:v>
                  </c:pt>
                  <c:pt idx="11">
                    <c:v>Aug</c:v>
                  </c:pt>
                  <c:pt idx="12">
                    <c:v>Sept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Dec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'Y24-25'!$D$4:$D$19</c:f>
              <c:numCache>
                <c:formatCode>General</c:formatCode>
                <c:ptCount val="16"/>
                <c:pt idx="0">
                  <c:v>135.94</c:v>
                </c:pt>
                <c:pt idx="1">
                  <c:v>367.81900000000002</c:v>
                </c:pt>
                <c:pt idx="2">
                  <c:v>345.05799999999999</c:v>
                </c:pt>
                <c:pt idx="4">
                  <c:v>393.38200000000001</c:v>
                </c:pt>
                <c:pt idx="5">
                  <c:v>436.66199999999998</c:v>
                </c:pt>
                <c:pt idx="6">
                  <c:v>567.17200000000003</c:v>
                </c:pt>
                <c:pt idx="7">
                  <c:v>562.67100000000005</c:v>
                </c:pt>
                <c:pt idx="8">
                  <c:v>530.19200000000001</c:v>
                </c:pt>
                <c:pt idx="9">
                  <c:v>470.45</c:v>
                </c:pt>
                <c:pt idx="10">
                  <c:v>342.57</c:v>
                </c:pt>
                <c:pt idx="11">
                  <c:v>393.46899999999999</c:v>
                </c:pt>
                <c:pt idx="12">
                  <c:v>435.2</c:v>
                </c:pt>
                <c:pt idx="13">
                  <c:v>438.06</c:v>
                </c:pt>
                <c:pt idx="14">
                  <c:v>425.5</c:v>
                </c:pt>
                <c:pt idx="15">
                  <c:v>431.28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C-4C62-82C7-F81BCDDBB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353618256"/>
        <c:axId val="1353626416"/>
        <c:axId val="0"/>
      </c:bar3DChart>
      <c:catAx>
        <c:axId val="135361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626416"/>
        <c:crosses val="autoZero"/>
        <c:auto val="1"/>
        <c:lblAlgn val="ctr"/>
        <c:lblOffset val="100"/>
        <c:noMultiLvlLbl val="0"/>
      </c:catAx>
      <c:valAx>
        <c:axId val="135362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61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PR-25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4617799432596392E-2"/>
          <c:y val="0.22442142246481941"/>
          <c:w val="0.86315003896523534"/>
          <c:h val="0.34849457469375067"/>
        </c:manualLayout>
      </c:layout>
      <c:lineChart>
        <c:grouping val="standard"/>
        <c:varyColors val="0"/>
        <c:ser>
          <c:idx val="1"/>
          <c:order val="0"/>
          <c:tx>
            <c:v>PV syst PR</c:v>
          </c:tx>
          <c:spPr>
            <a:ln w="28575" cap="rnd">
              <a:solidFill>
                <a:schemeClr val="accent2"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'Y24-25'!$C$8:$C$19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'Y24-25'!$K$8:$K$19</c:f>
              <c:numCache>
                <c:formatCode>General</c:formatCode>
                <c:ptCount val="12"/>
                <c:pt idx="0">
                  <c:v>0.86</c:v>
                </c:pt>
                <c:pt idx="1">
                  <c:v>0.76</c:v>
                </c:pt>
                <c:pt idx="2">
                  <c:v>0.73</c:v>
                </c:pt>
                <c:pt idx="3">
                  <c:v>0.81</c:v>
                </c:pt>
                <c:pt idx="4">
                  <c:v>0.81</c:v>
                </c:pt>
                <c:pt idx="5">
                  <c:v>0.82</c:v>
                </c:pt>
                <c:pt idx="6">
                  <c:v>0.73</c:v>
                </c:pt>
                <c:pt idx="7">
                  <c:v>0.83</c:v>
                </c:pt>
                <c:pt idx="8">
                  <c:v>0.82</c:v>
                </c:pt>
                <c:pt idx="9">
                  <c:v>0.82499999999999996</c:v>
                </c:pt>
                <c:pt idx="10">
                  <c:v>0.84199999999999997</c:v>
                </c:pt>
                <c:pt idx="11">
                  <c:v>0.86199999999999999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C2-4DE5-ACA3-0146CF193D13}"/>
            </c:ext>
          </c:extLst>
        </c:ser>
        <c:ser>
          <c:idx val="0"/>
          <c:order val="1"/>
          <c:tx>
            <c:v>Months PR</c:v>
          </c:tx>
          <c:spPr>
            <a:ln w="28575" cap="rnd">
              <a:solidFill>
                <a:schemeClr val="accent1"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'Y24-25'!$C$8:$C$19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'Y24-25'!$J$8:$J$19</c:f>
              <c:numCache>
                <c:formatCode>General</c:formatCode>
                <c:ptCount val="12"/>
                <c:pt idx="0">
                  <c:v>0.75</c:v>
                </c:pt>
                <c:pt idx="1">
                  <c:v>0.84</c:v>
                </c:pt>
                <c:pt idx="2">
                  <c:v>0.81</c:v>
                </c:pt>
                <c:pt idx="3">
                  <c:v>0.81</c:v>
                </c:pt>
                <c:pt idx="4">
                  <c:v>0.88</c:v>
                </c:pt>
                <c:pt idx="5">
                  <c:v>0.81</c:v>
                </c:pt>
                <c:pt idx="6">
                  <c:v>0.84</c:v>
                </c:pt>
                <c:pt idx="7">
                  <c:v>0.79</c:v>
                </c:pt>
                <c:pt idx="8">
                  <c:v>0.79</c:v>
                </c:pt>
                <c:pt idx="9">
                  <c:v>0.8</c:v>
                </c:pt>
                <c:pt idx="10">
                  <c:v>0.81</c:v>
                </c:pt>
                <c:pt idx="11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C2-4DE5-ACA3-0146CF193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8505200"/>
        <c:axId val="1325920272"/>
      </c:lineChart>
      <c:catAx>
        <c:axId val="798505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920272"/>
        <c:crosses val="autoZero"/>
        <c:auto val="0"/>
        <c:lblAlgn val="ctr"/>
        <c:lblOffset val="100"/>
        <c:noMultiLvlLbl val="0"/>
      </c:catAx>
      <c:valAx>
        <c:axId val="132592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 PR	</a:t>
                </a:r>
              </a:p>
            </c:rich>
          </c:tx>
          <c:layout>
            <c:manualLayout>
              <c:xMode val="edge"/>
              <c:yMode val="edge"/>
              <c:x val="3.6774398409365208E-2"/>
              <c:y val="0.181068628840924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5052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'Y2026'!$D$3</c:f>
              <c:strCache>
                <c:ptCount val="1"/>
                <c:pt idx="0">
                  <c:v>INV Energy (MWh) Actual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'Y2026'!$B$4:$C$15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MARCH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'Y2026'!$D$4:$D$15</c:f>
              <c:numCache>
                <c:formatCode>General</c:formatCode>
                <c:ptCount val="12"/>
                <c:pt idx="0">
                  <c:v>456.4726</c:v>
                </c:pt>
                <c:pt idx="1">
                  <c:v>443.41289999999998</c:v>
                </c:pt>
                <c:pt idx="2">
                  <c:v>533.2373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CE85-4AAE-9C2C-CFB0F10CC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3618256"/>
        <c:axId val="1353626416"/>
      </c:barChart>
      <c:catAx>
        <c:axId val="135361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626416"/>
        <c:crosses val="autoZero"/>
        <c:auto val="1"/>
        <c:lblAlgn val="ctr"/>
        <c:lblOffset val="100"/>
        <c:noMultiLvlLbl val="0"/>
      </c:catAx>
      <c:valAx>
        <c:axId val="135362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61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PR-26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4617799432596392E-2"/>
          <c:y val="0.22442142246481941"/>
          <c:w val="0.86315003896523534"/>
          <c:h val="0.34849457469375067"/>
        </c:manualLayout>
      </c:layout>
      <c:lineChart>
        <c:grouping val="standard"/>
        <c:varyColors val="0"/>
        <c:ser>
          <c:idx val="1"/>
          <c:order val="0"/>
          <c:tx>
            <c:v>PV syst PR</c:v>
          </c:tx>
          <c:spPr>
            <a:ln w="28575" cap="rnd">
              <a:solidFill>
                <a:schemeClr val="accent2"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'Y24-25'!$C$8:$C$19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'Y24-25'!$K$8:$K$19</c:f>
              <c:numCache>
                <c:formatCode>General</c:formatCode>
                <c:ptCount val="12"/>
                <c:pt idx="0">
                  <c:v>0.86</c:v>
                </c:pt>
                <c:pt idx="1">
                  <c:v>0.76</c:v>
                </c:pt>
                <c:pt idx="2">
                  <c:v>0.73</c:v>
                </c:pt>
                <c:pt idx="3">
                  <c:v>0.81</c:v>
                </c:pt>
                <c:pt idx="4">
                  <c:v>0.81</c:v>
                </c:pt>
                <c:pt idx="5">
                  <c:v>0.82</c:v>
                </c:pt>
                <c:pt idx="6">
                  <c:v>0.73</c:v>
                </c:pt>
                <c:pt idx="7">
                  <c:v>0.83</c:v>
                </c:pt>
                <c:pt idx="8">
                  <c:v>0.82</c:v>
                </c:pt>
                <c:pt idx="9">
                  <c:v>0.82499999999999996</c:v>
                </c:pt>
                <c:pt idx="10">
                  <c:v>0.84199999999999997</c:v>
                </c:pt>
                <c:pt idx="11">
                  <c:v>0.86199999999999999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7E-411F-90E1-61A69DD385BB}"/>
            </c:ext>
          </c:extLst>
        </c:ser>
        <c:ser>
          <c:idx val="0"/>
          <c:order val="1"/>
          <c:tx>
            <c:v>Months PR</c:v>
          </c:tx>
          <c:spPr>
            <a:ln w="28575" cap="rnd">
              <a:solidFill>
                <a:schemeClr val="accent1"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'Y24-25'!$C$8:$C$19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'Y24-25'!$J$8:$J$19</c:f>
              <c:numCache>
                <c:formatCode>General</c:formatCode>
                <c:ptCount val="12"/>
                <c:pt idx="0">
                  <c:v>0.75</c:v>
                </c:pt>
                <c:pt idx="1">
                  <c:v>0.84</c:v>
                </c:pt>
                <c:pt idx="2">
                  <c:v>0.81</c:v>
                </c:pt>
                <c:pt idx="3">
                  <c:v>0.81</c:v>
                </c:pt>
                <c:pt idx="4">
                  <c:v>0.88</c:v>
                </c:pt>
                <c:pt idx="5">
                  <c:v>0.81</c:v>
                </c:pt>
                <c:pt idx="6">
                  <c:v>0.84</c:v>
                </c:pt>
                <c:pt idx="7">
                  <c:v>0.79</c:v>
                </c:pt>
                <c:pt idx="8">
                  <c:v>0.79</c:v>
                </c:pt>
                <c:pt idx="9">
                  <c:v>0.8</c:v>
                </c:pt>
                <c:pt idx="10">
                  <c:v>0.81</c:v>
                </c:pt>
                <c:pt idx="11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7E-411F-90E1-61A69DD38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8505200"/>
        <c:axId val="1325920272"/>
      </c:lineChart>
      <c:catAx>
        <c:axId val="798505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920272"/>
        <c:crosses val="autoZero"/>
        <c:auto val="0"/>
        <c:lblAlgn val="ctr"/>
        <c:lblOffset val="100"/>
        <c:noMultiLvlLbl val="0"/>
      </c:catAx>
      <c:valAx>
        <c:axId val="132592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 PR	</a:t>
                </a:r>
              </a:p>
            </c:rich>
          </c:tx>
          <c:layout>
            <c:manualLayout>
              <c:xMode val="edge"/>
              <c:yMode val="edge"/>
              <c:x val="3.6774398409365208E-2"/>
              <c:y val="0.181068628840924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5052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>
        <a:lumMod val="50000"/>
      </cs:styleClr>
    </cs:fontRef>
    <cs:defRPr sz="10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>
        <a:lumMod val="50000"/>
      </cs:styleClr>
    </cs:fontRef>
    <cs:defRPr sz="10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610727</xdr:colOff>
      <xdr:row>1</xdr:row>
      <xdr:rowOff>100883</xdr:rowOff>
    </xdr:from>
    <xdr:to>
      <xdr:col>30</xdr:col>
      <xdr:colOff>398796</xdr:colOff>
      <xdr:row>10</xdr:row>
      <xdr:rowOff>138586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F1D258-8A8D-2677-BA28-31A49AD55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43528</xdr:colOff>
      <xdr:row>11</xdr:row>
      <xdr:rowOff>37767</xdr:rowOff>
    </xdr:from>
    <xdr:to>
      <xdr:col>30</xdr:col>
      <xdr:colOff>489372</xdr:colOff>
      <xdr:row>26</xdr:row>
      <xdr:rowOff>172512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18D73-51E7-E909-D7D7-070A414206E4}"/>
            </a:ext>
            <a:ext uri="{147F2762-F138-4A5C-976F-8EAC2B608ADB}">
              <a16:predDERef xmlns:a16="http://schemas.microsoft.com/office/drawing/2014/main" pred="{C8F1D258-8A8D-2677-BA28-31A49AD55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30</xdr:col>
      <xdr:colOff>397669</xdr:colOff>
      <xdr:row>7</xdr:row>
      <xdr:rowOff>161528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CE2112-A498-4DF6-B4F8-E4E7A7AD90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9</xdr:row>
      <xdr:rowOff>0</xdr:rowOff>
    </xdr:from>
    <xdr:to>
      <xdr:col>30</xdr:col>
      <xdr:colOff>445844</xdr:colOff>
      <xdr:row>24</xdr:row>
      <xdr:rowOff>68070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D43EB4-D819-4EA1-8F40-AC4505AC8088}"/>
            </a:ext>
            <a:ext uri="{147F2762-F138-4A5C-976F-8EAC2B608ADB}">
              <a16:predDERef xmlns:a16="http://schemas.microsoft.com/office/drawing/2014/main" pred="{6ACE2112-A498-4DF6-B4F8-E4E7A7AD90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9C64-7F4C-4C7D-A060-7866F0BF7667}">
  <dimension ref="B3:O21"/>
  <sheetViews>
    <sheetView tabSelected="1" topLeftCell="A2" zoomScale="80" zoomScaleNormal="80" workbookViewId="0">
      <pane ySplit="1" topLeftCell="A3" activePane="bottomLeft" state="frozen"/>
      <selection pane="bottomLeft" activeCell="A2" sqref="A2"/>
    </sheetView>
  </sheetViews>
  <sheetFormatPr defaultRowHeight="14.5" x14ac:dyDescent="0.35"/>
  <cols>
    <col min="3" max="3" width="10.1796875" bestFit="1" customWidth="1"/>
    <col min="4" max="4" width="15.81640625" bestFit="1" customWidth="1"/>
    <col min="5" max="5" width="14.7265625" customWidth="1"/>
    <col min="6" max="6" width="19.81640625" customWidth="1"/>
    <col min="7" max="7" width="13.81640625" customWidth="1"/>
    <col min="8" max="8" width="8.54296875" bestFit="1" customWidth="1"/>
    <col min="15" max="15" width="14" customWidth="1"/>
  </cols>
  <sheetData>
    <row r="3" spans="2:15" ht="44.15" customHeight="1" x14ac:dyDescent="0.35">
      <c r="B3" s="16" t="s">
        <v>0</v>
      </c>
      <c r="C3" s="16" t="s">
        <v>1</v>
      </c>
      <c r="D3" s="17" t="s">
        <v>2</v>
      </c>
      <c r="E3" s="17" t="s">
        <v>3</v>
      </c>
      <c r="F3" s="15" t="s">
        <v>4</v>
      </c>
      <c r="G3" s="15" t="s">
        <v>5</v>
      </c>
      <c r="H3" s="17" t="s">
        <v>6</v>
      </c>
      <c r="I3" s="15" t="s">
        <v>7</v>
      </c>
      <c r="J3" s="15" t="s">
        <v>8</v>
      </c>
      <c r="K3" s="15" t="s">
        <v>9</v>
      </c>
      <c r="L3" s="15" t="s">
        <v>10</v>
      </c>
      <c r="M3" s="18" t="s">
        <v>11</v>
      </c>
      <c r="N3" s="18" t="s">
        <v>12</v>
      </c>
      <c r="O3" s="18" t="s">
        <v>13</v>
      </c>
    </row>
    <row r="4" spans="2:15" ht="14.5" customHeight="1" x14ac:dyDescent="0.35">
      <c r="B4" s="26">
        <v>2024</v>
      </c>
      <c r="C4" s="6" t="s">
        <v>14</v>
      </c>
      <c r="D4" s="7">
        <v>135.94</v>
      </c>
      <c r="E4" s="1">
        <f>495.7*0.9859</f>
        <v>488.71062999999998</v>
      </c>
      <c r="F4" s="1">
        <v>472.7</v>
      </c>
      <c r="G4" s="1">
        <v>136.78</v>
      </c>
      <c r="H4" s="1">
        <f>D4-E4</f>
        <v>-352.77062999999998</v>
      </c>
      <c r="I4" s="1">
        <f>G4-F4</f>
        <v>-335.91999999999996</v>
      </c>
      <c r="J4" s="1"/>
      <c r="K4" s="1"/>
      <c r="L4" s="1">
        <f>(G4*100/(3.159*24*31))</f>
        <v>5.8196924983065959</v>
      </c>
      <c r="M4" s="1">
        <f>(D4-G4)*100/D4</f>
        <v>-0.6179196704428449</v>
      </c>
      <c r="N4" s="1">
        <f t="shared" ref="N4:N19" si="0">M4*D4*10</f>
        <v>-840.00000000000341</v>
      </c>
      <c r="O4" s="1">
        <f t="shared" ref="O4:O19" si="1">G4*100/F4</f>
        <v>28.935900148085466</v>
      </c>
    </row>
    <row r="5" spans="2:15" ht="14.5" customHeight="1" x14ac:dyDescent="0.35">
      <c r="B5" s="22"/>
      <c r="C5" s="1" t="s">
        <v>15</v>
      </c>
      <c r="D5" s="8">
        <v>367.81900000000002</v>
      </c>
      <c r="E5" s="1">
        <f>436.7*0.9859</f>
        <v>430.54253</v>
      </c>
      <c r="F5" s="1">
        <v>416</v>
      </c>
      <c r="G5" s="1">
        <v>369.62099999999998</v>
      </c>
      <c r="H5" s="1">
        <f t="shared" ref="H5:H19" si="2">D5-E5</f>
        <v>-62.723529999999982</v>
      </c>
      <c r="I5" s="1">
        <f t="shared" ref="I5:I19" si="3">G5-F5</f>
        <v>-46.379000000000019</v>
      </c>
      <c r="J5" s="1"/>
      <c r="K5" s="1"/>
      <c r="L5" s="1">
        <f>(G5*100/(3.159*24*30))</f>
        <v>16.250791389680277</v>
      </c>
      <c r="M5" s="1">
        <f t="shared" ref="M5:M19" si="4">(D5-G5)*100/D5</f>
        <v>-0.48991487661049699</v>
      </c>
      <c r="N5" s="1">
        <f t="shared" si="0"/>
        <v>-1801.9999999999641</v>
      </c>
      <c r="O5" s="1">
        <f t="shared" si="1"/>
        <v>88.851201923076914</v>
      </c>
    </row>
    <row r="6" spans="2:15" ht="15" customHeight="1" x14ac:dyDescent="0.35">
      <c r="B6" s="22"/>
      <c r="C6" s="3" t="s">
        <v>16</v>
      </c>
      <c r="D6" s="9">
        <v>345.05799999999999</v>
      </c>
      <c r="E6" s="1">
        <f>445.2*0.9859</f>
        <v>438.92268000000001</v>
      </c>
      <c r="F6" s="1">
        <v>424</v>
      </c>
      <c r="G6" s="1">
        <v>387.44</v>
      </c>
      <c r="H6" s="1">
        <f t="shared" si="2"/>
        <v>-93.864680000000021</v>
      </c>
      <c r="I6" s="1">
        <f t="shared" si="3"/>
        <v>-36.56</v>
      </c>
      <c r="J6" s="1"/>
      <c r="K6" s="1"/>
      <c r="L6" s="1">
        <f>(G6*100/(3.159*24*31))</f>
        <v>16.484732135867141</v>
      </c>
      <c r="M6" s="1">
        <f t="shared" si="4"/>
        <v>-12.282572784865156</v>
      </c>
      <c r="N6" s="1">
        <f t="shared" si="0"/>
        <v>-42382.000000000007</v>
      </c>
      <c r="O6" s="1">
        <f t="shared" si="1"/>
        <v>91.377358490566039</v>
      </c>
    </row>
    <row r="7" spans="2:15" ht="15" customHeight="1" x14ac:dyDescent="0.35">
      <c r="B7" s="19"/>
      <c r="C7" s="5"/>
      <c r="D7" s="10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5" ht="14.5" customHeight="1" x14ac:dyDescent="0.35">
      <c r="B8" s="22">
        <v>2025</v>
      </c>
      <c r="C8" s="4" t="s">
        <v>17</v>
      </c>
      <c r="D8" s="11">
        <v>393.38200000000001</v>
      </c>
      <c r="E8" s="1">
        <f>0.9859*457.3</f>
        <v>450.85207000000003</v>
      </c>
      <c r="F8" s="1">
        <v>436.4</v>
      </c>
      <c r="G8" s="1">
        <v>398.40899999999999</v>
      </c>
      <c r="H8" s="1">
        <f t="shared" si="2"/>
        <v>-57.470070000000021</v>
      </c>
      <c r="I8" s="1">
        <f t="shared" si="3"/>
        <v>-37.990999999999985</v>
      </c>
      <c r="J8" s="1">
        <v>0.75</v>
      </c>
      <c r="K8" s="1">
        <v>0.86</v>
      </c>
      <c r="L8" s="1">
        <f>(G8*100/(3.159*24*31))</f>
        <v>16.951439308070132</v>
      </c>
      <c r="M8" s="1">
        <f t="shared" si="4"/>
        <v>-1.2778927353056284</v>
      </c>
      <c r="N8" s="1">
        <f t="shared" si="0"/>
        <v>-5026.9999999999873</v>
      </c>
      <c r="O8" s="1">
        <f t="shared" si="1"/>
        <v>91.29445462878094</v>
      </c>
    </row>
    <row r="9" spans="2:15" ht="14.5" customHeight="1" x14ac:dyDescent="0.35">
      <c r="B9" s="22"/>
      <c r="C9" s="2" t="s">
        <v>18</v>
      </c>
      <c r="D9" s="8">
        <v>436.66199999999998</v>
      </c>
      <c r="E9" s="1">
        <f>0.9859*463</f>
        <v>456.4717</v>
      </c>
      <c r="F9" s="1">
        <v>395.4</v>
      </c>
      <c r="G9" s="1">
        <v>435.42399999999998</v>
      </c>
      <c r="H9" s="1">
        <f t="shared" si="2"/>
        <v>-19.809700000000021</v>
      </c>
      <c r="I9" s="1">
        <f t="shared" si="3"/>
        <v>40.024000000000001</v>
      </c>
      <c r="J9" s="1">
        <v>0.84</v>
      </c>
      <c r="K9" s="1">
        <v>0.76</v>
      </c>
      <c r="L9" s="1">
        <f>(G9*100/(3.159*24*28))</f>
        <v>20.511313103905692</v>
      </c>
      <c r="M9" s="1">
        <f t="shared" si="4"/>
        <v>0.28351448030742304</v>
      </c>
      <c r="N9" s="1">
        <f t="shared" si="0"/>
        <v>1237.9999999999995</v>
      </c>
      <c r="O9" s="1">
        <f t="shared" si="1"/>
        <v>110.12240768841679</v>
      </c>
    </row>
    <row r="10" spans="2:15" ht="14.5" customHeight="1" x14ac:dyDescent="0.35">
      <c r="B10" s="22"/>
      <c r="C10" s="2" t="s">
        <v>19</v>
      </c>
      <c r="D10" s="8">
        <v>567.17200000000003</v>
      </c>
      <c r="E10" s="1">
        <f>0.9859*547.9</f>
        <v>540.17461000000003</v>
      </c>
      <c r="F10" s="1">
        <v>466.1</v>
      </c>
      <c r="G10" s="1">
        <v>564.65899999999999</v>
      </c>
      <c r="H10" s="1">
        <f t="shared" si="2"/>
        <v>26.997389999999996</v>
      </c>
      <c r="I10" s="1">
        <f t="shared" si="3"/>
        <v>98.558999999999969</v>
      </c>
      <c r="J10" s="1">
        <v>0.81</v>
      </c>
      <c r="K10" s="1">
        <v>0.73</v>
      </c>
      <c r="L10" s="1">
        <f>(G10*100/(3.159*24*31))</f>
        <v>24.025016423463256</v>
      </c>
      <c r="M10" s="1">
        <f t="shared" si="4"/>
        <v>0.44307546916985208</v>
      </c>
      <c r="N10" s="1">
        <f t="shared" si="0"/>
        <v>2513.0000000000337</v>
      </c>
      <c r="O10" s="1">
        <f t="shared" si="1"/>
        <v>121.1454623471358</v>
      </c>
    </row>
    <row r="11" spans="2:15" ht="14.5" customHeight="1" x14ac:dyDescent="0.35">
      <c r="B11" s="22"/>
      <c r="C11" s="2" t="s">
        <v>20</v>
      </c>
      <c r="D11" s="8">
        <v>562.67100000000005</v>
      </c>
      <c r="E11" s="1">
        <f>0.9859*538.2</f>
        <v>530.61138000000005</v>
      </c>
      <c r="F11" s="1">
        <v>512.4</v>
      </c>
      <c r="G11" s="1">
        <v>562.38400000000001</v>
      </c>
      <c r="H11" s="1">
        <f t="shared" si="2"/>
        <v>32.059619999999995</v>
      </c>
      <c r="I11" s="1">
        <f t="shared" si="3"/>
        <v>49.984000000000037</v>
      </c>
      <c r="J11" s="1">
        <v>0.81</v>
      </c>
      <c r="K11" s="1">
        <v>0.81</v>
      </c>
      <c r="L11" s="1">
        <f t="shared" ref="L11:L16" si="5">(G11*100/(3.159*24*30))</f>
        <v>24.725827441876824</v>
      </c>
      <c r="M11" s="1">
        <f t="shared" si="4"/>
        <v>5.100671618050949E-2</v>
      </c>
      <c r="N11" s="1">
        <f t="shared" si="0"/>
        <v>287.00000000003456</v>
      </c>
      <c r="O11" s="1">
        <f t="shared" si="1"/>
        <v>109.75487900078065</v>
      </c>
    </row>
    <row r="12" spans="2:15" ht="14.5" customHeight="1" x14ac:dyDescent="0.35">
      <c r="B12" s="22"/>
      <c r="C12" s="2" t="s">
        <v>21</v>
      </c>
      <c r="D12" s="8">
        <v>530.19200000000001</v>
      </c>
      <c r="E12" s="1">
        <f>0.9859*544.7</f>
        <v>537.0197300000001</v>
      </c>
      <c r="F12" s="1">
        <v>519.4</v>
      </c>
      <c r="G12" s="1">
        <v>529.97299999999996</v>
      </c>
      <c r="H12" s="1">
        <f t="shared" si="2"/>
        <v>-6.8277300000000878</v>
      </c>
      <c r="I12" s="1">
        <f t="shared" si="3"/>
        <v>10.572999999999979</v>
      </c>
      <c r="J12" s="1">
        <v>0.88</v>
      </c>
      <c r="K12" s="1">
        <v>0.81</v>
      </c>
      <c r="L12" s="1">
        <f>(G12*100/(3.159*24*31))</f>
        <v>22.549202313240542</v>
      </c>
      <c r="M12" s="1">
        <f t="shared" si="4"/>
        <v>4.1305791109645364E-2</v>
      </c>
      <c r="N12" s="1">
        <f t="shared" si="0"/>
        <v>219.00000000005096</v>
      </c>
      <c r="O12" s="1">
        <f t="shared" si="1"/>
        <v>102.03561802079322</v>
      </c>
    </row>
    <row r="13" spans="2:15" ht="15.65" customHeight="1" x14ac:dyDescent="0.35">
      <c r="B13" s="22"/>
      <c r="C13" s="2" t="s">
        <v>22</v>
      </c>
      <c r="D13">
        <v>470.45</v>
      </c>
      <c r="E13" s="1">
        <f>0.9859*476.2</f>
        <v>469.48557999999997</v>
      </c>
      <c r="F13" s="1">
        <v>454.7</v>
      </c>
      <c r="G13" s="1">
        <v>452.39400000000001</v>
      </c>
      <c r="H13" s="1">
        <f t="shared" si="2"/>
        <v>0.96442000000001826</v>
      </c>
      <c r="I13" s="1">
        <f t="shared" si="3"/>
        <v>-2.3059999999999832</v>
      </c>
      <c r="J13" s="1">
        <v>0.81</v>
      </c>
      <c r="K13" s="1">
        <v>0.82</v>
      </c>
      <c r="L13" s="1">
        <f t="shared" si="5"/>
        <v>19.889996834441281</v>
      </c>
      <c r="M13" s="1">
        <f t="shared" si="4"/>
        <v>3.8380274205547846</v>
      </c>
      <c r="N13" s="1">
        <f t="shared" si="0"/>
        <v>18055.999999999982</v>
      </c>
      <c r="O13" s="1">
        <f t="shared" si="1"/>
        <v>99.492852430173741</v>
      </c>
    </row>
    <row r="14" spans="2:15" ht="14.5" customHeight="1" x14ac:dyDescent="0.35">
      <c r="B14" s="22"/>
      <c r="C14" s="2" t="s">
        <v>23</v>
      </c>
      <c r="D14" s="8">
        <v>342.57</v>
      </c>
      <c r="E14" s="1">
        <f>0.9859*409.7</f>
        <v>403.92322999999999</v>
      </c>
      <c r="F14" s="1">
        <v>341.3</v>
      </c>
      <c r="G14" s="1">
        <v>343.351</v>
      </c>
      <c r="H14" s="1">
        <f t="shared" si="2"/>
        <v>-61.353229999999996</v>
      </c>
      <c r="I14" s="1">
        <f t="shared" si="3"/>
        <v>2.0509999999999877</v>
      </c>
      <c r="J14" s="1">
        <v>0.84</v>
      </c>
      <c r="K14" s="1">
        <v>0.73</v>
      </c>
      <c r="L14" s="1">
        <f>(G14*100/(3.159*24*31))</f>
        <v>14.608840758781019</v>
      </c>
      <c r="M14" s="1">
        <f t="shared" si="4"/>
        <v>-0.22798260209592372</v>
      </c>
      <c r="N14" s="1">
        <f t="shared" si="0"/>
        <v>-781.00000000000591</v>
      </c>
      <c r="O14" s="1">
        <f t="shared" si="1"/>
        <v>100.60093759156167</v>
      </c>
    </row>
    <row r="15" spans="2:15" ht="14.5" customHeight="1" x14ac:dyDescent="0.35">
      <c r="B15" s="22"/>
      <c r="C15" s="2" t="s">
        <v>24</v>
      </c>
      <c r="D15" s="8">
        <v>393.46899999999999</v>
      </c>
      <c r="E15" s="1">
        <f>0.9859*391.8</f>
        <v>386.27562</v>
      </c>
      <c r="F15" s="1">
        <v>373.4</v>
      </c>
      <c r="G15" s="1">
        <v>394.45</v>
      </c>
      <c r="H15" s="1">
        <f t="shared" si="2"/>
        <v>7.1933799999999906</v>
      </c>
      <c r="I15" s="1">
        <f t="shared" si="3"/>
        <v>21.050000000000011</v>
      </c>
      <c r="J15" s="1">
        <v>0.79</v>
      </c>
      <c r="K15" s="1">
        <v>0.83</v>
      </c>
      <c r="L15" s="1">
        <f>(G15*100/(3.159*24*31))</f>
        <v>16.782992440101161</v>
      </c>
      <c r="M15" s="1">
        <f t="shared" si="4"/>
        <v>-0.24932078511902961</v>
      </c>
      <c r="N15" s="1">
        <f t="shared" si="0"/>
        <v>-980.99999999999454</v>
      </c>
      <c r="O15" s="1">
        <f t="shared" si="1"/>
        <v>105.6373861810391</v>
      </c>
    </row>
    <row r="16" spans="2:15" ht="14.5" customHeight="1" x14ac:dyDescent="0.35">
      <c r="B16" s="22"/>
      <c r="C16" s="2" t="s">
        <v>25</v>
      </c>
      <c r="D16" s="8">
        <v>435.2</v>
      </c>
      <c r="E16" s="1">
        <f>0.9859*459.4</f>
        <v>452.92246</v>
      </c>
      <c r="F16" s="1">
        <v>438.1</v>
      </c>
      <c r="G16" s="1">
        <v>434.15</v>
      </c>
      <c r="H16" s="1">
        <f t="shared" si="2"/>
        <v>-17.722460000000012</v>
      </c>
      <c r="I16" s="1">
        <f t="shared" si="3"/>
        <v>-3.9500000000000455</v>
      </c>
      <c r="J16" s="1">
        <v>0.79</v>
      </c>
      <c r="K16" s="1">
        <v>0.82</v>
      </c>
      <c r="L16" s="1">
        <f t="shared" si="5"/>
        <v>19.087879427385602</v>
      </c>
      <c r="M16" s="1">
        <f>(D16-G16)*100/D16</f>
        <v>0.24126838235294379</v>
      </c>
      <c r="N16" s="1">
        <f>M16*D16*10</f>
        <v>1050.0000000000114</v>
      </c>
      <c r="O16" s="1">
        <f t="shared" si="1"/>
        <v>99.098379365441673</v>
      </c>
    </row>
    <row r="17" spans="2:15" ht="14.5" customHeight="1" x14ac:dyDescent="0.35">
      <c r="B17" s="22"/>
      <c r="C17" s="2" t="s">
        <v>26</v>
      </c>
      <c r="D17" s="8">
        <v>438.06</v>
      </c>
      <c r="E17" s="1">
        <f>0.9859*495.7</f>
        <v>488.71062999999998</v>
      </c>
      <c r="F17" s="1">
        <v>472.7</v>
      </c>
      <c r="G17" s="1">
        <v>433.3</v>
      </c>
      <c r="H17" s="1">
        <f t="shared" si="2"/>
        <v>-50.650629999999978</v>
      </c>
      <c r="I17" s="1">
        <f t="shared" si="3"/>
        <v>-39.399999999999977</v>
      </c>
      <c r="J17" s="1">
        <v>0.8</v>
      </c>
      <c r="K17" s="1">
        <v>0.82499999999999996</v>
      </c>
      <c r="L17" s="1">
        <f>(G17*100/(3.159*24*31))</f>
        <v>18.435975723908815</v>
      </c>
      <c r="M17" s="1">
        <f>(D17-G17)*100/D17</f>
        <v>1.0866091403004134</v>
      </c>
      <c r="N17" s="1">
        <f>M17*D17*10</f>
        <v>4759.9999999999909</v>
      </c>
      <c r="O17" s="1">
        <f t="shared" si="1"/>
        <v>91.664903744446804</v>
      </c>
    </row>
    <row r="18" spans="2:15" ht="14.5" customHeight="1" x14ac:dyDescent="0.35">
      <c r="B18" s="22"/>
      <c r="C18" s="2" t="s">
        <v>27</v>
      </c>
      <c r="D18" s="8">
        <v>425.5</v>
      </c>
      <c r="E18" s="1">
        <f>0.9859*436.7</f>
        <v>430.54253</v>
      </c>
      <c r="F18" s="1">
        <v>416</v>
      </c>
      <c r="G18" s="1">
        <v>419.5</v>
      </c>
      <c r="H18" s="1">
        <f>D18-E18</f>
        <v>-5.0425299999999993</v>
      </c>
      <c r="I18" s="1">
        <f>G18-F18</f>
        <v>3.5</v>
      </c>
      <c r="J18" s="1">
        <v>0.81</v>
      </c>
      <c r="K18" s="1">
        <v>0.84199999999999997</v>
      </c>
      <c r="L18" s="1">
        <f>(G18*100/(3.159*24*30))</f>
        <v>18.443776159825543</v>
      </c>
      <c r="M18" s="1">
        <f>(D18-G18)*100/D18</f>
        <v>1.4101057579318448</v>
      </c>
      <c r="N18" s="1">
        <f t="shared" si="0"/>
        <v>6000</v>
      </c>
      <c r="O18" s="1">
        <f>G18*100/F18</f>
        <v>100.84134615384616</v>
      </c>
    </row>
    <row r="19" spans="2:15" ht="14.5" customHeight="1" x14ac:dyDescent="0.35">
      <c r="B19" s="23"/>
      <c r="C19" s="12" t="s">
        <v>28</v>
      </c>
      <c r="D19" s="13">
        <v>431.28</v>
      </c>
      <c r="E19" s="14">
        <f>0.9859*445.2</f>
        <v>438.92268000000001</v>
      </c>
      <c r="F19" s="14">
        <v>424.4</v>
      </c>
      <c r="G19" s="14">
        <v>425.01499999999999</v>
      </c>
      <c r="H19" s="14">
        <f t="shared" si="2"/>
        <v>-7.6426800000000412</v>
      </c>
      <c r="I19" s="14">
        <f t="shared" si="3"/>
        <v>0.61500000000000909</v>
      </c>
      <c r="J19" s="14">
        <v>0.82</v>
      </c>
      <c r="K19" s="14">
        <v>0.86199999999999999</v>
      </c>
      <c r="L19" s="14">
        <f>(G19*100/(3.159*24*31))</f>
        <v>18.083466933526669</v>
      </c>
      <c r="M19" s="1">
        <f t="shared" si="4"/>
        <v>1.4526525690966394</v>
      </c>
      <c r="N19" s="1">
        <f t="shared" si="0"/>
        <v>6264.9999999999864</v>
      </c>
      <c r="O19" s="1">
        <f t="shared" si="1"/>
        <v>100.14491046182847</v>
      </c>
    </row>
    <row r="20" spans="2:15" x14ac:dyDescent="0.35">
      <c r="B20" s="1"/>
      <c r="C20" s="1"/>
      <c r="D20" s="1"/>
      <c r="E20" s="1"/>
      <c r="F20" s="1">
        <f>(G20-F21)</f>
        <v>1036.5499999999993</v>
      </c>
      <c r="G20" s="1">
        <f>SUM(G4:G19)</f>
        <v>6286.8499999999995</v>
      </c>
      <c r="H20" s="1"/>
      <c r="I20" s="1"/>
      <c r="J20" s="1"/>
      <c r="K20" s="1"/>
      <c r="L20" s="1"/>
      <c r="M20" s="1"/>
      <c r="N20" s="1"/>
      <c r="O20" s="1"/>
    </row>
    <row r="21" spans="2:15" x14ac:dyDescent="0.35">
      <c r="B21" s="24" t="s">
        <v>29</v>
      </c>
      <c r="C21" s="25"/>
      <c r="D21" s="1"/>
      <c r="E21" s="1">
        <v>5665.7</v>
      </c>
      <c r="F21" s="1">
        <v>5250.3</v>
      </c>
      <c r="G21" s="1"/>
      <c r="H21" s="1"/>
      <c r="I21" s="1"/>
      <c r="J21" s="1"/>
      <c r="K21" s="1"/>
      <c r="L21" s="1"/>
      <c r="M21" s="1"/>
      <c r="N21" s="1"/>
      <c r="O21" s="1"/>
    </row>
  </sheetData>
  <mergeCells count="3">
    <mergeCell ref="B21:C21"/>
    <mergeCell ref="B4:B6"/>
    <mergeCell ref="B8:B19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0A05-B602-42CE-90FB-AB5457330D25}">
  <dimension ref="B3:O17"/>
  <sheetViews>
    <sheetView workbookViewId="0">
      <selection activeCell="F8" sqref="F8"/>
    </sheetView>
  </sheetViews>
  <sheetFormatPr defaultRowHeight="14.5" x14ac:dyDescent="0.35"/>
  <cols>
    <col min="12" max="12" width="9.453125" bestFit="1" customWidth="1"/>
    <col min="15" max="15" width="19.26953125" customWidth="1"/>
  </cols>
  <sheetData>
    <row r="3" spans="2:15" ht="87" x14ac:dyDescent="0.35">
      <c r="B3" s="16" t="s">
        <v>0</v>
      </c>
      <c r="C3" s="16" t="s">
        <v>1</v>
      </c>
      <c r="D3" s="17" t="s">
        <v>2</v>
      </c>
      <c r="E3" s="17" t="s">
        <v>3</v>
      </c>
      <c r="F3" s="15" t="s">
        <v>4</v>
      </c>
      <c r="G3" s="15" t="s">
        <v>5</v>
      </c>
      <c r="H3" s="17" t="s">
        <v>6</v>
      </c>
      <c r="I3" s="15" t="s">
        <v>7</v>
      </c>
      <c r="J3" s="15" t="s">
        <v>8</v>
      </c>
      <c r="K3" s="15" t="s">
        <v>9</v>
      </c>
      <c r="L3" s="15" t="s">
        <v>10</v>
      </c>
      <c r="M3" s="18" t="s">
        <v>30</v>
      </c>
      <c r="N3" s="18" t="s">
        <v>12</v>
      </c>
      <c r="O3" s="18" t="s">
        <v>31</v>
      </c>
    </row>
    <row r="4" spans="2:15" x14ac:dyDescent="0.35">
      <c r="B4" s="22">
        <v>2026</v>
      </c>
      <c r="C4" s="4" t="s">
        <v>17</v>
      </c>
      <c r="D4" s="11">
        <v>456.4726</v>
      </c>
      <c r="E4" s="1">
        <f>0.9859*457.3</f>
        <v>450.85207000000003</v>
      </c>
      <c r="F4" s="1">
        <v>436.4</v>
      </c>
      <c r="G4" s="1">
        <v>449.67399999999998</v>
      </c>
      <c r="H4" s="1">
        <f t="shared" ref="H4:H15" si="0">D4-E4</f>
        <v>5.6205299999999738</v>
      </c>
      <c r="I4" s="1">
        <f>G4-F4</f>
        <v>13.274000000000001</v>
      </c>
      <c r="J4" s="20">
        <v>0.75</v>
      </c>
      <c r="K4" s="20">
        <v>0.86</v>
      </c>
      <c r="L4" s="20">
        <f>(G4/(3.159*24*31))</f>
        <v>0.19132653929547594</v>
      </c>
      <c r="M4" s="1">
        <f>(G4-D4)*100/D4</f>
        <v>-1.4893774566096676</v>
      </c>
      <c r="N4" s="1">
        <f>M4*D4*(1000/100)</f>
        <v>-6798.6000000000222</v>
      </c>
      <c r="O4" s="1">
        <f t="shared" ref="O4:O15" si="1">G4*100/F4</f>
        <v>103.04170485792849</v>
      </c>
    </row>
    <row r="5" spans="2:15" x14ac:dyDescent="0.35">
      <c r="B5" s="22"/>
      <c r="C5" s="2" t="s">
        <v>18</v>
      </c>
      <c r="D5" s="8">
        <v>443.41289999999998</v>
      </c>
      <c r="E5" s="1">
        <f>0.9859*463</f>
        <v>456.4717</v>
      </c>
      <c r="F5" s="1">
        <v>395.4</v>
      </c>
      <c r="G5" s="1">
        <v>436.69</v>
      </c>
      <c r="H5" s="1">
        <f t="shared" si="0"/>
        <v>-13.058800000000019</v>
      </c>
      <c r="I5" s="1">
        <f t="shared" ref="I5:I15" si="2">G5-F5</f>
        <v>41.29000000000002</v>
      </c>
      <c r="J5" s="20">
        <v>0.84</v>
      </c>
      <c r="K5" s="20">
        <v>0.76</v>
      </c>
      <c r="L5" s="20">
        <f t="shared" ref="L5:L15" si="3">(G5/(3.159*24*31))</f>
        <v>0.18580212875314425</v>
      </c>
      <c r="M5" s="1">
        <f t="shared" ref="M5:M15" si="4">(G5-D5)*100/D5</f>
        <v>-1.5161714961382453</v>
      </c>
      <c r="N5" s="1">
        <f t="shared" ref="N5:N15" si="5">M5*D5*(1000/100)</f>
        <v>-6722.8999999999814</v>
      </c>
      <c r="O5" s="1">
        <f t="shared" si="1"/>
        <v>110.44258978249874</v>
      </c>
    </row>
    <row r="6" spans="2:15" x14ac:dyDescent="0.35">
      <c r="B6" s="22"/>
      <c r="C6" s="2" t="s">
        <v>19</v>
      </c>
      <c r="D6" s="8">
        <v>533.2373</v>
      </c>
      <c r="E6" s="1">
        <f>0.9859*547.9</f>
        <v>540.17461000000003</v>
      </c>
      <c r="F6" s="1">
        <v>466.1</v>
      </c>
      <c r="G6" s="1">
        <v>524.92516350000005</v>
      </c>
      <c r="H6" s="1">
        <f t="shared" si="0"/>
        <v>-6.937310000000025</v>
      </c>
      <c r="I6" s="1">
        <f t="shared" si="2"/>
        <v>58.825163500000031</v>
      </c>
      <c r="J6" s="20">
        <v>0.81</v>
      </c>
      <c r="K6" s="20">
        <v>0.73</v>
      </c>
      <c r="L6" s="20">
        <f t="shared" si="3"/>
        <v>0.2233442781249681</v>
      </c>
      <c r="M6" s="1">
        <f t="shared" si="4"/>
        <v>-1.558806276305118</v>
      </c>
      <c r="N6" s="1">
        <f t="shared" si="5"/>
        <v>-8312.1364999999514</v>
      </c>
      <c r="O6" s="1">
        <f t="shared" si="1"/>
        <v>112.62071733533577</v>
      </c>
    </row>
    <row r="7" spans="2:15" x14ac:dyDescent="0.35">
      <c r="B7" s="22"/>
      <c r="C7" s="2" t="s">
        <v>20</v>
      </c>
      <c r="D7" s="8"/>
      <c r="E7" s="1">
        <f>0.9859*538.2</f>
        <v>530.61138000000005</v>
      </c>
      <c r="F7" s="1">
        <v>512.4</v>
      </c>
      <c r="G7" s="1"/>
      <c r="H7" s="1">
        <f t="shared" si="0"/>
        <v>-530.61138000000005</v>
      </c>
      <c r="I7" s="1">
        <f t="shared" si="2"/>
        <v>-512.4</v>
      </c>
      <c r="J7" s="20">
        <v>0.81</v>
      </c>
      <c r="K7" s="20">
        <v>0.81</v>
      </c>
      <c r="L7" s="20">
        <f t="shared" si="3"/>
        <v>0</v>
      </c>
      <c r="M7" s="1" t="e">
        <f t="shared" si="4"/>
        <v>#DIV/0!</v>
      </c>
      <c r="N7" s="1" t="e">
        <f t="shared" si="5"/>
        <v>#DIV/0!</v>
      </c>
      <c r="O7" s="1">
        <f t="shared" si="1"/>
        <v>0</v>
      </c>
    </row>
    <row r="8" spans="2:15" x14ac:dyDescent="0.35">
      <c r="B8" s="22"/>
      <c r="C8" s="2" t="s">
        <v>21</v>
      </c>
      <c r="D8" s="8"/>
      <c r="E8" s="1">
        <f>0.9859*544.7</f>
        <v>537.0197300000001</v>
      </c>
      <c r="F8" s="1">
        <v>519.4</v>
      </c>
      <c r="G8" s="1"/>
      <c r="H8" s="1">
        <f t="shared" si="0"/>
        <v>-537.0197300000001</v>
      </c>
      <c r="I8" s="1">
        <f t="shared" si="2"/>
        <v>-519.4</v>
      </c>
      <c r="J8" s="20">
        <v>0.88</v>
      </c>
      <c r="K8" s="20">
        <v>0.81</v>
      </c>
      <c r="L8" s="20">
        <f t="shared" si="3"/>
        <v>0</v>
      </c>
      <c r="M8" s="1" t="e">
        <f t="shared" si="4"/>
        <v>#DIV/0!</v>
      </c>
      <c r="N8" s="1" t="e">
        <f t="shared" si="5"/>
        <v>#DIV/0!</v>
      </c>
      <c r="O8" s="1">
        <f t="shared" si="1"/>
        <v>0</v>
      </c>
    </row>
    <row r="9" spans="2:15" x14ac:dyDescent="0.35">
      <c r="B9" s="22"/>
      <c r="C9" s="2" t="s">
        <v>22</v>
      </c>
      <c r="E9" s="1">
        <f>0.9859*476.2</f>
        <v>469.48557999999997</v>
      </c>
      <c r="F9" s="1">
        <v>454.7</v>
      </c>
      <c r="G9" s="1"/>
      <c r="H9" s="1">
        <f t="shared" si="0"/>
        <v>-469.48557999999997</v>
      </c>
      <c r="I9" s="1">
        <f t="shared" si="2"/>
        <v>-454.7</v>
      </c>
      <c r="J9" s="20">
        <v>0.81</v>
      </c>
      <c r="K9" s="20">
        <v>0.82</v>
      </c>
      <c r="L9" s="20">
        <f t="shared" si="3"/>
        <v>0</v>
      </c>
      <c r="M9" s="1" t="e">
        <f t="shared" si="4"/>
        <v>#DIV/0!</v>
      </c>
      <c r="N9" s="1" t="e">
        <f t="shared" si="5"/>
        <v>#DIV/0!</v>
      </c>
      <c r="O9" s="1">
        <f t="shared" si="1"/>
        <v>0</v>
      </c>
    </row>
    <row r="10" spans="2:15" x14ac:dyDescent="0.35">
      <c r="B10" s="22"/>
      <c r="C10" s="2" t="s">
        <v>23</v>
      </c>
      <c r="D10" s="8"/>
      <c r="E10" s="1">
        <f>0.9859*409.7</f>
        <v>403.92322999999999</v>
      </c>
      <c r="F10" s="1">
        <v>341.3</v>
      </c>
      <c r="G10" s="1"/>
      <c r="H10" s="1">
        <f t="shared" si="0"/>
        <v>-403.92322999999999</v>
      </c>
      <c r="I10" s="1">
        <f t="shared" si="2"/>
        <v>-341.3</v>
      </c>
      <c r="J10" s="20">
        <v>0.84</v>
      </c>
      <c r="K10" s="20">
        <v>0.73</v>
      </c>
      <c r="L10" s="20">
        <f t="shared" si="3"/>
        <v>0</v>
      </c>
      <c r="M10" s="1" t="e">
        <f t="shared" si="4"/>
        <v>#DIV/0!</v>
      </c>
      <c r="N10" s="1" t="e">
        <f t="shared" si="5"/>
        <v>#DIV/0!</v>
      </c>
      <c r="O10" s="1">
        <f t="shared" si="1"/>
        <v>0</v>
      </c>
    </row>
    <row r="11" spans="2:15" x14ac:dyDescent="0.35">
      <c r="B11" s="22"/>
      <c r="C11" s="2" t="s">
        <v>24</v>
      </c>
      <c r="D11" s="8"/>
      <c r="E11" s="1">
        <f>0.9859*391.8</f>
        <v>386.27562</v>
      </c>
      <c r="F11" s="1">
        <v>373.4</v>
      </c>
      <c r="G11" s="1"/>
      <c r="H11" s="1">
        <f t="shared" si="0"/>
        <v>-386.27562</v>
      </c>
      <c r="I11" s="1">
        <f t="shared" si="2"/>
        <v>-373.4</v>
      </c>
      <c r="J11" s="20">
        <v>0.79</v>
      </c>
      <c r="K11" s="20">
        <v>0.83</v>
      </c>
      <c r="L11" s="20">
        <f t="shared" si="3"/>
        <v>0</v>
      </c>
      <c r="M11" s="1" t="e">
        <f t="shared" si="4"/>
        <v>#DIV/0!</v>
      </c>
      <c r="N11" s="1" t="e">
        <f t="shared" si="5"/>
        <v>#DIV/0!</v>
      </c>
      <c r="O11" s="1">
        <f t="shared" si="1"/>
        <v>0</v>
      </c>
    </row>
    <row r="12" spans="2:15" x14ac:dyDescent="0.35">
      <c r="B12" s="22"/>
      <c r="C12" s="2" t="s">
        <v>25</v>
      </c>
      <c r="D12" s="8"/>
      <c r="E12" s="1">
        <f>0.9859*459.4</f>
        <v>452.92246</v>
      </c>
      <c r="F12" s="1">
        <v>438.1</v>
      </c>
      <c r="G12" s="1"/>
      <c r="H12" s="1">
        <f t="shared" si="0"/>
        <v>-452.92246</v>
      </c>
      <c r="I12" s="1">
        <f t="shared" si="2"/>
        <v>-438.1</v>
      </c>
      <c r="J12" s="20">
        <v>0.79</v>
      </c>
      <c r="K12" s="20">
        <v>0.82</v>
      </c>
      <c r="L12" s="20">
        <f t="shared" si="3"/>
        <v>0</v>
      </c>
      <c r="M12" s="1" t="e">
        <f t="shared" si="4"/>
        <v>#DIV/0!</v>
      </c>
      <c r="N12" s="1" t="e">
        <f t="shared" si="5"/>
        <v>#DIV/0!</v>
      </c>
      <c r="O12" s="1">
        <f t="shared" si="1"/>
        <v>0</v>
      </c>
    </row>
    <row r="13" spans="2:15" x14ac:dyDescent="0.35">
      <c r="B13" s="22"/>
      <c r="C13" s="2" t="s">
        <v>26</v>
      </c>
      <c r="D13" s="8"/>
      <c r="E13" s="1">
        <f>0.9859*495.7</f>
        <v>488.71062999999998</v>
      </c>
      <c r="F13" s="1">
        <v>472.7</v>
      </c>
      <c r="G13" s="1"/>
      <c r="H13" s="1">
        <f t="shared" si="0"/>
        <v>-488.71062999999998</v>
      </c>
      <c r="I13" s="1">
        <f t="shared" si="2"/>
        <v>-472.7</v>
      </c>
      <c r="J13" s="20">
        <v>0.8</v>
      </c>
      <c r="K13" s="20">
        <v>0.82499999999999996</v>
      </c>
      <c r="L13" s="20">
        <f t="shared" si="3"/>
        <v>0</v>
      </c>
      <c r="M13" s="1" t="e">
        <f t="shared" si="4"/>
        <v>#DIV/0!</v>
      </c>
      <c r="N13" s="1" t="e">
        <f t="shared" si="5"/>
        <v>#DIV/0!</v>
      </c>
      <c r="O13" s="1">
        <f t="shared" si="1"/>
        <v>0</v>
      </c>
    </row>
    <row r="14" spans="2:15" x14ac:dyDescent="0.35">
      <c r="B14" s="22"/>
      <c r="C14" s="2" t="s">
        <v>27</v>
      </c>
      <c r="D14" s="8"/>
      <c r="E14" s="1">
        <f>0.9859*436.7</f>
        <v>430.54253</v>
      </c>
      <c r="F14" s="1">
        <v>416</v>
      </c>
      <c r="G14" s="1"/>
      <c r="H14" s="1">
        <f>D14-E14</f>
        <v>-430.54253</v>
      </c>
      <c r="I14" s="1">
        <f t="shared" si="2"/>
        <v>-416</v>
      </c>
      <c r="J14" s="20">
        <v>0.81</v>
      </c>
      <c r="K14" s="20">
        <v>0.84199999999999997</v>
      </c>
      <c r="L14" s="20">
        <f t="shared" si="3"/>
        <v>0</v>
      </c>
      <c r="M14" s="1" t="e">
        <f t="shared" si="4"/>
        <v>#DIV/0!</v>
      </c>
      <c r="N14" s="1" t="e">
        <f t="shared" si="5"/>
        <v>#DIV/0!</v>
      </c>
      <c r="O14" s="1">
        <f>G14*100/F14</f>
        <v>0</v>
      </c>
    </row>
    <row r="15" spans="2:15" x14ac:dyDescent="0.35">
      <c r="B15" s="23"/>
      <c r="C15" s="12" t="s">
        <v>28</v>
      </c>
      <c r="D15" s="13"/>
      <c r="E15" s="14">
        <f>0.9859*445.2</f>
        <v>438.92268000000001</v>
      </c>
      <c r="F15" s="14">
        <v>424.4</v>
      </c>
      <c r="G15" s="14"/>
      <c r="H15" s="14">
        <f t="shared" si="0"/>
        <v>-438.92268000000001</v>
      </c>
      <c r="I15" s="1">
        <f t="shared" si="2"/>
        <v>-424.4</v>
      </c>
      <c r="J15" s="21">
        <v>0.82</v>
      </c>
      <c r="K15" s="21">
        <v>0.86199999999999999</v>
      </c>
      <c r="L15" s="20">
        <f t="shared" si="3"/>
        <v>0</v>
      </c>
      <c r="M15" s="1" t="e">
        <f t="shared" si="4"/>
        <v>#DIV/0!</v>
      </c>
      <c r="N15" s="1" t="e">
        <f t="shared" si="5"/>
        <v>#DIV/0!</v>
      </c>
      <c r="O15" s="1">
        <f t="shared" si="1"/>
        <v>0</v>
      </c>
    </row>
    <row r="16" spans="2:15" x14ac:dyDescent="0.35">
      <c r="B16" s="1"/>
      <c r="C16" s="1"/>
      <c r="D16" s="1"/>
      <c r="E16" s="1"/>
      <c r="F16" s="1">
        <f>(G16-F17)</f>
        <v>-3839.0108365000001</v>
      </c>
      <c r="G16" s="1">
        <f>SUM(G4:G15)</f>
        <v>1411.2891635000001</v>
      </c>
      <c r="H16" s="1"/>
      <c r="I16" s="1"/>
      <c r="J16" s="1"/>
      <c r="K16" s="1"/>
      <c r="L16" s="1"/>
      <c r="M16" s="1"/>
      <c r="N16" s="1"/>
      <c r="O16" s="1"/>
    </row>
    <row r="17" spans="2:15" x14ac:dyDescent="0.35">
      <c r="B17" s="24" t="s">
        <v>29</v>
      </c>
      <c r="C17" s="25"/>
      <c r="D17" s="1"/>
      <c r="E17" s="1">
        <v>5665.7</v>
      </c>
      <c r="F17" s="1">
        <v>5250.3</v>
      </c>
      <c r="G17" s="1"/>
      <c r="H17" s="1"/>
      <c r="I17" s="1"/>
      <c r="J17" s="1"/>
      <c r="K17" s="1"/>
      <c r="L17" s="1"/>
      <c r="M17" s="1"/>
      <c r="N17" s="1"/>
      <c r="O17" s="1"/>
    </row>
  </sheetData>
  <mergeCells count="2">
    <mergeCell ref="B4:B15"/>
    <mergeCell ref="B17:C17"/>
  </mergeCells>
  <conditionalFormatting sqref="H4:I15">
    <cfRule type="cellIs" dxfId="3" priority="5" operator="lessThan">
      <formula>1</formula>
    </cfRule>
    <cfRule type="cellIs" dxfId="2" priority="6" operator="greaterThan">
      <formula>1</formula>
    </cfRule>
  </conditionalFormatting>
  <conditionalFormatting sqref="M4:N15">
    <cfRule type="cellIs" dxfId="1" priority="1" operator="lessThan">
      <formula>1</formula>
    </cfRule>
    <cfRule type="cellIs" dxfId="0" priority="2" operator="greaterThan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Y24-25</vt:lpstr>
      <vt:lpstr>Y2026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Deep@k Kumar</dc:creator>
  <cp:keywords/>
  <dc:description/>
  <cp:lastModifiedBy>Pratik Kumar</cp:lastModifiedBy>
  <cp:revision/>
  <dcterms:created xsi:type="dcterms:W3CDTF">2025-05-10T09:36:28Z</dcterms:created>
  <dcterms:modified xsi:type="dcterms:W3CDTF">2026-04-10T11:40:40Z</dcterms:modified>
  <cp:category/>
  <cp:contentStatus/>
</cp:coreProperties>
</file>