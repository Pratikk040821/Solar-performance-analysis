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nishchoubey\OneDrive\Desktop\March_2026_Gen._Analysis\"/>
    </mc:Choice>
  </mc:AlternateContent>
  <xr:revisionPtr revIDLastSave="0" documentId="13_ncr:1_{E9CB50AF-C37C-496D-BD95-3B5A566B2F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ch_26 Gen. &amp; Loss Analysis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3" l="1"/>
  <c r="S2" i="13"/>
  <c r="R2" i="13"/>
  <c r="C2" i="13"/>
  <c r="E2" i="13"/>
  <c r="B34" i="13"/>
  <c r="C31" i="13"/>
  <c r="S31" i="13"/>
  <c r="S30" i="13"/>
  <c r="U30" i="13" s="1"/>
  <c r="S29" i="13"/>
  <c r="W29" i="13" s="1"/>
  <c r="C28" i="13"/>
  <c r="E28" i="13" s="1"/>
  <c r="I28" i="13" s="1"/>
  <c r="S28" i="13"/>
  <c r="S27" i="13"/>
  <c r="H18" i="13"/>
  <c r="C18" i="13"/>
  <c r="S26" i="13"/>
  <c r="C25" i="13"/>
  <c r="AH25" i="13"/>
  <c r="AC25" i="13"/>
  <c r="AE25" i="13" s="1"/>
  <c r="C16" i="13"/>
  <c r="E16" i="13" s="1"/>
  <c r="I16" i="13" s="1"/>
  <c r="C24" i="13"/>
  <c r="E24" i="13" s="1"/>
  <c r="I24" i="13" s="1"/>
  <c r="C23" i="13"/>
  <c r="E23" i="13" s="1"/>
  <c r="I23" i="13" s="1"/>
  <c r="S23" i="13"/>
  <c r="Z23" i="13" s="1"/>
  <c r="S21" i="13"/>
  <c r="S20" i="13"/>
  <c r="S19" i="13"/>
  <c r="M18" i="13"/>
  <c r="Q18" i="13"/>
  <c r="AI10" i="13"/>
  <c r="AG7" i="13"/>
  <c r="AF7" i="13"/>
  <c r="S18" i="13"/>
  <c r="C7" i="13"/>
  <c r="E7" i="13" s="1"/>
  <c r="I7" i="13" s="1"/>
  <c r="C10" i="13"/>
  <c r="E10" i="13" s="1"/>
  <c r="I10" i="13" s="1"/>
  <c r="C9" i="13"/>
  <c r="E9" i="13" s="1"/>
  <c r="I9" i="13" s="1"/>
  <c r="R6" i="13"/>
  <c r="AF2" i="13"/>
  <c r="AG6" i="13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F6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5" i="13"/>
  <c r="AF33" i="13" s="1"/>
  <c r="AG5" i="13"/>
  <c r="AG2" i="13"/>
  <c r="AG33" i="13" s="1"/>
  <c r="W30" i="13"/>
  <c r="W31" i="13"/>
  <c r="W32" i="13"/>
  <c r="AI30" i="13"/>
  <c r="AI31" i="13"/>
  <c r="AI32" i="13"/>
  <c r="AE30" i="13"/>
  <c r="AE31" i="13"/>
  <c r="AE32" i="13"/>
  <c r="AD30" i="13"/>
  <c r="AD31" i="13"/>
  <c r="AD32" i="13"/>
  <c r="U32" i="13"/>
  <c r="U31" i="13"/>
  <c r="Q32" i="13"/>
  <c r="Q31" i="13"/>
  <c r="Q30" i="13"/>
  <c r="P32" i="13"/>
  <c r="P31" i="13"/>
  <c r="P30" i="13"/>
  <c r="M32" i="13"/>
  <c r="M31" i="13"/>
  <c r="M30" i="13"/>
  <c r="L32" i="13"/>
  <c r="L31" i="13"/>
  <c r="L30" i="13"/>
  <c r="H32" i="13"/>
  <c r="H31" i="13"/>
  <c r="H30" i="13"/>
  <c r="C30" i="13"/>
  <c r="E30" i="13" s="1"/>
  <c r="I30" i="13" s="1"/>
  <c r="E31" i="13"/>
  <c r="I31" i="13" s="1"/>
  <c r="C32" i="13"/>
  <c r="E32" i="13" s="1"/>
  <c r="I32" i="13" s="1"/>
  <c r="O33" i="13"/>
  <c r="N33" i="13"/>
  <c r="K33" i="13"/>
  <c r="J33" i="13"/>
  <c r="G33" i="13"/>
  <c r="F33" i="13"/>
  <c r="B33" i="13"/>
  <c r="D3" i="13"/>
  <c r="D4" i="13"/>
  <c r="D5" i="13"/>
  <c r="D6" i="13"/>
  <c r="D7" i="13"/>
  <c r="D8" i="13"/>
  <c r="D9" i="13"/>
  <c r="D10" i="13"/>
  <c r="D11" i="13"/>
  <c r="D12" i="13"/>
  <c r="D34" i="13" s="1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2" i="13"/>
  <c r="R5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3" i="13"/>
  <c r="R24" i="13"/>
  <c r="R25" i="13"/>
  <c r="R26" i="13"/>
  <c r="R27" i="13"/>
  <c r="R28" i="13"/>
  <c r="R29" i="13"/>
  <c r="R30" i="13"/>
  <c r="R31" i="13"/>
  <c r="R32" i="13"/>
  <c r="T2" i="13"/>
  <c r="C3" i="13"/>
  <c r="C4" i="13"/>
  <c r="C5" i="13"/>
  <c r="E5" i="13" s="1"/>
  <c r="C6" i="13"/>
  <c r="E6" i="13" s="1"/>
  <c r="I6" i="13" s="1"/>
  <c r="C8" i="13"/>
  <c r="E8" i="13" s="1"/>
  <c r="I8" i="13" s="1"/>
  <c r="C11" i="13"/>
  <c r="E11" i="13" s="1"/>
  <c r="I11" i="13" s="1"/>
  <c r="C12" i="13"/>
  <c r="E12" i="13" s="1"/>
  <c r="I12" i="13" s="1"/>
  <c r="C13" i="13"/>
  <c r="C14" i="13"/>
  <c r="C15" i="13"/>
  <c r="E15" i="13" s="1"/>
  <c r="I15" i="13" s="1"/>
  <c r="C17" i="13"/>
  <c r="E17" i="13" s="1"/>
  <c r="I17" i="13" s="1"/>
  <c r="C19" i="13"/>
  <c r="E19" i="13" s="1"/>
  <c r="I19" i="13" s="1"/>
  <c r="C20" i="13"/>
  <c r="C21" i="13"/>
  <c r="C22" i="13"/>
  <c r="C26" i="13"/>
  <c r="C27" i="13"/>
  <c r="E27" i="13" s="1"/>
  <c r="I27" i="13" s="1"/>
  <c r="C29" i="13"/>
  <c r="AL34" i="13"/>
  <c r="AK34" i="13"/>
  <c r="AJ34" i="13"/>
  <c r="V34" i="13"/>
  <c r="AB33" i="13"/>
  <c r="AD33" i="13" s="1"/>
  <c r="AI29" i="13"/>
  <c r="AE29" i="13"/>
  <c r="AD29" i="13"/>
  <c r="Q29" i="13"/>
  <c r="P29" i="13"/>
  <c r="M29" i="13"/>
  <c r="L29" i="13"/>
  <c r="H29" i="13"/>
  <c r="E29" i="13"/>
  <c r="I29" i="13" s="1"/>
  <c r="AI28" i="13"/>
  <c r="AD28" i="13"/>
  <c r="AE28" i="13"/>
  <c r="Q28" i="13"/>
  <c r="P28" i="13"/>
  <c r="M28" i="13"/>
  <c r="L28" i="13"/>
  <c r="H28" i="13"/>
  <c r="AI27" i="13"/>
  <c r="AD27" i="13"/>
  <c r="AE27" i="13"/>
  <c r="Q27" i="13"/>
  <c r="P27" i="13"/>
  <c r="M27" i="13"/>
  <c r="L27" i="13"/>
  <c r="H27" i="13"/>
  <c r="AD26" i="13"/>
  <c r="AE26" i="13"/>
  <c r="Q26" i="13"/>
  <c r="P26" i="13"/>
  <c r="M26" i="13"/>
  <c r="L26" i="13"/>
  <c r="H26" i="13"/>
  <c r="E26" i="13"/>
  <c r="I26" i="13" s="1"/>
  <c r="AI25" i="13"/>
  <c r="AD25" i="13"/>
  <c r="Q25" i="13"/>
  <c r="P25" i="13"/>
  <c r="M25" i="13"/>
  <c r="L25" i="13"/>
  <c r="H25" i="13"/>
  <c r="E25" i="13"/>
  <c r="I25" i="13" s="1"/>
  <c r="AI24" i="13"/>
  <c r="AE24" i="13"/>
  <c r="AD24" i="13"/>
  <c r="Q24" i="13"/>
  <c r="P24" i="13"/>
  <c r="M24" i="13"/>
  <c r="L24" i="13"/>
  <c r="H24" i="13"/>
  <c r="AI23" i="13"/>
  <c r="AE23" i="13"/>
  <c r="AD23" i="13"/>
  <c r="Q23" i="13"/>
  <c r="P23" i="13"/>
  <c r="M23" i="13"/>
  <c r="L23" i="13"/>
  <c r="H23" i="13"/>
  <c r="AI22" i="13"/>
  <c r="AE22" i="13"/>
  <c r="AD22" i="13"/>
  <c r="Q22" i="13"/>
  <c r="M22" i="13"/>
  <c r="AI21" i="13"/>
  <c r="AE21" i="13"/>
  <c r="AD21" i="13"/>
  <c r="Q21" i="13"/>
  <c r="M21" i="13"/>
  <c r="AI20" i="13"/>
  <c r="AE20" i="13"/>
  <c r="AD20" i="13"/>
  <c r="Q20" i="13"/>
  <c r="P20" i="13"/>
  <c r="M20" i="13"/>
  <c r="L20" i="13"/>
  <c r="H20" i="13"/>
  <c r="E20" i="13"/>
  <c r="I20" i="13" s="1"/>
  <c r="AI19" i="13"/>
  <c r="AE19" i="13"/>
  <c r="AD19" i="13"/>
  <c r="Q19" i="13"/>
  <c r="P19" i="13"/>
  <c r="M19" i="13"/>
  <c r="L19" i="13"/>
  <c r="H19" i="13"/>
  <c r="AI18" i="13"/>
  <c r="AE18" i="13"/>
  <c r="AD18" i="13"/>
  <c r="P18" i="13"/>
  <c r="L18" i="13"/>
  <c r="E18" i="13"/>
  <c r="I18" i="13" s="1"/>
  <c r="AI17" i="13"/>
  <c r="AE17" i="13"/>
  <c r="AD17" i="13"/>
  <c r="Q17" i="13"/>
  <c r="P17" i="13"/>
  <c r="M17" i="13"/>
  <c r="L17" i="13"/>
  <c r="H17" i="13"/>
  <c r="AI16" i="13"/>
  <c r="AE16" i="13"/>
  <c r="AD16" i="13"/>
  <c r="Q16" i="13"/>
  <c r="P16" i="13"/>
  <c r="M16" i="13"/>
  <c r="L16" i="13"/>
  <c r="H16" i="13"/>
  <c r="AI15" i="13"/>
  <c r="AE15" i="13"/>
  <c r="AD15" i="13"/>
  <c r="Q15" i="13"/>
  <c r="P15" i="13"/>
  <c r="M15" i="13"/>
  <c r="L15" i="13"/>
  <c r="H15" i="13"/>
  <c r="AI14" i="13"/>
  <c r="AE14" i="13"/>
  <c r="AD14" i="13"/>
  <c r="Q14" i="13"/>
  <c r="P14" i="13"/>
  <c r="M14" i="13"/>
  <c r="L14" i="13"/>
  <c r="H14" i="13"/>
  <c r="E14" i="13"/>
  <c r="I14" i="13" s="1"/>
  <c r="AI13" i="13"/>
  <c r="AE13" i="13"/>
  <c r="AD13" i="13"/>
  <c r="Q13" i="13"/>
  <c r="P13" i="13"/>
  <c r="M13" i="13"/>
  <c r="L13" i="13"/>
  <c r="H13" i="13"/>
  <c r="E13" i="13"/>
  <c r="I13" i="13" s="1"/>
  <c r="AI12" i="13"/>
  <c r="AE12" i="13"/>
  <c r="AD12" i="13"/>
  <c r="Q12" i="13"/>
  <c r="P12" i="13"/>
  <c r="M12" i="13"/>
  <c r="L12" i="13"/>
  <c r="H12" i="13"/>
  <c r="AI11" i="13"/>
  <c r="AE11" i="13"/>
  <c r="AD11" i="13"/>
  <c r="Q11" i="13"/>
  <c r="P11" i="13"/>
  <c r="M11" i="13"/>
  <c r="L11" i="13"/>
  <c r="H11" i="13"/>
  <c r="AE10" i="13"/>
  <c r="AD10" i="13"/>
  <c r="Q10" i="13"/>
  <c r="P10" i="13"/>
  <c r="M10" i="13"/>
  <c r="L10" i="13"/>
  <c r="H10" i="13"/>
  <c r="AI9" i="13"/>
  <c r="AE9" i="13"/>
  <c r="AD9" i="13"/>
  <c r="Q9" i="13"/>
  <c r="P9" i="13"/>
  <c r="M9" i="13"/>
  <c r="L9" i="13"/>
  <c r="H9" i="13"/>
  <c r="AI8" i="13"/>
  <c r="AD8" i="13"/>
  <c r="AE8" i="13"/>
  <c r="Q8" i="13"/>
  <c r="P8" i="13"/>
  <c r="M8" i="13"/>
  <c r="L8" i="13"/>
  <c r="H8" i="13"/>
  <c r="AI7" i="13"/>
  <c r="AD7" i="13"/>
  <c r="AE7" i="13"/>
  <c r="Q7" i="13"/>
  <c r="P7" i="13"/>
  <c r="M7" i="13"/>
  <c r="L7" i="13"/>
  <c r="H7" i="13"/>
  <c r="AI6" i="13"/>
  <c r="AE6" i="13"/>
  <c r="AD6" i="13"/>
  <c r="Q6" i="13"/>
  <c r="P6" i="13"/>
  <c r="M6" i="13"/>
  <c r="L6" i="13"/>
  <c r="H6" i="13"/>
  <c r="AI5" i="13"/>
  <c r="AD5" i="13"/>
  <c r="Q5" i="13"/>
  <c r="P5" i="13"/>
  <c r="M5" i="13"/>
  <c r="L5" i="13"/>
  <c r="H5" i="13"/>
  <c r="AE4" i="13"/>
  <c r="AD4" i="13"/>
  <c r="Q4" i="13"/>
  <c r="M4" i="13"/>
  <c r="AE3" i="13"/>
  <c r="AD3" i="13"/>
  <c r="Q3" i="13"/>
  <c r="M3" i="13"/>
  <c r="AI2" i="13"/>
  <c r="AE2" i="13"/>
  <c r="AD2" i="13"/>
  <c r="Q2" i="13"/>
  <c r="P2" i="13"/>
  <c r="M2" i="13"/>
  <c r="L2" i="13"/>
  <c r="H2" i="13"/>
  <c r="C33" i="13" l="1"/>
  <c r="S33" i="13"/>
  <c r="L33" i="13"/>
  <c r="P33" i="13"/>
  <c r="H33" i="13"/>
  <c r="D33" i="13"/>
  <c r="M33" i="13"/>
  <c r="Q33" i="13"/>
  <c r="Z32" i="13"/>
  <c r="T32" i="13"/>
  <c r="X32" i="13" s="1"/>
  <c r="Z31" i="13"/>
  <c r="T31" i="13"/>
  <c r="X31" i="13" s="1"/>
  <c r="Z30" i="13"/>
  <c r="T30" i="13"/>
  <c r="X30" i="13" s="1"/>
  <c r="Y30" i="13"/>
  <c r="Y31" i="13"/>
  <c r="Y32" i="13"/>
  <c r="R33" i="13"/>
  <c r="I5" i="13"/>
  <c r="Z2" i="13"/>
  <c r="U2" i="13"/>
  <c r="C34" i="13"/>
  <c r="U3" i="13"/>
  <c r="U4" i="13"/>
  <c r="Z5" i="13"/>
  <c r="W5" i="13"/>
  <c r="U5" i="13"/>
  <c r="T5" i="13"/>
  <c r="X5" i="13" s="1"/>
  <c r="AC33" i="13"/>
  <c r="AE33" i="13" s="1"/>
  <c r="AE5" i="13"/>
  <c r="Z6" i="13"/>
  <c r="W6" i="13"/>
  <c r="U6" i="13"/>
  <c r="Y6" i="13" s="1"/>
  <c r="T6" i="13"/>
  <c r="X6" i="13" s="1"/>
  <c r="Z7" i="13"/>
  <c r="W7" i="13"/>
  <c r="U7" i="13"/>
  <c r="Y7" i="13" s="1"/>
  <c r="T7" i="13"/>
  <c r="X7" i="13" s="1"/>
  <c r="Z8" i="13"/>
  <c r="W8" i="13"/>
  <c r="U8" i="13"/>
  <c r="Y8" i="13" s="1"/>
  <c r="T8" i="13"/>
  <c r="X8" i="13" s="1"/>
  <c r="Z9" i="13"/>
  <c r="W9" i="13"/>
  <c r="U9" i="13"/>
  <c r="Y9" i="13" s="1"/>
  <c r="T9" i="13"/>
  <c r="X9" i="13" s="1"/>
  <c r="Z10" i="13"/>
  <c r="W10" i="13"/>
  <c r="U10" i="13"/>
  <c r="Y10" i="13" s="1"/>
  <c r="T10" i="13"/>
  <c r="X10" i="13" s="1"/>
  <c r="Z11" i="13"/>
  <c r="W11" i="13"/>
  <c r="U11" i="13"/>
  <c r="Y11" i="13" s="1"/>
  <c r="T11" i="13"/>
  <c r="X11" i="13" s="1"/>
  <c r="Z12" i="13"/>
  <c r="W12" i="13"/>
  <c r="W33" i="13" s="1"/>
  <c r="U12" i="13"/>
  <c r="Y12" i="13" s="1"/>
  <c r="T12" i="13"/>
  <c r="X12" i="13" s="1"/>
  <c r="Z13" i="13"/>
  <c r="W13" i="13"/>
  <c r="U13" i="13"/>
  <c r="Y13" i="13" s="1"/>
  <c r="T13" i="13"/>
  <c r="X13" i="13" s="1"/>
  <c r="Z14" i="13"/>
  <c r="W14" i="13"/>
  <c r="U14" i="13"/>
  <c r="Y14" i="13" s="1"/>
  <c r="T14" i="13"/>
  <c r="X14" i="13" s="1"/>
  <c r="Z15" i="13"/>
  <c r="W15" i="13"/>
  <c r="U15" i="13"/>
  <c r="Y15" i="13" s="1"/>
  <c r="T15" i="13"/>
  <c r="X15" i="13" s="1"/>
  <c r="Z16" i="13"/>
  <c r="W16" i="13"/>
  <c r="U16" i="13"/>
  <c r="Y16" i="13" s="1"/>
  <c r="T16" i="13"/>
  <c r="X16" i="13" s="1"/>
  <c r="Z17" i="13"/>
  <c r="W17" i="13"/>
  <c r="U17" i="13"/>
  <c r="Y17" i="13" s="1"/>
  <c r="T17" i="13"/>
  <c r="X17" i="13" s="1"/>
  <c r="Z18" i="13"/>
  <c r="W18" i="13"/>
  <c r="U18" i="13"/>
  <c r="Y18" i="13" s="1"/>
  <c r="T18" i="13"/>
  <c r="X18" i="13" s="1"/>
  <c r="Z19" i="13"/>
  <c r="W19" i="13"/>
  <c r="U19" i="13"/>
  <c r="Y19" i="13" s="1"/>
  <c r="T19" i="13"/>
  <c r="X19" i="13" s="1"/>
  <c r="Z20" i="13"/>
  <c r="W20" i="13"/>
  <c r="U20" i="13"/>
  <c r="Y20" i="13" s="1"/>
  <c r="T20" i="13"/>
  <c r="X20" i="13" s="1"/>
  <c r="U21" i="13"/>
  <c r="U22" i="13"/>
  <c r="W23" i="13"/>
  <c r="U23" i="13"/>
  <c r="Y23" i="13" s="1"/>
  <c r="T23" i="13"/>
  <c r="X23" i="13" s="1"/>
  <c r="Z24" i="13"/>
  <c r="W24" i="13"/>
  <c r="U24" i="13"/>
  <c r="Y24" i="13" s="1"/>
  <c r="T24" i="13"/>
  <c r="X24" i="13" s="1"/>
  <c r="Z25" i="13"/>
  <c r="W25" i="13"/>
  <c r="U25" i="13"/>
  <c r="Y25" i="13" s="1"/>
  <c r="T25" i="13"/>
  <c r="X25" i="13" s="1"/>
  <c r="Z26" i="13"/>
  <c r="W26" i="13"/>
  <c r="U26" i="13"/>
  <c r="Y26" i="13" s="1"/>
  <c r="T26" i="13"/>
  <c r="X26" i="13" s="1"/>
  <c r="AH33" i="13"/>
  <c r="AI26" i="13"/>
  <c r="AI33" i="13" s="1"/>
  <c r="Z27" i="13"/>
  <c r="W27" i="13"/>
  <c r="U27" i="13"/>
  <c r="Y27" i="13" s="1"/>
  <c r="T27" i="13"/>
  <c r="X27" i="13" s="1"/>
  <c r="Z28" i="13"/>
  <c r="W28" i="13"/>
  <c r="U28" i="13"/>
  <c r="Y28" i="13" s="1"/>
  <c r="T28" i="13"/>
  <c r="X28" i="13" s="1"/>
  <c r="Z29" i="13"/>
  <c r="U29" i="13"/>
  <c r="Y29" i="13" s="1"/>
  <c r="T29" i="13"/>
  <c r="X29" i="13" s="1"/>
  <c r="Y5" i="13" l="1"/>
  <c r="Z33" i="13"/>
  <c r="U33" i="13"/>
  <c r="T33" i="13"/>
  <c r="E33" i="13"/>
  <c r="X2" i="13"/>
  <c r="X33" i="13" s="1"/>
  <c r="W34" i="13"/>
  <c r="I2" i="13"/>
  <c r="I33" i="13" s="1"/>
  <c r="Y2" i="13" l="1"/>
  <c r="Y33" i="13" s="1"/>
</calcChain>
</file>

<file path=xl/sharedStrings.xml><?xml version="1.0" encoding="utf-8"?>
<sst xmlns="http://schemas.openxmlformats.org/spreadsheetml/2006/main" count="198" uniqueCount="114">
  <si>
    <t>Actual Irradiance (kWh/m²)</t>
  </si>
  <si>
    <t>PVsyst Irradiance (kWh/m²)</t>
  </si>
  <si>
    <t>PVsyst PR
(%)</t>
  </si>
  <si>
    <t>Downtime Periods</t>
  </si>
  <si>
    <t xml:space="preserve">Sum: </t>
  </si>
  <si>
    <t>_______</t>
  </si>
  <si>
    <t>Day Time Grid Availability( % )</t>
  </si>
  <si>
    <t>Wind Speed [Km/hr]   (Average)</t>
  </si>
  <si>
    <t>Remarks</t>
  </si>
  <si>
    <t>Wheather</t>
  </si>
  <si>
    <t>----</t>
  </si>
  <si>
    <t>Actual Irradiance (kWh/m²), during downtime period</t>
  </si>
  <si>
    <t>Expected Inv. I/P DC energy at MPPT</t>
  </si>
  <si>
    <t>Actual Inv. I/P DC Energy at MPPT</t>
  </si>
  <si>
    <t>Diff. b/w expec. &amp; actual energy gen. at MPPT %age</t>
  </si>
  <si>
    <t>DC Loss %age</t>
  </si>
  <si>
    <t>Expected Inv. O/P AC energy</t>
  </si>
  <si>
    <t>Actual Inv. O/P AC Energy</t>
  </si>
  <si>
    <t>Diff. b/w expec. &amp; actual inv. O/P AC energy %age</t>
  </si>
  <si>
    <t>Inv. Loss %age</t>
  </si>
  <si>
    <t>Expected Energy  (kWh), MFM</t>
  </si>
  <si>
    <t>Actual Energy(MFM) (kWh</t>
  </si>
  <si>
    <t>Diff. b/w expec. &amp; actual MFM meter energy %age</t>
  </si>
  <si>
    <t>Plant AC Loss %age</t>
  </si>
  <si>
    <t>Expected Energy  (kWh), Main meter</t>
  </si>
  <si>
    <t>Diff. b/w expec. &amp; actual main meter energy %age</t>
  </si>
  <si>
    <t>TL Line Loss %age</t>
  </si>
  <si>
    <t>Sum of diff. b/w exp. &amp; actual energy Gen.</t>
  </si>
  <si>
    <t>Overall Loss %age (Module-Main meter)</t>
  </si>
  <si>
    <t>Gain/Loss of Actual vs Expected(kWh), Main meter</t>
  </si>
  <si>
    <t>Total plant Down Time(Minutes), ( time considering from 07:00 to 19:00)</t>
  </si>
  <si>
    <t>Total Grid Down Time(Minutes), ( time considering from 07:00 to 19:00)</t>
  </si>
  <si>
    <t>Day time Plant availability, %age</t>
  </si>
  <si>
    <t>Expected Downtime losses(kWh), Inv. I/P, MPPT</t>
  </si>
  <si>
    <t>Expected Downtime losses(kWh), Inv. O/P</t>
  </si>
  <si>
    <t>Expected Downtime losses(kWh), MFM</t>
  </si>
  <si>
    <t>Expected Downtime losses(kWh), Main Meter</t>
  </si>
  <si>
    <t>Average</t>
  </si>
  <si>
    <t>Expected energy gen. at module(kWh)</t>
  </si>
  <si>
    <t>Actual main meter energy (TrackSo), kWh</t>
  </si>
  <si>
    <t>Ambient Temp.(°C)  (Average)</t>
  </si>
  <si>
    <t>Module Temp.(°C)  (Average)</t>
  </si>
  <si>
    <t>1st Half: Sunny                                  
2nd Half: Sunny</t>
  </si>
  <si>
    <t>Day PR %, at main meter</t>
  </si>
  <si>
    <t>1st March</t>
  </si>
  <si>
    <t>------</t>
  </si>
  <si>
    <t>1st Half: Sunny,   2nd Half: Sunny</t>
  </si>
  <si>
    <t>2nd March</t>
  </si>
  <si>
    <t>WMS Not working</t>
  </si>
  <si>
    <t>3rd March</t>
  </si>
  <si>
    <t>17:05 PM to 23:00 PM</t>
  </si>
  <si>
    <t>4th March</t>
  </si>
  <si>
    <t>5th March</t>
  </si>
  <si>
    <t>6th March</t>
  </si>
  <si>
    <t xml:space="preserve"> 16:48 - 17:00 </t>
  </si>
  <si>
    <t>7th March</t>
  </si>
  <si>
    <t>8th March</t>
  </si>
  <si>
    <t>9th March</t>
  </si>
  <si>
    <t>07:03 AM to 10:03 AM</t>
  </si>
  <si>
    <t>1st Half: Sunny             2nd Half: Sunny</t>
  </si>
  <si>
    <t>10th March</t>
  </si>
  <si>
    <t>11th March</t>
  </si>
  <si>
    <t xml:space="preserve">1st Half: Sunny                                  
2nd Half: little cloudy </t>
  </si>
  <si>
    <t>12th March</t>
  </si>
  <si>
    <t>____</t>
  </si>
  <si>
    <t xml:space="preserve">1st Half: partially cloudy                               
2nd Half: partially cloudy </t>
  </si>
  <si>
    <t>13th March</t>
  </si>
  <si>
    <t>14th March</t>
  </si>
  <si>
    <t>1st Half: little cloudy 
  2nd Half:  little cloudy</t>
  </si>
  <si>
    <t>15th March</t>
  </si>
  <si>
    <t>14:27 PM to 16:01 PM</t>
  </si>
  <si>
    <t>1st Half:  sunny 
                              2nd Half:  partially cloudy</t>
  </si>
  <si>
    <t>16th March</t>
  </si>
  <si>
    <t xml:space="preserve">1st Half:  sunny 
2nd Half:  partially cloudy </t>
  </si>
  <si>
    <t>17th March</t>
  </si>
  <si>
    <t>11:08 AM to 11:11 AM, 12:16 PM to 12:48 PM, 04:17 PM to 04:19 PM</t>
  </si>
  <si>
    <t xml:space="preserve">1st Half:  little cloudy                               
2nd Half:  partially cloudy </t>
  </si>
  <si>
    <t>increase loss reason :- every inverter 7 time data missing</t>
  </si>
  <si>
    <t>18th March</t>
  </si>
  <si>
    <t>1st Half: partially cloudy,   2nd Half: partially cloudy</t>
  </si>
  <si>
    <t>19th March</t>
  </si>
  <si>
    <t xml:space="preserve">1st Half :  partially cloudy
 2nd Half :  fully cloudy </t>
  </si>
  <si>
    <t>20th March</t>
  </si>
  <si>
    <t>WMS not working from 20th march 2026, 08:40 am, Logger damaged, need to replace</t>
  </si>
  <si>
    <t>1st Half: sunny                                     
2nd Half: partially sunny</t>
  </si>
  <si>
    <t>21st March</t>
  </si>
  <si>
    <t>22nd March</t>
  </si>
  <si>
    <t xml:space="preserve"> 15:04 pm to 17:40 pm </t>
  </si>
  <si>
    <t xml:space="preserve">1st Half: sunny 
2nd Half: partially cloudy </t>
  </si>
  <si>
    <t>increase due to single phase switchyard braker jumper connection</t>
  </si>
  <si>
    <t>23rd March</t>
  </si>
  <si>
    <t>07:45 AM TO 11:01</t>
  </si>
  <si>
    <t>1st Half* : sunny               
 *2nd Half* : partially cloudy</t>
  </si>
  <si>
    <t>24th March</t>
  </si>
  <si>
    <t>11:16 to 11:21
17:30 to 17:40</t>
  </si>
  <si>
    <t xml:space="preserve">1st Half: Partially cloudy
2nd Half: partially cloudy </t>
  </si>
  <si>
    <t xml:space="preserve">GSS Side main meter reading is wrong in SCADA so that we have used manual meter reading.  </t>
  </si>
  <si>
    <t>25th March</t>
  </si>
  <si>
    <t xml:space="preserve">1st Half: sunny                                       
2nd Half: fully cloudy </t>
  </si>
  <si>
    <t>26th March</t>
  </si>
  <si>
    <t xml:space="preserve">1st Half: sunny                                       
2nd Half: partially cloudy </t>
  </si>
  <si>
    <t>27th March</t>
  </si>
  <si>
    <t xml:space="preserve">9:29 AM to 9:45 AM </t>
  </si>
  <si>
    <t xml:space="preserve">1st Half: sunny                                       
2nd Half: little cloudy </t>
  </si>
  <si>
    <t>28th March</t>
  </si>
  <si>
    <t>16:20 pm to 17:28 pm</t>
  </si>
  <si>
    <t xml:space="preserve">1st Half: sunny                                     
2nd Half: little cloudy </t>
  </si>
  <si>
    <t>Inv. 3, 5 &amp; 7 was offline on trackSo from 14:40 to 19:00, that's why Inv. input energy data is very less here</t>
  </si>
  <si>
    <t>29th March</t>
  </si>
  <si>
    <t>30th March</t>
  </si>
  <si>
    <t>08:25 - 08:44</t>
  </si>
  <si>
    <t xml:space="preserve">1st Half: partially sunny                                       
2nd Half: mostly cloudy 
</t>
  </si>
  <si>
    <t>31st March</t>
  </si>
  <si>
    <t xml:space="preserve">1st Half: partially sunny                                       
2nd Half: partially cloudy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</si>
</sst>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ptos Narrow"/>
      <charset val="1"/>
    </font>
    <font>
      <b/>
      <sz val="11"/>
      <color theme="1"/>
      <name val="Calibri"/>
      <family val="2"/>
      <scheme val="minor"/>
    </font>
    <font>
      <b/>
      <sz val="8"/>
      <color rgb="FFFFFFFF"/>
      <name val="Times New Roman"/>
      <family val="1"/>
    </font>
    <font>
      <b/>
      <sz val="8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b/>
      <sz val="8"/>
      <color rgb="FF00000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theme="1"/>
      <name val="Calibri"/>
      <family val="2"/>
      <scheme val="minor"/>
    </font>
    <font>
      <b/>
      <sz val="8"/>
      <color rgb="FF000000"/>
      <name val="Aptos Narrow"/>
      <charset val="1"/>
    </font>
    <font>
      <b/>
      <sz val="8"/>
      <name val="Calibri"/>
      <family val="2"/>
    </font>
    <font>
      <b/>
      <sz val="8"/>
      <color theme="1"/>
      <name val="Times New Roman"/>
      <family val="1"/>
    </font>
    <font>
      <sz val="11"/>
      <color theme="1"/>
      <name val="Aptos Narrow"/>
      <charset val="1"/>
    </font>
    <font>
      <b/>
      <sz val="9"/>
      <color rgb="FFFFFFFF"/>
      <name val="Times New Roman"/>
      <family val="1"/>
    </font>
    <font>
      <b/>
      <sz val="10"/>
      <color rgb="FFFFFFFF"/>
      <name val="Aptos Narrow"/>
      <family val="2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Times New Roman"/>
      <family val="1"/>
    </font>
    <font>
      <b/>
      <sz val="10"/>
      <color rgb="FF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02B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4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17" fontId="4" fillId="6" borderId="2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4" fontId="4" fillId="6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" fontId="11" fillId="9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readingOrder="1"/>
    </xf>
    <xf numFmtId="0" fontId="2" fillId="0" borderId="8" xfId="0" applyFont="1" applyBorder="1" applyAlignment="1">
      <alignment vertical="center" readingOrder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readingOrder="1"/>
    </xf>
    <xf numFmtId="0" fontId="2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1"/>
    </xf>
    <xf numFmtId="0" fontId="9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4" fontId="12" fillId="8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0" fontId="9" fillId="5" borderId="2" xfId="0" applyNumberFormat="1" applyFont="1" applyFill="1" applyBorder="1" applyAlignment="1">
      <alignment horizontal="center" vertical="center" wrapText="1"/>
    </xf>
    <xf numFmtId="10" fontId="8" fillId="2" borderId="2" xfId="0" applyNumberFormat="1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readingOrder="1"/>
    </xf>
    <xf numFmtId="0" fontId="2" fillId="0" borderId="11" xfId="0" applyFont="1" applyBorder="1" applyAlignment="1">
      <alignment vertical="center" readingOrder="1"/>
    </xf>
    <xf numFmtId="0" fontId="2" fillId="0" borderId="2" xfId="0" applyFont="1" applyBorder="1" applyAlignment="1">
      <alignment readingOrder="1"/>
    </xf>
    <xf numFmtId="10" fontId="9" fillId="7" borderId="2" xfId="0" applyNumberFormat="1" applyFont="1" applyFill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 wrapText="1" readingOrder="1"/>
    </xf>
    <xf numFmtId="0" fontId="13" fillId="13" borderId="6" xfId="0" applyFont="1" applyFill="1" applyBorder="1" applyAlignment="1">
      <alignment horizontal="center" vertical="center" readingOrder="1"/>
    </xf>
    <xf numFmtId="0" fontId="2" fillId="0" borderId="12" xfId="0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 readingOrder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readingOrder="1"/>
    </xf>
    <xf numFmtId="0" fontId="2" fillId="0" borderId="13" xfId="0" applyFont="1" applyBorder="1" applyAlignment="1">
      <alignment vertical="center" readingOrder="1"/>
    </xf>
    <xf numFmtId="0" fontId="2" fillId="0" borderId="6" xfId="0" applyFont="1" applyBorder="1" applyAlignment="1">
      <alignment vertical="center"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3C2D-CA92-4D57-98ED-39CF4CE63D61}">
  <dimension ref="A1:AN36"/>
  <sheetViews>
    <sheetView tabSelected="1" topLeftCell="AB1" workbookViewId="0">
      <pane ySplit="1" topLeftCell="A32" activePane="bottomLeft" state="frozen"/>
      <selection pane="bottomLeft" activeCell="AN18" sqref="AN18"/>
    </sheetView>
  </sheetViews>
  <sheetFormatPr defaultColWidth="9.1796875" defaultRowHeight="14.5" x14ac:dyDescent="0.35"/>
  <cols>
    <col min="1" max="1" width="16.7265625" style="23" customWidth="1"/>
    <col min="2" max="2" width="13.54296875" style="23" customWidth="1"/>
    <col min="3" max="3" width="13.1796875" style="23" customWidth="1"/>
    <col min="4" max="4" width="13.81640625" style="23" customWidth="1"/>
    <col min="5" max="5" width="14" style="23" customWidth="1"/>
    <col min="6" max="6" width="14.7265625" style="23" customWidth="1"/>
    <col min="7" max="7" width="15.54296875" style="23" customWidth="1"/>
    <col min="8" max="8" width="10.453125" style="23" customWidth="1"/>
    <col min="9" max="9" width="9.453125" style="23" customWidth="1"/>
    <col min="10" max="10" width="16.453125" style="23" customWidth="1"/>
    <col min="11" max="11" width="15.1796875" style="23" customWidth="1"/>
    <col min="12" max="12" width="8.81640625" style="23" customWidth="1"/>
    <col min="13" max="26" width="9.1796875" style="23"/>
    <col min="27" max="27" width="12.7265625" style="23" customWidth="1"/>
    <col min="28" max="33" width="9.1796875" style="23"/>
    <col min="34" max="34" width="12.26953125" style="23" customWidth="1"/>
    <col min="35" max="35" width="9.1796875" style="23"/>
    <col min="36" max="38" width="12.26953125" style="23" bestFit="1" customWidth="1"/>
    <col min="39" max="39" width="21.81640625" style="23" customWidth="1"/>
    <col min="40" max="40" width="27.26953125" style="23" customWidth="1"/>
    <col min="41" max="16384" width="9.1796875" style="23"/>
  </cols>
  <sheetData>
    <row r="1" spans="1:40" ht="87" x14ac:dyDescent="0.35">
      <c r="A1" s="3">
        <v>46082</v>
      </c>
      <c r="B1" s="4" t="s">
        <v>0</v>
      </c>
      <c r="C1" s="4" t="s">
        <v>11</v>
      </c>
      <c r="D1" s="4" t="s">
        <v>1</v>
      </c>
      <c r="E1" s="26" t="s">
        <v>38</v>
      </c>
      <c r="F1" s="27" t="s">
        <v>12</v>
      </c>
      <c r="G1" s="28" t="s">
        <v>13</v>
      </c>
      <c r="H1" s="28" t="s">
        <v>14</v>
      </c>
      <c r="I1" s="28" t="s">
        <v>15</v>
      </c>
      <c r="J1" s="27" t="s">
        <v>16</v>
      </c>
      <c r="K1" s="27" t="s">
        <v>17</v>
      </c>
      <c r="L1" s="27" t="s">
        <v>18</v>
      </c>
      <c r="M1" s="27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39</v>
      </c>
      <c r="T1" s="4" t="s">
        <v>25</v>
      </c>
      <c r="U1" s="4" t="s">
        <v>26</v>
      </c>
      <c r="V1" s="4" t="s">
        <v>2</v>
      </c>
      <c r="W1" s="4" t="s">
        <v>43</v>
      </c>
      <c r="X1" s="26" t="s">
        <v>27</v>
      </c>
      <c r="Y1" s="26" t="s">
        <v>28</v>
      </c>
      <c r="Z1" s="4" t="s">
        <v>29</v>
      </c>
      <c r="AA1" s="4" t="s">
        <v>3</v>
      </c>
      <c r="AB1" s="19" t="s">
        <v>30</v>
      </c>
      <c r="AC1" s="19" t="s">
        <v>31</v>
      </c>
      <c r="AD1" s="4" t="s">
        <v>32</v>
      </c>
      <c r="AE1" s="4" t="s">
        <v>6</v>
      </c>
      <c r="AF1" s="4" t="s">
        <v>33</v>
      </c>
      <c r="AG1" s="4" t="s">
        <v>34</v>
      </c>
      <c r="AH1" s="4" t="s">
        <v>35</v>
      </c>
      <c r="AI1" s="4" t="s">
        <v>36</v>
      </c>
      <c r="AJ1" s="40" t="s">
        <v>40</v>
      </c>
      <c r="AK1" s="40" t="s">
        <v>7</v>
      </c>
      <c r="AL1" s="40" t="s">
        <v>41</v>
      </c>
      <c r="AM1" s="5" t="s">
        <v>9</v>
      </c>
      <c r="AN1" s="5" t="s">
        <v>8</v>
      </c>
    </row>
    <row r="2" spans="1:40" ht="29" x14ac:dyDescent="0.35">
      <c r="A2" s="6" t="s">
        <v>44</v>
      </c>
      <c r="B2" s="7">
        <v>6.5811666669999997</v>
      </c>
      <c r="C2" s="7">
        <f>(0)/(10*6000)</f>
        <v>0</v>
      </c>
      <c r="D2" s="7">
        <f>199.8/31</f>
        <v>6.4451612903225808</v>
      </c>
      <c r="E2" s="29">
        <f>(B2-C2)*3159.1</f>
        <v>20790.563617719698</v>
      </c>
      <c r="F2" s="30">
        <v>18096</v>
      </c>
      <c r="G2" s="30">
        <v>17279</v>
      </c>
      <c r="H2" s="37">
        <f>(G2-F2)/F2</f>
        <v>-4.514809902740937E-2</v>
      </c>
      <c r="I2" s="37">
        <f>-(E2-G2)/E2</f>
        <v>-0.16890179998423943</v>
      </c>
      <c r="J2" s="30">
        <v>17838</v>
      </c>
      <c r="K2" s="30">
        <v>17274</v>
      </c>
      <c r="L2" s="37">
        <f>(K2-J2)/J2</f>
        <v>-3.1617894382778337E-2</v>
      </c>
      <c r="M2" s="37">
        <f>-(G2-K2)/G2</f>
        <v>-2.8936859771977545E-4</v>
      </c>
      <c r="N2" s="9">
        <v>17451.455139999998</v>
      </c>
      <c r="O2" s="8">
        <v>17189</v>
      </c>
      <c r="P2" s="37">
        <f>(O2-N2)/N2</f>
        <v>-1.5039155067271843E-2</v>
      </c>
      <c r="Q2" s="37">
        <f>-(K2-O2)/K2</f>
        <v>-4.9206900544170431E-3</v>
      </c>
      <c r="R2" s="9">
        <f>N2*0.9891</f>
        <v>17261.234278974</v>
      </c>
      <c r="S2" s="9">
        <f>5000*3.4</f>
        <v>17000</v>
      </c>
      <c r="T2" s="37">
        <f>(S2-R2)/R2</f>
        <v>-1.5134159860874519E-2</v>
      </c>
      <c r="U2" s="37">
        <f>-(O2-S2)/O2</f>
        <v>-1.0995404037465821E-2</v>
      </c>
      <c r="V2" s="39">
        <v>0.73899999999999999</v>
      </c>
      <c r="W2" s="39">
        <f>(S2/(3159.1*B2*(1-0.0035*(AL2-25))))</f>
        <v>0.87598004208616842</v>
      </c>
      <c r="X2" s="37">
        <f>(H2+L2+P2+T2)</f>
        <v>-0.10693930833833407</v>
      </c>
      <c r="Y2" s="37">
        <f>I2+M2+Q2+U2</f>
        <v>-0.18510726267384206</v>
      </c>
      <c r="Z2" s="31">
        <f>S2-R2</f>
        <v>-261.23427897399961</v>
      </c>
      <c r="AA2" s="10" t="s">
        <v>45</v>
      </c>
      <c r="AB2" s="10">
        <v>0</v>
      </c>
      <c r="AC2" s="10">
        <v>0</v>
      </c>
      <c r="AD2" s="36">
        <f>((12-AB2/60)/12)</f>
        <v>1</v>
      </c>
      <c r="AE2" s="36">
        <f>((12-AC2/60)/12)</f>
        <v>1</v>
      </c>
      <c r="AF2" s="10">
        <f>AH2/(0.9857*0.9784)</f>
        <v>0</v>
      </c>
      <c r="AG2" s="10">
        <f>AH2/(0.9784)</f>
        <v>0</v>
      </c>
      <c r="AH2" s="10">
        <v>0</v>
      </c>
      <c r="AI2" s="34">
        <f>AH2*0.9891</f>
        <v>0</v>
      </c>
      <c r="AJ2" s="44">
        <v>28.844931509999999</v>
      </c>
      <c r="AK2" s="45">
        <v>1.7048219179999999</v>
      </c>
      <c r="AL2" s="46">
        <v>44.015890409999997</v>
      </c>
      <c r="AM2" s="25" t="s">
        <v>46</v>
      </c>
      <c r="AN2" s="11"/>
    </row>
    <row r="3" spans="1:40" ht="29" x14ac:dyDescent="0.35">
      <c r="A3" s="6" t="s">
        <v>47</v>
      </c>
      <c r="B3" s="70" t="s">
        <v>48</v>
      </c>
      <c r="C3" s="7">
        <f t="shared" ref="C3:C32" si="0">(0)/(10*6000)</f>
        <v>0</v>
      </c>
      <c r="D3" s="7">
        <f t="shared" ref="D3:D32" si="1">199.8/31</f>
        <v>6.4451612903225808</v>
      </c>
      <c r="E3" s="70" t="s">
        <v>48</v>
      </c>
      <c r="F3" s="70" t="s">
        <v>48</v>
      </c>
      <c r="G3" s="30">
        <v>17506.495330000002</v>
      </c>
      <c r="H3" s="70" t="s">
        <v>48</v>
      </c>
      <c r="I3" s="70" t="s">
        <v>48</v>
      </c>
      <c r="J3" s="70" t="s">
        <v>48</v>
      </c>
      <c r="K3" s="30">
        <v>17318.900000000001</v>
      </c>
      <c r="L3" s="70" t="s">
        <v>48</v>
      </c>
      <c r="M3" s="37">
        <f t="shared" ref="M3:M32" si="2">-(G3-K3)/G3</f>
        <v>-1.0715755864540598E-2</v>
      </c>
      <c r="N3" s="70" t="s">
        <v>48</v>
      </c>
      <c r="O3" s="10">
        <v>17226</v>
      </c>
      <c r="P3" s="70" t="s">
        <v>48</v>
      </c>
      <c r="Q3" s="37">
        <f t="shared" ref="Q3:Q32" si="3">-(K3-O3)/K3</f>
        <v>-5.3640820144467286E-3</v>
      </c>
      <c r="R3" s="70" t="s">
        <v>48</v>
      </c>
      <c r="S3" s="48">
        <v>17053</v>
      </c>
      <c r="T3" s="70" t="s">
        <v>48</v>
      </c>
      <c r="U3" s="37">
        <f t="shared" ref="U3:U32" si="4">-(O3-S3)/O3</f>
        <v>-1.0042958318820388E-2</v>
      </c>
      <c r="V3" s="39">
        <v>0.73899999999999999</v>
      </c>
      <c r="W3" s="70" t="s">
        <v>48</v>
      </c>
      <c r="X3" s="70" t="s">
        <v>48</v>
      </c>
      <c r="Y3" s="70" t="s">
        <v>48</v>
      </c>
      <c r="Z3" s="70" t="s">
        <v>48</v>
      </c>
      <c r="AA3" s="10" t="s">
        <v>45</v>
      </c>
      <c r="AB3" s="10">
        <v>0</v>
      </c>
      <c r="AC3" s="10">
        <v>0</v>
      </c>
      <c r="AD3" s="36">
        <f>((12-AB3/60)/12)</f>
        <v>1</v>
      </c>
      <c r="AE3" s="36">
        <f>((12-AC3/60)/12)</f>
        <v>1</v>
      </c>
      <c r="AF3" s="70" t="s">
        <v>48</v>
      </c>
      <c r="AG3" s="70" t="s">
        <v>48</v>
      </c>
      <c r="AH3" s="70" t="s">
        <v>48</v>
      </c>
      <c r="AI3" s="70" t="s">
        <v>48</v>
      </c>
      <c r="AJ3" s="70" t="s">
        <v>48</v>
      </c>
      <c r="AK3" s="70" t="s">
        <v>48</v>
      </c>
      <c r="AL3" s="70" t="s">
        <v>48</v>
      </c>
      <c r="AM3" s="25" t="s">
        <v>46</v>
      </c>
      <c r="AN3" s="11"/>
    </row>
    <row r="4" spans="1:40" ht="29" x14ac:dyDescent="0.35">
      <c r="A4" s="6" t="s">
        <v>49</v>
      </c>
      <c r="B4" s="71"/>
      <c r="C4" s="7">
        <f t="shared" si="0"/>
        <v>0</v>
      </c>
      <c r="D4" s="7">
        <f t="shared" si="1"/>
        <v>6.4451612903225808</v>
      </c>
      <c r="E4" s="71"/>
      <c r="F4" s="71"/>
      <c r="G4" s="30">
        <v>17502.304670000001</v>
      </c>
      <c r="H4" s="71"/>
      <c r="I4" s="71"/>
      <c r="J4" s="71"/>
      <c r="K4" s="30">
        <v>17226.400000000001</v>
      </c>
      <c r="L4" s="71"/>
      <c r="M4" s="37">
        <f t="shared" si="2"/>
        <v>-1.5763905108617898E-2</v>
      </c>
      <c r="N4" s="71"/>
      <c r="O4" s="10">
        <v>17140</v>
      </c>
      <c r="P4" s="71"/>
      <c r="Q4" s="37">
        <f t="shared" si="3"/>
        <v>-5.0155575163703062E-3</v>
      </c>
      <c r="R4" s="71"/>
      <c r="S4" s="48">
        <v>16957</v>
      </c>
      <c r="T4" s="71"/>
      <c r="U4" s="37">
        <f t="shared" si="4"/>
        <v>-1.0676779463243875E-2</v>
      </c>
      <c r="V4" s="39">
        <v>0.73899999999999999</v>
      </c>
      <c r="W4" s="71"/>
      <c r="X4" s="71"/>
      <c r="Y4" s="71"/>
      <c r="Z4" s="71"/>
      <c r="AA4" s="10" t="s">
        <v>50</v>
      </c>
      <c r="AB4" s="10">
        <v>115</v>
      </c>
      <c r="AC4" s="10">
        <v>0</v>
      </c>
      <c r="AD4" s="36">
        <f>((12-AB4/60)/12)</f>
        <v>0.84027777777777779</v>
      </c>
      <c r="AE4" s="36">
        <f>((12-AC4/60)/12)</f>
        <v>1</v>
      </c>
      <c r="AF4" s="71"/>
      <c r="AG4" s="71"/>
      <c r="AH4" s="71"/>
      <c r="AI4" s="71"/>
      <c r="AJ4" s="71"/>
      <c r="AK4" s="71"/>
      <c r="AL4" s="71"/>
      <c r="AM4" s="25" t="s">
        <v>46</v>
      </c>
      <c r="AN4" s="11"/>
    </row>
    <row r="5" spans="1:40" ht="29" x14ac:dyDescent="0.35">
      <c r="A5" s="6" t="s">
        <v>51</v>
      </c>
      <c r="B5" s="7">
        <v>7.0335000000000001</v>
      </c>
      <c r="C5" s="7">
        <f t="shared" si="0"/>
        <v>0</v>
      </c>
      <c r="D5" s="7">
        <f t="shared" si="1"/>
        <v>6.4451612903225808</v>
      </c>
      <c r="E5" s="29">
        <f>(B5-C5)*3159.1</f>
        <v>22219.529849999999</v>
      </c>
      <c r="F5" s="30">
        <v>19316.55573</v>
      </c>
      <c r="G5" s="30">
        <v>18276.22033</v>
      </c>
      <c r="H5" s="37">
        <f t="shared" ref="H5:H32" si="5">(G5-F5)/F5</f>
        <v>-5.3857189373791116E-2</v>
      </c>
      <c r="I5" s="37">
        <f t="shared" ref="I5:I32" si="6">-(E5-G5)/E5</f>
        <v>-0.1774704301405369</v>
      </c>
      <c r="J5" s="30">
        <v>19040.328979999998</v>
      </c>
      <c r="K5" s="30">
        <v>18026.8</v>
      </c>
      <c r="L5" s="37">
        <f t="shared" ref="L5:L32" si="7">(K5-J5)/J5</f>
        <v>-5.3230644337322747E-2</v>
      </c>
      <c r="M5" s="37">
        <f t="shared" si="2"/>
        <v>-1.3647259963844003E-2</v>
      </c>
      <c r="N5" s="9">
        <v>18628.232339999999</v>
      </c>
      <c r="O5" s="10">
        <v>17965</v>
      </c>
      <c r="P5" s="37">
        <f t="shared" ref="P5:P32" si="8">(O5-N5)/N5</f>
        <v>-3.5603611115363545E-2</v>
      </c>
      <c r="Q5" s="37">
        <f t="shared" si="3"/>
        <v>-3.4282290811458093E-3</v>
      </c>
      <c r="R5" s="9">
        <f t="shared" ref="R5:R32" si="9">N5*0.9891</f>
        <v>18425.184607493997</v>
      </c>
      <c r="S5" s="9">
        <v>17778</v>
      </c>
      <c r="T5" s="37">
        <f t="shared" ref="T5:T32" si="10">(S5-R5)/R5</f>
        <v>-3.5124999899907111E-2</v>
      </c>
      <c r="U5" s="37">
        <f t="shared" si="4"/>
        <v>-1.0409128861675479E-2</v>
      </c>
      <c r="V5" s="39">
        <v>0.73899999999999999</v>
      </c>
      <c r="W5" s="39">
        <f>(S5/(3159.1*B5*(1-0.0035*(AL5-25))))</f>
        <v>0.85839836042869677</v>
      </c>
      <c r="X5" s="37">
        <f t="shared" ref="X5:X32" si="11">(H5+L5+P5+T5)</f>
        <v>-0.1778164447263845</v>
      </c>
      <c r="Y5" s="37">
        <f t="shared" ref="Y5:Y32" si="12">I5+M5+Q5+U5</f>
        <v>-0.20495504804720219</v>
      </c>
      <c r="Z5" s="31">
        <f t="shared" ref="Z5:Z32" si="13">S5-R5</f>
        <v>-647.18460749399674</v>
      </c>
      <c r="AA5" s="10" t="s">
        <v>45</v>
      </c>
      <c r="AB5" s="10">
        <v>0</v>
      </c>
      <c r="AC5" s="10">
        <v>0</v>
      </c>
      <c r="AD5" s="36">
        <f>((12-AB5/60)/12)</f>
        <v>1</v>
      </c>
      <c r="AE5" s="36">
        <f>((12-AC5/60)/12)</f>
        <v>1</v>
      </c>
      <c r="AF5" s="10">
        <f>AH5/(0.9857*0.9784)</f>
        <v>0</v>
      </c>
      <c r="AG5" s="10">
        <f>AH5/(0.9784)</f>
        <v>0</v>
      </c>
      <c r="AH5" s="10">
        <v>0</v>
      </c>
      <c r="AI5" s="34">
        <f t="shared" ref="AI5:AI32" si="14">AH5*0.9891</f>
        <v>0</v>
      </c>
      <c r="AJ5" s="21">
        <v>30.84767123</v>
      </c>
      <c r="AK5" s="21">
        <v>1.197821918</v>
      </c>
      <c r="AL5" s="21">
        <v>44.402054790000001</v>
      </c>
      <c r="AM5" s="15" t="s">
        <v>46</v>
      </c>
      <c r="AN5" s="11"/>
    </row>
    <row r="6" spans="1:40" ht="29" x14ac:dyDescent="0.35">
      <c r="A6" s="6" t="s">
        <v>52</v>
      </c>
      <c r="B6" s="7">
        <v>7.4954999999999998</v>
      </c>
      <c r="C6" s="7">
        <f t="shared" si="0"/>
        <v>0</v>
      </c>
      <c r="D6" s="7">
        <f t="shared" si="1"/>
        <v>6.4451612903225808</v>
      </c>
      <c r="E6" s="29">
        <f>(B6-C6)*3159.1</f>
        <v>23679.034049999998</v>
      </c>
      <c r="F6" s="30">
        <v>20565.7608</v>
      </c>
      <c r="G6" s="30">
        <v>19561.02333</v>
      </c>
      <c r="H6" s="37">
        <f t="shared" si="5"/>
        <v>-4.8854865121255323E-2</v>
      </c>
      <c r="I6" s="37">
        <f>-(E6-G6)/E6</f>
        <v>-0.17390957381557542</v>
      </c>
      <c r="J6" s="30">
        <v>20271.670419999999</v>
      </c>
      <c r="K6" s="30">
        <v>19310.599999999999</v>
      </c>
      <c r="L6" s="37">
        <f t="shared" si="7"/>
        <v>-4.7409532618082104E-2</v>
      </c>
      <c r="M6" s="37">
        <f t="shared" si="2"/>
        <v>-1.2802158955351618E-2</v>
      </c>
      <c r="N6" s="9">
        <v>19832.923419999999</v>
      </c>
      <c r="O6" s="10">
        <v>19212</v>
      </c>
      <c r="P6" s="37">
        <f t="shared" si="8"/>
        <v>-3.13077102578758E-2</v>
      </c>
      <c r="Q6" s="37">
        <f t="shared" si="3"/>
        <v>-5.1060039563762157E-3</v>
      </c>
      <c r="R6" s="9">
        <f>N6*0.9891</f>
        <v>19616.744554721998</v>
      </c>
      <c r="S6" s="9">
        <v>19000</v>
      </c>
      <c r="T6" s="37">
        <f t="shared" si="10"/>
        <v>-3.1439699538399681E-2</v>
      </c>
      <c r="U6" s="37">
        <f t="shared" si="4"/>
        <v>-1.1034769935457007E-2</v>
      </c>
      <c r="V6" s="39">
        <v>0.73899999999999999</v>
      </c>
      <c r="W6" s="39">
        <f>(S6/(3159.1*B6*(1-0.0035*(AL6-25))))</f>
        <v>0.86135080506763995</v>
      </c>
      <c r="X6" s="37">
        <f t="shared" si="11"/>
        <v>-0.15901180753561289</v>
      </c>
      <c r="Y6" s="37">
        <f t="shared" si="12"/>
        <v>-0.20285250666276028</v>
      </c>
      <c r="Z6" s="31">
        <f t="shared" si="13"/>
        <v>-616.7445547219977</v>
      </c>
      <c r="AA6" s="10" t="s">
        <v>45</v>
      </c>
      <c r="AB6" s="10">
        <v>0</v>
      </c>
      <c r="AC6" s="10">
        <v>0</v>
      </c>
      <c r="AD6" s="36">
        <f>((12-AB6/60)/12)</f>
        <v>1</v>
      </c>
      <c r="AE6" s="36">
        <f>((12-AC6/60)/12)</f>
        <v>1</v>
      </c>
      <c r="AF6" s="10">
        <f t="shared" ref="AF6:AF32" si="15">AH6/(0.9857*0.9784)</f>
        <v>0</v>
      </c>
      <c r="AG6" s="10">
        <f t="shared" ref="AG6:AG32" si="16">AH6/(0.9784)</f>
        <v>0</v>
      </c>
      <c r="AH6" s="10">
        <v>0</v>
      </c>
      <c r="AI6" s="34">
        <f t="shared" si="14"/>
        <v>0</v>
      </c>
      <c r="AJ6" s="49">
        <v>29.80506849</v>
      </c>
      <c r="AK6" s="50">
        <v>2.2267534250000001</v>
      </c>
      <c r="AL6" s="14">
        <v>44.555068489999996</v>
      </c>
      <c r="AM6" s="15" t="s">
        <v>46</v>
      </c>
      <c r="AN6" s="11"/>
    </row>
    <row r="7" spans="1:40" ht="29" x14ac:dyDescent="0.35">
      <c r="A7" s="6" t="s">
        <v>53</v>
      </c>
      <c r="B7" s="7">
        <v>7.4195000000000002</v>
      </c>
      <c r="C7" s="7">
        <f>(442*2+398*10)/(10*6000)</f>
        <v>8.1066666666666662E-2</v>
      </c>
      <c r="D7" s="7">
        <f t="shared" si="1"/>
        <v>6.4451612903225808</v>
      </c>
      <c r="E7" s="29">
        <f>(B7-C7)*3159.1</f>
        <v>23182.844743333335</v>
      </c>
      <c r="F7" s="30">
        <v>20354.012119999999</v>
      </c>
      <c r="G7" s="30">
        <v>19168.500499999998</v>
      </c>
      <c r="H7" s="37">
        <f t="shared" si="5"/>
        <v>-5.8244616000552973E-2</v>
      </c>
      <c r="I7" s="37">
        <f>-(E7-G7)/E7</f>
        <v>-0.17316012283124732</v>
      </c>
      <c r="J7" s="30">
        <v>20062.94974</v>
      </c>
      <c r="K7" s="30">
        <v>19068.7</v>
      </c>
      <c r="L7" s="37">
        <f t="shared" si="7"/>
        <v>-4.9556508533624991E-2</v>
      </c>
      <c r="M7" s="37">
        <f t="shared" si="2"/>
        <v>-5.2064844613170218E-3</v>
      </c>
      <c r="N7" s="9">
        <v>19628.720150000001</v>
      </c>
      <c r="O7" s="10">
        <v>18975</v>
      </c>
      <c r="P7" s="37">
        <f t="shared" si="8"/>
        <v>-3.3304267675343113E-2</v>
      </c>
      <c r="Q7" s="37">
        <f t="shared" si="3"/>
        <v>-4.9138116389686095E-3</v>
      </c>
      <c r="R7" s="9">
        <f t="shared" si="9"/>
        <v>19414.767100364999</v>
      </c>
      <c r="S7" s="9">
        <v>18766</v>
      </c>
      <c r="T7" s="37">
        <f t="shared" si="10"/>
        <v>-3.341616703466932E-2</v>
      </c>
      <c r="U7" s="37">
        <f t="shared" si="4"/>
        <v>-1.1014492753623189E-2</v>
      </c>
      <c r="V7" s="39">
        <v>0.73899999999999999</v>
      </c>
      <c r="W7" s="39">
        <f>(S7/(3159.1*B7*(1-0.0035*(AL7-25))))</f>
        <v>0.86112430765625414</v>
      </c>
      <c r="X7" s="37">
        <f t="shared" si="11"/>
        <v>-0.17452155924419038</v>
      </c>
      <c r="Y7" s="37">
        <f t="shared" si="12"/>
        <v>-0.19429491168515614</v>
      </c>
      <c r="Z7" s="31">
        <f t="shared" si="13"/>
        <v>-648.76710036499935</v>
      </c>
      <c r="AA7" s="10" t="s">
        <v>54</v>
      </c>
      <c r="AB7" s="10">
        <v>0</v>
      </c>
      <c r="AC7" s="10">
        <v>12</v>
      </c>
      <c r="AD7" s="36">
        <f>((12-AB7/60)/12)</f>
        <v>1</v>
      </c>
      <c r="AE7" s="36">
        <f>((12-AC7/60)/12)</f>
        <v>0.98333333333333339</v>
      </c>
      <c r="AF7" s="10">
        <f>AH7/(0.9857*0.9784)</f>
        <v>206.34401458435346</v>
      </c>
      <c r="AG7" s="10">
        <f>AH7/(0.9784)</f>
        <v>203.39329517579722</v>
      </c>
      <c r="AH7" s="10">
        <v>199</v>
      </c>
      <c r="AI7" s="34">
        <f t="shared" si="14"/>
        <v>196.83089999999999</v>
      </c>
      <c r="AJ7" s="13">
        <v>29.123150679999998</v>
      </c>
      <c r="AK7" s="13">
        <v>1.9208767120000001</v>
      </c>
      <c r="AL7" s="13">
        <v>45.070410959999997</v>
      </c>
      <c r="AM7" s="15" t="s">
        <v>46</v>
      </c>
      <c r="AN7" s="11"/>
    </row>
    <row r="8" spans="1:40" ht="29" x14ac:dyDescent="0.35">
      <c r="A8" s="6" t="s">
        <v>55</v>
      </c>
      <c r="B8" s="11">
        <v>7.5821666670000001</v>
      </c>
      <c r="C8" s="7">
        <f t="shared" si="0"/>
        <v>0</v>
      </c>
      <c r="D8" s="7">
        <f t="shared" si="1"/>
        <v>6.4451612903225808</v>
      </c>
      <c r="E8" s="29">
        <f>(B8-C8)*3159.1</f>
        <v>23952.8227177197</v>
      </c>
      <c r="F8" s="30">
        <v>20817.771290000001</v>
      </c>
      <c r="G8" s="30">
        <v>19792.880669999999</v>
      </c>
      <c r="H8" s="37">
        <f t="shared" si="5"/>
        <v>-4.9231524629743492E-2</v>
      </c>
      <c r="I8" s="37">
        <f>-(E8-G8)/E8</f>
        <v>-0.17367230980431717</v>
      </c>
      <c r="J8" s="30">
        <v>20520.077160000001</v>
      </c>
      <c r="K8" s="30">
        <v>19538.5</v>
      </c>
      <c r="L8" s="37">
        <f t="shared" si="7"/>
        <v>-4.7834964378857175E-2</v>
      </c>
      <c r="M8" s="37">
        <f t="shared" si="2"/>
        <v>-1.2852129724884491E-2</v>
      </c>
      <c r="N8" s="9">
        <v>20075.953799999999</v>
      </c>
      <c r="O8" s="10">
        <v>19423</v>
      </c>
      <c r="P8" s="37">
        <f t="shared" si="8"/>
        <v>-3.2524173272405088E-2</v>
      </c>
      <c r="Q8" s="37">
        <f t="shared" si="3"/>
        <v>-5.9114056862092793E-3</v>
      </c>
      <c r="R8" s="9">
        <f t="shared" si="9"/>
        <v>19857.125903579999</v>
      </c>
      <c r="S8" s="9">
        <v>19221</v>
      </c>
      <c r="T8" s="37">
        <f t="shared" si="10"/>
        <v>-3.2035144797330092E-2</v>
      </c>
      <c r="U8" s="37">
        <f t="shared" si="4"/>
        <v>-1.0400041188281934E-2</v>
      </c>
      <c r="V8" s="39">
        <v>0.73899999999999999</v>
      </c>
      <c r="W8" s="39">
        <f>(S8/(3159.1*B8*(1-0.0035*(AL8-25))))</f>
        <v>0.86058579228172793</v>
      </c>
      <c r="X8" s="37">
        <f t="shared" si="11"/>
        <v>-0.16162580707833585</v>
      </c>
      <c r="Y8" s="37">
        <f t="shared" si="12"/>
        <v>-0.20283588640369291</v>
      </c>
      <c r="Z8" s="31">
        <f t="shared" si="13"/>
        <v>-636.12590357999943</v>
      </c>
      <c r="AA8" s="10" t="s">
        <v>45</v>
      </c>
      <c r="AB8" s="10">
        <v>0</v>
      </c>
      <c r="AC8" s="10">
        <v>0</v>
      </c>
      <c r="AD8" s="36">
        <f>((12-AB8/60)/12)</f>
        <v>1</v>
      </c>
      <c r="AE8" s="36">
        <f>((12-AC8/60)/12)</f>
        <v>1</v>
      </c>
      <c r="AF8" s="10">
        <f t="shared" si="15"/>
        <v>0</v>
      </c>
      <c r="AG8" s="10">
        <f t="shared" si="16"/>
        <v>0</v>
      </c>
      <c r="AH8" s="10">
        <v>0</v>
      </c>
      <c r="AI8" s="34">
        <f t="shared" si="14"/>
        <v>0</v>
      </c>
      <c r="AJ8" s="13">
        <v>29.953287670000002</v>
      </c>
      <c r="AK8" s="13">
        <v>2.1380428569999999</v>
      </c>
      <c r="AL8" s="13">
        <v>44.300273969999999</v>
      </c>
      <c r="AM8" s="15" t="s">
        <v>46</v>
      </c>
      <c r="AN8" s="11"/>
    </row>
    <row r="9" spans="1:40" ht="29" x14ac:dyDescent="0.35">
      <c r="A9" s="6" t="s">
        <v>56</v>
      </c>
      <c r="B9" s="7">
        <v>7.4441666670000002</v>
      </c>
      <c r="C9" s="7">
        <f t="shared" si="0"/>
        <v>0</v>
      </c>
      <c r="D9" s="7">
        <f t="shared" si="1"/>
        <v>6.4451612903225808</v>
      </c>
      <c r="E9" s="29">
        <f t="shared" ref="E9:E32" si="17">(B9-C9)*3159.1</f>
        <v>23516.866917719701</v>
      </c>
      <c r="F9" s="30">
        <v>20463</v>
      </c>
      <c r="G9" s="30">
        <v>19258</v>
      </c>
      <c r="H9" s="37">
        <f t="shared" si="5"/>
        <v>-5.8886771245662904E-2</v>
      </c>
      <c r="I9" s="37">
        <f t="shared" si="6"/>
        <v>-0.18109839769985225</v>
      </c>
      <c r="J9" s="30">
        <v>20170</v>
      </c>
      <c r="K9" s="30">
        <v>19146</v>
      </c>
      <c r="L9" s="37">
        <f t="shared" si="7"/>
        <v>-5.0768468021814575E-2</v>
      </c>
      <c r="M9" s="37">
        <f t="shared" si="2"/>
        <v>-5.8157648769342615E-3</v>
      </c>
      <c r="N9" s="9">
        <v>19733.870510000001</v>
      </c>
      <c r="O9" s="10">
        <v>19048.349999999999</v>
      </c>
      <c r="P9" s="37">
        <f t="shared" si="8"/>
        <v>-3.4738269395890656E-2</v>
      </c>
      <c r="Q9" s="37">
        <f t="shared" si="3"/>
        <v>-5.1002820432467068E-3</v>
      </c>
      <c r="R9" s="9">
        <f t="shared" si="9"/>
        <v>19518.771321441</v>
      </c>
      <c r="S9" s="9">
        <v>18842</v>
      </c>
      <c r="T9" s="37">
        <f t="shared" si="10"/>
        <v>-3.4672844427332324E-2</v>
      </c>
      <c r="U9" s="37">
        <f t="shared" si="4"/>
        <v>-1.0832959285187356E-2</v>
      </c>
      <c r="V9" s="39">
        <v>0.73899999999999999</v>
      </c>
      <c r="W9" s="39">
        <f>(S9/(3159.1*B9*(1-0.0035*(AL9-25))))</f>
        <v>0.86021818967153341</v>
      </c>
      <c r="X9" s="37">
        <f t="shared" si="11"/>
        <v>-0.17906635309070046</v>
      </c>
      <c r="Y9" s="37">
        <f t="shared" si="12"/>
        <v>-0.20284740390522055</v>
      </c>
      <c r="Z9" s="31">
        <f t="shared" si="13"/>
        <v>-676.7713214409996</v>
      </c>
      <c r="AA9" s="10" t="s">
        <v>45</v>
      </c>
      <c r="AB9" s="10">
        <v>0</v>
      </c>
      <c r="AC9" s="10">
        <v>0</v>
      </c>
      <c r="AD9" s="36">
        <f>((12-AB9/60)/12)</f>
        <v>1</v>
      </c>
      <c r="AE9" s="36">
        <f>((12-AC9/60)/12)</f>
        <v>1</v>
      </c>
      <c r="AF9" s="10">
        <f t="shared" si="15"/>
        <v>0</v>
      </c>
      <c r="AG9" s="10">
        <f t="shared" si="16"/>
        <v>0</v>
      </c>
      <c r="AH9" s="10">
        <v>0</v>
      </c>
      <c r="AI9" s="34">
        <f t="shared" si="14"/>
        <v>0</v>
      </c>
      <c r="AJ9" s="51">
        <v>30.984246580000001</v>
      </c>
      <c r="AK9" s="51">
        <v>1.4763698629999999</v>
      </c>
      <c r="AL9" s="51">
        <v>44.598356160000002</v>
      </c>
      <c r="AM9" s="15" t="s">
        <v>46</v>
      </c>
      <c r="AN9" s="11"/>
    </row>
    <row r="10" spans="1:40" ht="29" x14ac:dyDescent="0.35">
      <c r="A10" s="6" t="s">
        <v>57</v>
      </c>
      <c r="B10" s="11">
        <v>7.5498333329999996</v>
      </c>
      <c r="C10" s="7">
        <f>(15*7+6847*10+776*7)/(10*6000)</f>
        <v>1.2334499999999999</v>
      </c>
      <c r="D10" s="7">
        <f t="shared" si="1"/>
        <v>6.4451612903225808</v>
      </c>
      <c r="E10" s="29">
        <f t="shared" si="17"/>
        <v>19954.086587280297</v>
      </c>
      <c r="F10" s="30">
        <v>20703.387521934419</v>
      </c>
      <c r="G10" s="30">
        <v>16352.130333333331</v>
      </c>
      <c r="H10" s="37">
        <f t="shared" si="5"/>
        <v>-0.21017126709293846</v>
      </c>
      <c r="I10" s="37">
        <f t="shared" si="6"/>
        <v>-0.18051220927561915</v>
      </c>
      <c r="J10" s="30">
        <v>20407.329080370771</v>
      </c>
      <c r="K10" s="30">
        <v>16158.2</v>
      </c>
      <c r="L10" s="37">
        <f t="shared" si="7"/>
        <v>-0.20821583577332944</v>
      </c>
      <c r="M10" s="37">
        <f t="shared" si="2"/>
        <v>-1.1859637208126262E-2</v>
      </c>
      <c r="N10" s="10">
        <v>19965.645970000001</v>
      </c>
      <c r="O10" s="8">
        <v>16068</v>
      </c>
      <c r="P10" s="37">
        <f t="shared" si="8"/>
        <v>-0.19521762410575294</v>
      </c>
      <c r="Q10" s="37">
        <f t="shared" si="3"/>
        <v>-5.5823049597109034E-3</v>
      </c>
      <c r="R10" s="9">
        <f t="shared" si="9"/>
        <v>19748.020428927</v>
      </c>
      <c r="S10" s="9">
        <v>15883</v>
      </c>
      <c r="T10" s="37">
        <f t="shared" si="10"/>
        <v>-0.19571685389111199</v>
      </c>
      <c r="U10" s="37">
        <f t="shared" si="4"/>
        <v>-1.1513567338810057E-2</v>
      </c>
      <c r="V10" s="39">
        <v>0.73899999999999999</v>
      </c>
      <c r="W10" s="39">
        <f>(S10/(3159.1*B10*(1-0.0035*(AL10-25))))</f>
        <v>0.71600480680036693</v>
      </c>
      <c r="X10" s="37">
        <f t="shared" si="11"/>
        <v>-0.80932158086313288</v>
      </c>
      <c r="Y10" s="37">
        <f t="shared" si="12"/>
        <v>-0.20946771878226639</v>
      </c>
      <c r="Z10" s="31">
        <f t="shared" si="13"/>
        <v>-3865.0204289270005</v>
      </c>
      <c r="AA10" s="10" t="s">
        <v>58</v>
      </c>
      <c r="AB10" s="10">
        <v>0</v>
      </c>
      <c r="AC10" s="10">
        <v>0</v>
      </c>
      <c r="AD10" s="36">
        <f>((12-AB10/60)/12)</f>
        <v>1</v>
      </c>
      <c r="AE10" s="36">
        <f>((12-AC10/60)/12)</f>
        <v>1</v>
      </c>
      <c r="AF10" s="10">
        <f t="shared" si="15"/>
        <v>3499.5253538105126</v>
      </c>
      <c r="AG10" s="10">
        <f t="shared" si="16"/>
        <v>3449.4821412510219</v>
      </c>
      <c r="AH10" s="10">
        <v>3374.9733270000002</v>
      </c>
      <c r="AI10" s="34">
        <f>AH10*0.9891</f>
        <v>3338.1861177357</v>
      </c>
      <c r="AJ10" s="43">
        <v>31.50164384</v>
      </c>
      <c r="AK10" s="43">
        <v>1.511465753</v>
      </c>
      <c r="AL10" s="43">
        <v>44.979863010000003</v>
      </c>
      <c r="AM10" s="25" t="s">
        <v>59</v>
      </c>
      <c r="AN10" s="11"/>
    </row>
    <row r="11" spans="1:40" ht="29" x14ac:dyDescent="0.35">
      <c r="A11" s="6" t="s">
        <v>60</v>
      </c>
      <c r="B11" s="7">
        <v>7.204166667</v>
      </c>
      <c r="C11" s="7">
        <f t="shared" si="0"/>
        <v>0</v>
      </c>
      <c r="D11" s="7">
        <f t="shared" si="1"/>
        <v>6.4451612903225808</v>
      </c>
      <c r="E11" s="29">
        <f t="shared" si="17"/>
        <v>22758.6829177197</v>
      </c>
      <c r="F11" s="30">
        <v>19760.542053222813</v>
      </c>
      <c r="G11" s="30">
        <v>18847.209833333334</v>
      </c>
      <c r="H11" s="37">
        <f t="shared" si="5"/>
        <v>-4.6219998288990261E-2</v>
      </c>
      <c r="I11" s="37">
        <f t="shared" si="6"/>
        <v>-0.17186728680774971</v>
      </c>
      <c r="J11" s="30">
        <v>19477.966301861736</v>
      </c>
      <c r="K11" s="30">
        <v>18623.899999999991</v>
      </c>
      <c r="L11" s="37">
        <f t="shared" si="7"/>
        <v>-4.3847816996177479E-2</v>
      </c>
      <c r="M11" s="37">
        <f t="shared" si="2"/>
        <v>-1.184842930641097E-2</v>
      </c>
      <c r="N11" s="9">
        <v>19056.397720000001</v>
      </c>
      <c r="O11" s="11">
        <v>18543.650000000001</v>
      </c>
      <c r="P11" s="37">
        <f t="shared" si="8"/>
        <v>-2.6906854460843996E-2</v>
      </c>
      <c r="Q11" s="37">
        <f t="shared" si="3"/>
        <v>-4.3089793222681142E-3</v>
      </c>
      <c r="R11" s="9">
        <f t="shared" si="9"/>
        <v>18848.682984851999</v>
      </c>
      <c r="S11" s="9">
        <v>18333</v>
      </c>
      <c r="T11" s="37">
        <f t="shared" si="10"/>
        <v>-2.7359099055697146E-2</v>
      </c>
      <c r="U11" s="37">
        <f t="shared" si="4"/>
        <v>-1.1359683773151533E-2</v>
      </c>
      <c r="V11" s="39">
        <v>0.73899999999999999</v>
      </c>
      <c r="W11" s="39">
        <f>(S11/(3159.1*B11*(1-0.0035*(AL11-25))))</f>
        <v>0.86469732968963364</v>
      </c>
      <c r="X11" s="37">
        <f t="shared" si="11"/>
        <v>-0.14433376880170889</v>
      </c>
      <c r="Y11" s="37">
        <f t="shared" si="12"/>
        <v>-0.19938437920958033</v>
      </c>
      <c r="Z11" s="31">
        <f t="shared" si="13"/>
        <v>-515.68298485199921</v>
      </c>
      <c r="AA11" s="24" t="s">
        <v>10</v>
      </c>
      <c r="AB11" s="10">
        <v>0</v>
      </c>
      <c r="AC11" s="10">
        <v>0</v>
      </c>
      <c r="AD11" s="36">
        <f>((12-AB11/60)/12)</f>
        <v>1</v>
      </c>
      <c r="AE11" s="36">
        <f>((12-AC11/60)/12)</f>
        <v>1</v>
      </c>
      <c r="AF11" s="10">
        <f t="shared" si="15"/>
        <v>0</v>
      </c>
      <c r="AG11" s="10">
        <f t="shared" si="16"/>
        <v>0</v>
      </c>
      <c r="AH11" s="10">
        <v>0</v>
      </c>
      <c r="AI11" s="34">
        <f t="shared" si="14"/>
        <v>0</v>
      </c>
      <c r="AJ11" s="42">
        <v>31.765753419999999</v>
      </c>
      <c r="AK11" s="42">
        <v>1.6286164380000001</v>
      </c>
      <c r="AL11" s="42">
        <v>44.547260270000002</v>
      </c>
      <c r="AM11" s="25" t="s">
        <v>42</v>
      </c>
      <c r="AN11" s="11"/>
    </row>
    <row r="12" spans="1:40" ht="29" x14ac:dyDescent="0.35">
      <c r="A12" s="6" t="s">
        <v>61</v>
      </c>
      <c r="B12" s="9">
        <v>7.1778333329999997</v>
      </c>
      <c r="C12" s="7">
        <f t="shared" si="0"/>
        <v>0</v>
      </c>
      <c r="D12" s="7">
        <f t="shared" si="1"/>
        <v>6.4451612903225808</v>
      </c>
      <c r="E12" s="29">
        <f t="shared" si="17"/>
        <v>22675.493282280298</v>
      </c>
      <c r="F12" s="30">
        <v>19701.071957890526</v>
      </c>
      <c r="G12" s="30">
        <v>18732.594666666675</v>
      </c>
      <c r="H12" s="37">
        <f t="shared" si="5"/>
        <v>-4.9158608896708492E-2</v>
      </c>
      <c r="I12" s="37">
        <f t="shared" si="6"/>
        <v>-0.17388369754649574</v>
      </c>
      <c r="J12" s="30">
        <v>19419.346628892687</v>
      </c>
      <c r="K12" s="30">
        <v>18592.7</v>
      </c>
      <c r="L12" s="37">
        <f t="shared" si="7"/>
        <v>-4.256819988283108E-2</v>
      </c>
      <c r="M12" s="37">
        <f t="shared" si="2"/>
        <v>-7.4679812997612638E-3</v>
      </c>
      <c r="N12" s="9">
        <v>18996.579849999998</v>
      </c>
      <c r="O12" s="8">
        <v>18516</v>
      </c>
      <c r="P12" s="37">
        <f t="shared" si="8"/>
        <v>-2.5298230196947706E-2</v>
      </c>
      <c r="Q12" s="37">
        <f t="shared" si="3"/>
        <v>-4.1252749735111484E-3</v>
      </c>
      <c r="R12" s="9">
        <f t="shared" si="9"/>
        <v>18789.517129634998</v>
      </c>
      <c r="S12" s="9">
        <v>18308</v>
      </c>
      <c r="T12" s="37">
        <f t="shared" si="10"/>
        <v>-2.5626902826339528E-2</v>
      </c>
      <c r="U12" s="37">
        <f t="shared" si="4"/>
        <v>-1.123352775977533E-2</v>
      </c>
      <c r="V12" s="39">
        <v>0.73899999999999999</v>
      </c>
      <c r="W12" s="39">
        <f>(S12/(3159.1*B12*(1-0.0035*(AL12-25))))</f>
        <v>0.86790738915782772</v>
      </c>
      <c r="X12" s="37">
        <f t="shared" si="11"/>
        <v>-0.14265194180282681</v>
      </c>
      <c r="Y12" s="37">
        <f t="shared" si="12"/>
        <v>-0.19671048157954346</v>
      </c>
      <c r="Z12" s="31">
        <f t="shared" si="13"/>
        <v>-481.51712963499813</v>
      </c>
      <c r="AA12" s="10" t="s">
        <v>10</v>
      </c>
      <c r="AB12" s="10">
        <v>0</v>
      </c>
      <c r="AC12" s="10">
        <v>0</v>
      </c>
      <c r="AD12" s="36">
        <f>((12-AB12/60)/12)</f>
        <v>1</v>
      </c>
      <c r="AE12" s="36">
        <f>((12-AC12/60)/12)</f>
        <v>1</v>
      </c>
      <c r="AF12" s="10">
        <f t="shared" si="15"/>
        <v>0</v>
      </c>
      <c r="AG12" s="10">
        <f t="shared" si="16"/>
        <v>0</v>
      </c>
      <c r="AH12" s="10">
        <v>0</v>
      </c>
      <c r="AI12" s="34">
        <f t="shared" si="14"/>
        <v>0</v>
      </c>
      <c r="AJ12" s="42">
        <v>32.288904109999997</v>
      </c>
      <c r="AK12" s="42">
        <v>1.6666849319999999</v>
      </c>
      <c r="AL12" s="42">
        <v>44.921780820000002</v>
      </c>
      <c r="AM12" s="25" t="s">
        <v>62</v>
      </c>
      <c r="AN12" s="11"/>
    </row>
    <row r="13" spans="1:40" ht="29" x14ac:dyDescent="0.35">
      <c r="A13" s="6" t="s">
        <v>63</v>
      </c>
      <c r="B13" s="9">
        <v>7.2690000000000001</v>
      </c>
      <c r="C13" s="7">
        <f t="shared" si="0"/>
        <v>0</v>
      </c>
      <c r="D13" s="7">
        <f t="shared" si="1"/>
        <v>6.4451612903225808</v>
      </c>
      <c r="E13" s="29">
        <f t="shared" si="17"/>
        <v>22963.497899999998</v>
      </c>
      <c r="F13" s="30">
        <v>19961.401860214093</v>
      </c>
      <c r="G13" s="30">
        <v>19274.538499999999</v>
      </c>
      <c r="H13" s="37">
        <f t="shared" si="5"/>
        <v>-3.4409575290556653E-2</v>
      </c>
      <c r="I13" s="37">
        <f t="shared" si="6"/>
        <v>-0.16064448961845659</v>
      </c>
      <c r="J13" s="30">
        <v>19675.953813613029</v>
      </c>
      <c r="K13" s="30">
        <v>18915.499999999989</v>
      </c>
      <c r="L13" s="37">
        <f t="shared" si="7"/>
        <v>-3.8648891983417394E-2</v>
      </c>
      <c r="M13" s="37">
        <f t="shared" si="2"/>
        <v>-1.8627605532553201E-2</v>
      </c>
      <c r="N13" s="9">
        <v>19250.100119999999</v>
      </c>
      <c r="O13" s="11">
        <v>18840.349999999999</v>
      </c>
      <c r="P13" s="37">
        <f t="shared" si="8"/>
        <v>-2.1285609812194611E-2</v>
      </c>
      <c r="Q13" s="37">
        <f t="shared" si="3"/>
        <v>-3.9729322513277782E-3</v>
      </c>
      <c r="R13" s="9">
        <f t="shared" si="9"/>
        <v>19040.274028691998</v>
      </c>
      <c r="S13" s="9">
        <v>18627</v>
      </c>
      <c r="T13" s="37">
        <f t="shared" si="10"/>
        <v>-2.1705256346060502E-2</v>
      </c>
      <c r="U13" s="37">
        <f t="shared" si="4"/>
        <v>-1.1324099605368189E-2</v>
      </c>
      <c r="V13" s="39">
        <v>0.73899999999999999</v>
      </c>
      <c r="W13" s="39">
        <f>(S13/(3159.1*B13*(1-0.0035*(AL13-25))))</f>
        <v>0.87185260090046712</v>
      </c>
      <c r="X13" s="37">
        <f t="shared" si="11"/>
        <v>-0.11604933343222917</v>
      </c>
      <c r="Y13" s="37">
        <f t="shared" si="12"/>
        <v>-0.19456912700770573</v>
      </c>
      <c r="Z13" s="31">
        <f t="shared" si="13"/>
        <v>-413.27402869199796</v>
      </c>
      <c r="AA13" s="10" t="s">
        <v>64</v>
      </c>
      <c r="AB13" s="10">
        <v>0</v>
      </c>
      <c r="AC13" s="10">
        <v>0</v>
      </c>
      <c r="AD13" s="36">
        <f>((12-AB13/60)/12)</f>
        <v>1</v>
      </c>
      <c r="AE13" s="36">
        <f>((12-AC13/60)/12)</f>
        <v>1</v>
      </c>
      <c r="AF13" s="10">
        <f t="shared" si="15"/>
        <v>0</v>
      </c>
      <c r="AG13" s="10">
        <f t="shared" si="16"/>
        <v>0</v>
      </c>
      <c r="AH13" s="10">
        <v>0</v>
      </c>
      <c r="AI13" s="34">
        <f t="shared" si="14"/>
        <v>0</v>
      </c>
      <c r="AJ13" s="42">
        <v>30.99191781</v>
      </c>
      <c r="AK13" s="42">
        <v>1.8813150679999999</v>
      </c>
      <c r="AL13" s="42">
        <v>44.890547949999998</v>
      </c>
      <c r="AM13" s="15" t="s">
        <v>65</v>
      </c>
      <c r="AN13" s="11"/>
    </row>
    <row r="14" spans="1:40" ht="29" x14ac:dyDescent="0.35">
      <c r="A14" s="6" t="s">
        <v>66</v>
      </c>
      <c r="B14" s="11">
        <v>7.1318333330000003</v>
      </c>
      <c r="C14" s="7">
        <f t="shared" si="0"/>
        <v>0</v>
      </c>
      <c r="D14" s="7">
        <f t="shared" si="1"/>
        <v>6.4451612903225808</v>
      </c>
      <c r="E14" s="29">
        <f t="shared" si="17"/>
        <v>22530.1746822803</v>
      </c>
      <c r="F14" s="30">
        <v>19589.446193491825</v>
      </c>
      <c r="G14" s="30">
        <v>18806.937333333331</v>
      </c>
      <c r="H14" s="37">
        <f t="shared" si="5"/>
        <v>-3.9945430433784582E-2</v>
      </c>
      <c r="I14" s="37">
        <f t="shared" si="6"/>
        <v>-0.1652555917320627</v>
      </c>
      <c r="J14" s="30">
        <v>19309.317112924895</v>
      </c>
      <c r="K14" s="30">
        <v>18357.7</v>
      </c>
      <c r="L14" s="37">
        <f t="shared" si="7"/>
        <v>-4.9282794795882205E-2</v>
      </c>
      <c r="M14" s="37">
        <f t="shared" si="2"/>
        <v>-2.3886788442534154E-2</v>
      </c>
      <c r="N14" s="30">
        <v>18891.398659999999</v>
      </c>
      <c r="O14" s="30">
        <v>18288.650000000001</v>
      </c>
      <c r="P14" s="37">
        <f t="shared" si="8"/>
        <v>-3.1905983820892887E-2</v>
      </c>
      <c r="Q14" s="37">
        <f t="shared" si="3"/>
        <v>-3.7613644410791802E-3</v>
      </c>
      <c r="R14" s="9">
        <f t="shared" si="9"/>
        <v>18685.482414605998</v>
      </c>
      <c r="S14" s="9">
        <v>18077</v>
      </c>
      <c r="T14" s="37">
        <f t="shared" si="10"/>
        <v>-3.2564447687492504E-2</v>
      </c>
      <c r="U14" s="37">
        <f t="shared" si="4"/>
        <v>-1.1572751405926705E-2</v>
      </c>
      <c r="V14" s="39">
        <v>0.73899999999999999</v>
      </c>
      <c r="W14" s="39">
        <f>(S14/(3159.1*B14*(1-0.0035*(AL14-25))))</f>
        <v>0.86363099126205245</v>
      </c>
      <c r="X14" s="37">
        <f t="shared" si="11"/>
        <v>-0.15369865673805216</v>
      </c>
      <c r="Y14" s="37">
        <f t="shared" si="12"/>
        <v>-0.20447649602160273</v>
      </c>
      <c r="Z14" s="31">
        <f t="shared" si="13"/>
        <v>-608.4824146059982</v>
      </c>
      <c r="AA14" s="10" t="s">
        <v>64</v>
      </c>
      <c r="AB14" s="10">
        <v>0</v>
      </c>
      <c r="AC14" s="10">
        <v>0</v>
      </c>
      <c r="AD14" s="36">
        <f>((12-AB14/60)/12)</f>
        <v>1</v>
      </c>
      <c r="AE14" s="36">
        <f>((12-AC14/60)/12)</f>
        <v>1</v>
      </c>
      <c r="AF14" s="10">
        <f t="shared" si="15"/>
        <v>0</v>
      </c>
      <c r="AG14" s="10">
        <f t="shared" si="16"/>
        <v>0</v>
      </c>
      <c r="AH14" s="10">
        <v>0</v>
      </c>
      <c r="AI14" s="34">
        <f t="shared" si="14"/>
        <v>0</v>
      </c>
      <c r="AJ14" s="42">
        <v>31.57465753</v>
      </c>
      <c r="AK14" s="42">
        <v>1.9481780820000001</v>
      </c>
      <c r="AL14" s="42">
        <v>45.27479452</v>
      </c>
      <c r="AM14" s="15" t="s">
        <v>65</v>
      </c>
      <c r="AN14" s="11"/>
    </row>
    <row r="15" spans="1:40" ht="29" x14ac:dyDescent="0.35">
      <c r="A15" s="6" t="s">
        <v>67</v>
      </c>
      <c r="B15" s="9">
        <v>6.1648333329999998</v>
      </c>
      <c r="C15" s="7">
        <f t="shared" si="0"/>
        <v>0</v>
      </c>
      <c r="D15" s="7">
        <f t="shared" si="1"/>
        <v>6.4451612903225808</v>
      </c>
      <c r="E15" s="29">
        <f t="shared" si="17"/>
        <v>19475.324982280297</v>
      </c>
      <c r="F15" s="30">
        <v>16951.337236815878</v>
      </c>
      <c r="G15" s="30">
        <v>16704.308666666671</v>
      </c>
      <c r="H15" s="37">
        <f t="shared" si="5"/>
        <v>-1.4572807248073381E-2</v>
      </c>
      <c r="I15" s="37">
        <f t="shared" si="6"/>
        <v>-0.14228344421132105</v>
      </c>
      <c r="J15" s="30">
        <v>16708.933114329411</v>
      </c>
      <c r="K15" s="30">
        <v>16557</v>
      </c>
      <c r="L15" s="37">
        <f t="shared" si="7"/>
        <v>-9.0929273155755767E-3</v>
      </c>
      <c r="M15" s="37">
        <f t="shared" si="2"/>
        <v>-8.8186030087329947E-3</v>
      </c>
      <c r="N15" s="53">
        <v>16347.29571</v>
      </c>
      <c r="O15" s="54">
        <v>16489</v>
      </c>
      <c r="P15" s="37">
        <f t="shared" si="8"/>
        <v>8.6683627991947336E-3</v>
      </c>
      <c r="Q15" s="37">
        <f t="shared" si="3"/>
        <v>-4.107024219363411E-3</v>
      </c>
      <c r="R15" s="9">
        <f t="shared" si="9"/>
        <v>16169.110186761</v>
      </c>
      <c r="S15" s="9">
        <v>16309</v>
      </c>
      <c r="T15" s="37">
        <f t="shared" si="10"/>
        <v>8.6516704768045856E-3</v>
      </c>
      <c r="U15" s="37">
        <f t="shared" si="4"/>
        <v>-1.0916368488082964E-2</v>
      </c>
      <c r="V15" s="39">
        <v>0.73899999999999999</v>
      </c>
      <c r="W15" s="39">
        <f>(S15/(3159.1*B15*(1-0.0035*(AL15-25))))</f>
        <v>0.90063185519389821</v>
      </c>
      <c r="X15" s="37">
        <f t="shared" si="11"/>
        <v>-6.3457012876496389E-3</v>
      </c>
      <c r="Y15" s="37">
        <f t="shared" si="12"/>
        <v>-0.16612543992750042</v>
      </c>
      <c r="Z15" s="31">
        <f t="shared" si="13"/>
        <v>139.88981323900043</v>
      </c>
      <c r="AA15" s="10" t="s">
        <v>64</v>
      </c>
      <c r="AB15" s="10">
        <v>0</v>
      </c>
      <c r="AC15" s="10">
        <v>0</v>
      </c>
      <c r="AD15" s="36">
        <f>((12-AB15/60)/12)</f>
        <v>1</v>
      </c>
      <c r="AE15" s="36">
        <f>((12-AC15/60)/12)</f>
        <v>1</v>
      </c>
      <c r="AF15" s="10">
        <f t="shared" si="15"/>
        <v>0</v>
      </c>
      <c r="AG15" s="10">
        <f t="shared" si="16"/>
        <v>0</v>
      </c>
      <c r="AH15" s="10">
        <v>0</v>
      </c>
      <c r="AI15" s="34">
        <f t="shared" si="14"/>
        <v>0</v>
      </c>
      <c r="AJ15" s="42">
        <v>30.55944444</v>
      </c>
      <c r="AK15" s="42">
        <v>2.8086111109999998</v>
      </c>
      <c r="AL15" s="42">
        <v>45.053611109999999</v>
      </c>
      <c r="AM15" s="25" t="s">
        <v>68</v>
      </c>
      <c r="AN15" s="11"/>
    </row>
    <row r="16" spans="1:40" ht="43.5" x14ac:dyDescent="0.35">
      <c r="A16" s="6" t="s">
        <v>69</v>
      </c>
      <c r="B16" s="9">
        <v>6.9859999999999998</v>
      </c>
      <c r="C16" s="7">
        <f>(943*3+7638*10+576*1)/(10*6000)</f>
        <v>1.32975</v>
      </c>
      <c r="D16" s="7">
        <f t="shared" si="1"/>
        <v>6.4451612903225808</v>
      </c>
      <c r="E16" s="29">
        <f t="shared" si="17"/>
        <v>17868.659374999999</v>
      </c>
      <c r="F16" s="30">
        <v>19192.653747392433</v>
      </c>
      <c r="G16" s="30">
        <v>14916.155666666662</v>
      </c>
      <c r="H16" s="37">
        <f t="shared" si="5"/>
        <v>-0.22281952964981655</v>
      </c>
      <c r="I16" s="37">
        <f t="shared" si="6"/>
        <v>-0.16523364435857893</v>
      </c>
      <c r="J16" s="30">
        <v>18918.198798804715</v>
      </c>
      <c r="K16" s="30">
        <v>15176.900000000003</v>
      </c>
      <c r="L16" s="37">
        <f t="shared" si="7"/>
        <v>-0.19776189258784474</v>
      </c>
      <c r="M16" s="37">
        <f t="shared" si="2"/>
        <v>1.7480665873984558E-2</v>
      </c>
      <c r="N16" s="9">
        <v>18508.745459999998</v>
      </c>
      <c r="O16" s="8">
        <v>15110</v>
      </c>
      <c r="P16" s="37">
        <f t="shared" si="8"/>
        <v>-0.18362916424266384</v>
      </c>
      <c r="Q16" s="37">
        <f t="shared" si="3"/>
        <v>-4.4080148119842169E-3</v>
      </c>
      <c r="R16" s="9">
        <f t="shared" si="9"/>
        <v>18307.000134485999</v>
      </c>
      <c r="S16" s="9">
        <v>15110</v>
      </c>
      <c r="T16" s="37">
        <f t="shared" si="10"/>
        <v>-0.17463266023927193</v>
      </c>
      <c r="U16" s="37">
        <f t="shared" si="4"/>
        <v>0</v>
      </c>
      <c r="V16" s="39">
        <v>0.73899999999999999</v>
      </c>
      <c r="W16" s="39">
        <f>(S16/(3159.1*B16*(1-0.0035*(AL16-25))))</f>
        <v>0.73738840451648768</v>
      </c>
      <c r="X16" s="37">
        <f t="shared" si="11"/>
        <v>-0.77884324671959704</v>
      </c>
      <c r="Y16" s="37">
        <f t="shared" si="12"/>
        <v>-0.15216099329657859</v>
      </c>
      <c r="Z16" s="31">
        <f t="shared" si="13"/>
        <v>-3197.0001344859993</v>
      </c>
      <c r="AA16" s="10" t="s">
        <v>70</v>
      </c>
      <c r="AB16" s="10">
        <v>0</v>
      </c>
      <c r="AC16" s="10">
        <v>94</v>
      </c>
      <c r="AD16" s="36">
        <f>((12-AB16/60)/12)</f>
        <v>1</v>
      </c>
      <c r="AE16" s="36">
        <f>((12-AC16/60)/12)</f>
        <v>0.86944444444444446</v>
      </c>
      <c r="AF16" s="10">
        <f t="shared" si="15"/>
        <v>3228.1456305130664</v>
      </c>
      <c r="AG16" s="10">
        <f t="shared" si="16"/>
        <v>3181.9831479967293</v>
      </c>
      <c r="AH16" s="10">
        <v>3113.2523120000001</v>
      </c>
      <c r="AI16" s="34">
        <f t="shared" si="14"/>
        <v>3079.3178617991998</v>
      </c>
      <c r="AJ16" s="55">
        <v>29.89547945</v>
      </c>
      <c r="AK16" s="56">
        <v>2.4018356160000001</v>
      </c>
      <c r="AL16" s="2">
        <v>45.432054790000002</v>
      </c>
      <c r="AM16" s="25" t="s">
        <v>71</v>
      </c>
      <c r="AN16" s="11"/>
    </row>
    <row r="17" spans="1:40" ht="58" x14ac:dyDescent="0.35">
      <c r="A17" s="6" t="s">
        <v>72</v>
      </c>
      <c r="B17" s="9">
        <v>7.1876666670000002</v>
      </c>
      <c r="C17" s="7">
        <f t="shared" si="0"/>
        <v>0</v>
      </c>
      <c r="D17" s="7">
        <f t="shared" si="1"/>
        <v>6.4451612903225808</v>
      </c>
      <c r="E17" s="29">
        <f t="shared" si="17"/>
        <v>22706.5577677197</v>
      </c>
      <c r="F17" s="30">
        <v>19750.420790296062</v>
      </c>
      <c r="G17" s="30">
        <v>18941.483333333337</v>
      </c>
      <c r="H17" s="37">
        <f t="shared" si="5"/>
        <v>-4.0957985936187193E-2</v>
      </c>
      <c r="I17" s="37">
        <f t="shared" si="6"/>
        <v>-0.16581440801823785</v>
      </c>
      <c r="J17" s="30">
        <v>19467.989772994828</v>
      </c>
      <c r="K17" s="30">
        <v>18822.499999999996</v>
      </c>
      <c r="L17" s="37">
        <f t="shared" si="7"/>
        <v>-3.3156467643630456E-2</v>
      </c>
      <c r="M17" s="37">
        <f t="shared" si="2"/>
        <v>-6.2816270109085524E-3</v>
      </c>
      <c r="N17" s="9">
        <v>19046.637119999999</v>
      </c>
      <c r="O17" s="8">
        <v>18744</v>
      </c>
      <c r="P17" s="37">
        <f t="shared" si="8"/>
        <v>-1.5889267910827894E-2</v>
      </c>
      <c r="Q17" s="37">
        <f t="shared" si="3"/>
        <v>-4.1705405764375812E-3</v>
      </c>
      <c r="R17" s="9">
        <f t="shared" si="9"/>
        <v>18839.028775391998</v>
      </c>
      <c r="S17" s="9">
        <v>18519</v>
      </c>
      <c r="T17" s="37">
        <f t="shared" si="10"/>
        <v>-1.6987541088637637E-2</v>
      </c>
      <c r="U17" s="37">
        <f t="shared" si="4"/>
        <v>-1.2003841229193343E-2</v>
      </c>
      <c r="V17" s="39">
        <v>0.73899999999999999</v>
      </c>
      <c r="W17" s="39">
        <f>(S17/(3159.1*B17*(1-0.0035*(AL17-25))))</f>
        <v>0.87503718423335308</v>
      </c>
      <c r="X17" s="37">
        <f t="shared" si="11"/>
        <v>-0.10699126257928318</v>
      </c>
      <c r="Y17" s="37">
        <f t="shared" si="12"/>
        <v>-0.18827041683477735</v>
      </c>
      <c r="Z17" s="31">
        <f t="shared" si="13"/>
        <v>-320.02877539199835</v>
      </c>
      <c r="AA17" s="10" t="s">
        <v>64</v>
      </c>
      <c r="AB17" s="10">
        <v>0</v>
      </c>
      <c r="AC17" s="10">
        <v>0</v>
      </c>
      <c r="AD17" s="36">
        <f>((12-AB17/60)/12)</f>
        <v>1</v>
      </c>
      <c r="AE17" s="36">
        <f>((12-AC17/60)/12)</f>
        <v>1</v>
      </c>
      <c r="AF17" s="10">
        <f t="shared" si="15"/>
        <v>0</v>
      </c>
      <c r="AG17" s="10">
        <f t="shared" si="16"/>
        <v>0</v>
      </c>
      <c r="AH17" s="10">
        <v>0</v>
      </c>
      <c r="AI17" s="34">
        <f t="shared" si="14"/>
        <v>0</v>
      </c>
      <c r="AJ17" s="21">
        <v>30.027260269999999</v>
      </c>
      <c r="AK17" s="21">
        <v>2.374520548</v>
      </c>
      <c r="AL17" s="21">
        <v>44.413972600000001</v>
      </c>
      <c r="AM17" s="25" t="s">
        <v>73</v>
      </c>
      <c r="AN17" s="11"/>
    </row>
    <row r="18" spans="1:40" ht="86.25" customHeight="1" x14ac:dyDescent="0.35">
      <c r="A18" s="6" t="s">
        <v>74</v>
      </c>
      <c r="B18" s="9">
        <v>6.5093333329999998</v>
      </c>
      <c r="C18" s="7">
        <f>(684*2+980*1+1081*4+1572*10+792*8+555*2)/(10*6000)</f>
        <v>0.49730000000000002</v>
      </c>
      <c r="D18" s="7">
        <f t="shared" si="1"/>
        <v>6.4451612903225808</v>
      </c>
      <c r="E18" s="29">
        <f t="shared" si="17"/>
        <v>18992.614502280299</v>
      </c>
      <c r="F18" s="30">
        <v>17905.157705546906</v>
      </c>
      <c r="G18" s="30">
        <v>13202.08033333333</v>
      </c>
      <c r="H18" s="37">
        <f>(G18-F18)/F18</f>
        <v>-0.26266606804343268</v>
      </c>
      <c r="I18" s="37">
        <f t="shared" si="6"/>
        <v>-0.30488346763694613</v>
      </c>
      <c r="J18" s="30">
        <v>17649.113950357576</v>
      </c>
      <c r="K18" s="30">
        <v>15484.199999999999</v>
      </c>
      <c r="L18" s="37">
        <f t="shared" si="7"/>
        <v>-0.12266417206251395</v>
      </c>
      <c r="M18" s="37">
        <f t="shared" si="2"/>
        <v>0.1728606105285278</v>
      </c>
      <c r="N18" s="9">
        <v>17267.12787</v>
      </c>
      <c r="O18" s="8">
        <v>15493</v>
      </c>
      <c r="P18" s="37">
        <f t="shared" si="8"/>
        <v>-0.10274597393133222</v>
      </c>
      <c r="Q18" s="37">
        <f t="shared" si="3"/>
        <v>5.6832125650670313E-4</v>
      </c>
      <c r="R18" s="9">
        <f t="shared" si="9"/>
        <v>17078.916176217001</v>
      </c>
      <c r="S18" s="9">
        <f>5000*3.07</f>
        <v>15350</v>
      </c>
      <c r="T18" s="37">
        <f t="shared" si="10"/>
        <v>-0.10123102416912017</v>
      </c>
      <c r="U18" s="37">
        <f t="shared" si="4"/>
        <v>-9.2299748273413796E-3</v>
      </c>
      <c r="V18" s="39">
        <v>0.73899999999999999</v>
      </c>
      <c r="W18" s="39">
        <f>(S18/(3159.1*B18*(1-0.0035*(AL18-25))))</f>
        <v>0.80029004499068002</v>
      </c>
      <c r="X18" s="37">
        <f t="shared" si="11"/>
        <v>-0.58930723820639908</v>
      </c>
      <c r="Y18" s="37">
        <f t="shared" si="12"/>
        <v>-0.140684510679253</v>
      </c>
      <c r="Z18" s="31">
        <f t="shared" si="13"/>
        <v>-1728.9161762170006</v>
      </c>
      <c r="AA18" s="8" t="s">
        <v>75</v>
      </c>
      <c r="AB18" s="10">
        <v>0</v>
      </c>
      <c r="AC18" s="10">
        <v>37</v>
      </c>
      <c r="AD18" s="36">
        <f>((12-AB18/60)/12)</f>
        <v>1</v>
      </c>
      <c r="AE18" s="36">
        <f>((12-AC18/60)/12)</f>
        <v>0.94861111111111107</v>
      </c>
      <c r="AF18" s="10">
        <f t="shared" si="15"/>
        <v>1628.5417612496476</v>
      </c>
      <c r="AG18" s="10">
        <f t="shared" si="16"/>
        <v>1605.2536140637776</v>
      </c>
      <c r="AH18" s="10">
        <v>1570.580136</v>
      </c>
      <c r="AI18" s="34">
        <f t="shared" si="14"/>
        <v>1553.4608125176001</v>
      </c>
      <c r="AJ18" s="47">
        <v>28.68136986</v>
      </c>
      <c r="AK18" s="47">
        <v>1.6257534250000001</v>
      </c>
      <c r="AL18" s="47">
        <v>44.216849320000001</v>
      </c>
      <c r="AM18" s="25" t="s">
        <v>76</v>
      </c>
      <c r="AN18" s="11" t="s">
        <v>77</v>
      </c>
    </row>
    <row r="19" spans="1:40" ht="29" x14ac:dyDescent="0.35">
      <c r="A19" s="6" t="s">
        <v>78</v>
      </c>
      <c r="B19" s="9">
        <v>5.5149999999999997</v>
      </c>
      <c r="C19" s="7">
        <f t="shared" si="0"/>
        <v>0</v>
      </c>
      <c r="D19" s="7">
        <f t="shared" si="1"/>
        <v>6.4451612903225808</v>
      </c>
      <c r="E19" s="29">
        <f t="shared" si="17"/>
        <v>17422.4365</v>
      </c>
      <c r="F19" s="30">
        <v>15185.664849999999</v>
      </c>
      <c r="G19" s="30">
        <v>14972.1255</v>
      </c>
      <c r="H19" s="37">
        <f t="shared" si="5"/>
        <v>-1.4061903256082931E-2</v>
      </c>
      <c r="I19" s="37">
        <f t="shared" si="6"/>
        <v>-0.14064112100509019</v>
      </c>
      <c r="J19" s="30">
        <v>14968.509840000001</v>
      </c>
      <c r="K19" s="20">
        <v>14909.4</v>
      </c>
      <c r="L19" s="37">
        <f t="shared" si="7"/>
        <v>-3.9489461965040188E-3</v>
      </c>
      <c r="M19" s="37">
        <f t="shared" si="2"/>
        <v>-4.189485320571249E-3</v>
      </c>
      <c r="N19" s="9">
        <v>14644.54104</v>
      </c>
      <c r="O19" s="18">
        <v>14849</v>
      </c>
      <c r="P19" s="37">
        <f t="shared" si="8"/>
        <v>1.3961445390575377E-2</v>
      </c>
      <c r="Q19" s="37">
        <f t="shared" si="3"/>
        <v>-4.0511355252390866E-3</v>
      </c>
      <c r="R19" s="9">
        <f t="shared" si="9"/>
        <v>14484.915542663999</v>
      </c>
      <c r="S19" s="9">
        <f>5000*2.93</f>
        <v>14650</v>
      </c>
      <c r="T19" s="37">
        <f t="shared" si="10"/>
        <v>1.1396991363170858E-2</v>
      </c>
      <c r="U19" s="37">
        <f t="shared" si="4"/>
        <v>-1.3401575863694525E-2</v>
      </c>
      <c r="V19" s="39">
        <v>0.73899999999999999</v>
      </c>
      <c r="W19" s="39">
        <f>(S19/(3159.1*B19*(1-0.0035*(AL19-25))))</f>
        <v>0.90282694913381589</v>
      </c>
      <c r="X19" s="37">
        <f t="shared" si="11"/>
        <v>7.3475873011592859E-3</v>
      </c>
      <c r="Y19" s="37">
        <f t="shared" si="12"/>
        <v>-0.16228331771459506</v>
      </c>
      <c r="Z19" s="31">
        <f t="shared" si="13"/>
        <v>165.08445733600092</v>
      </c>
      <c r="AA19" s="10" t="s">
        <v>64</v>
      </c>
      <c r="AB19" s="10">
        <v>0</v>
      </c>
      <c r="AC19" s="10">
        <v>0</v>
      </c>
      <c r="AD19" s="36">
        <f>((12-AB19/60)/12)</f>
        <v>1</v>
      </c>
      <c r="AE19" s="36">
        <f>((12-AC19/60)/12)</f>
        <v>1</v>
      </c>
      <c r="AF19" s="10">
        <f t="shared" si="15"/>
        <v>0</v>
      </c>
      <c r="AG19" s="10">
        <f t="shared" si="16"/>
        <v>0</v>
      </c>
      <c r="AH19" s="10">
        <v>0</v>
      </c>
      <c r="AI19" s="34">
        <f t="shared" si="14"/>
        <v>0</v>
      </c>
      <c r="AJ19" s="1">
        <v>29.75305556</v>
      </c>
      <c r="AK19" s="1">
        <v>2.6836527779999999</v>
      </c>
      <c r="AL19" s="1">
        <v>44.607361109999999</v>
      </c>
      <c r="AM19" s="15" t="s">
        <v>79</v>
      </c>
      <c r="AN19" s="57"/>
    </row>
    <row r="20" spans="1:40" ht="58" x14ac:dyDescent="0.35">
      <c r="A20" s="6" t="s">
        <v>80</v>
      </c>
      <c r="B20" s="9">
        <v>5.292166667</v>
      </c>
      <c r="C20" s="7">
        <f t="shared" si="0"/>
        <v>0</v>
      </c>
      <c r="D20" s="7">
        <f t="shared" si="1"/>
        <v>6.4451612903225808</v>
      </c>
      <c r="E20" s="29">
        <f t="shared" si="17"/>
        <v>16718.483717719701</v>
      </c>
      <c r="F20" s="30">
        <v>14592.405129999999</v>
      </c>
      <c r="G20" s="30">
        <v>14459.46233</v>
      </c>
      <c r="H20" s="37">
        <f t="shared" si="5"/>
        <v>-9.1104104371860263E-3</v>
      </c>
      <c r="I20" s="37">
        <f t="shared" si="6"/>
        <v>-0.13512118837220827</v>
      </c>
      <c r="J20" s="30">
        <v>14383.73374</v>
      </c>
      <c r="K20" s="30">
        <v>14210.4</v>
      </c>
      <c r="L20" s="37">
        <f t="shared" si="7"/>
        <v>-1.2050677740090039E-2</v>
      </c>
      <c r="M20" s="37">
        <f t="shared" si="2"/>
        <v>-1.7224868001022044E-2</v>
      </c>
      <c r="N20" s="9">
        <v>14072.42145</v>
      </c>
      <c r="O20" s="18">
        <v>14127.35</v>
      </c>
      <c r="P20" s="37">
        <f t="shared" si="8"/>
        <v>3.9032763618659632E-3</v>
      </c>
      <c r="Q20" s="37">
        <f t="shared" si="3"/>
        <v>-5.8443112086921743E-3</v>
      </c>
      <c r="R20" s="9">
        <f t="shared" si="9"/>
        <v>13919.032056194999</v>
      </c>
      <c r="S20" s="9">
        <f>5000*2.8</f>
        <v>14000</v>
      </c>
      <c r="T20" s="37">
        <f t="shared" si="10"/>
        <v>5.8170671263713314E-3</v>
      </c>
      <c r="U20" s="37">
        <f t="shared" si="4"/>
        <v>-9.0144294577539572E-3</v>
      </c>
      <c r="V20" s="39">
        <v>0.73899999999999999</v>
      </c>
      <c r="W20" s="39">
        <f>(S20/(3159.1*B20*(1-0.0035*(AL20-25))))</f>
        <v>0.88367506213588554</v>
      </c>
      <c r="X20" s="37">
        <f t="shared" si="11"/>
        <v>-1.1440744689038766E-2</v>
      </c>
      <c r="Y20" s="37">
        <f t="shared" si="12"/>
        <v>-0.16720479703967644</v>
      </c>
      <c r="Z20" s="31">
        <f t="shared" si="13"/>
        <v>80.967943805000687</v>
      </c>
      <c r="AA20" s="10" t="s">
        <v>64</v>
      </c>
      <c r="AB20" s="10">
        <v>0</v>
      </c>
      <c r="AC20" s="10">
        <v>0</v>
      </c>
      <c r="AD20" s="36">
        <f>((12-AB20/60)/12)</f>
        <v>1</v>
      </c>
      <c r="AE20" s="36">
        <f>((12-AC20/60)/12)</f>
        <v>1</v>
      </c>
      <c r="AF20" s="10">
        <f t="shared" si="15"/>
        <v>0</v>
      </c>
      <c r="AG20" s="10">
        <f t="shared" si="16"/>
        <v>0</v>
      </c>
      <c r="AH20" s="10">
        <v>0</v>
      </c>
      <c r="AI20" s="34">
        <f t="shared" si="14"/>
        <v>0</v>
      </c>
      <c r="AJ20" s="17">
        <v>21.358493150000001</v>
      </c>
      <c r="AK20" s="17">
        <v>2.8813561640000001</v>
      </c>
      <c r="AL20" s="17">
        <v>39.963013699999998</v>
      </c>
      <c r="AM20" s="41" t="s">
        <v>81</v>
      </c>
      <c r="AN20" s="35"/>
    </row>
    <row r="21" spans="1:40" ht="174" x14ac:dyDescent="0.35">
      <c r="A21" s="6" t="s">
        <v>82</v>
      </c>
      <c r="B21" s="41" t="s">
        <v>83</v>
      </c>
      <c r="C21" s="7">
        <f t="shared" si="0"/>
        <v>0</v>
      </c>
      <c r="D21" s="7">
        <f t="shared" si="1"/>
        <v>6.4451612903225808</v>
      </c>
      <c r="E21" s="41" t="s">
        <v>83</v>
      </c>
      <c r="F21" s="41" t="s">
        <v>83</v>
      </c>
      <c r="G21" s="30">
        <v>19601.634669999999</v>
      </c>
      <c r="H21" s="41" t="s">
        <v>83</v>
      </c>
      <c r="I21" s="41" t="s">
        <v>83</v>
      </c>
      <c r="J21" s="41" t="s">
        <v>83</v>
      </c>
      <c r="K21" s="30">
        <v>19258.599999999999</v>
      </c>
      <c r="L21" s="41" t="s">
        <v>83</v>
      </c>
      <c r="M21" s="37">
        <f t="shared" si="2"/>
        <v>-1.7500309324967177E-2</v>
      </c>
      <c r="N21" s="41" t="s">
        <v>83</v>
      </c>
      <c r="O21" s="8">
        <v>19144</v>
      </c>
      <c r="P21" s="41" t="s">
        <v>83</v>
      </c>
      <c r="Q21" s="37">
        <f t="shared" si="3"/>
        <v>-5.9505883085997193E-3</v>
      </c>
      <c r="R21" s="41" t="s">
        <v>83</v>
      </c>
      <c r="S21" s="9">
        <f>5000*3.78</f>
        <v>18900</v>
      </c>
      <c r="T21" s="41" t="s">
        <v>83</v>
      </c>
      <c r="U21" s="37">
        <f t="shared" si="4"/>
        <v>-1.2745507730881738E-2</v>
      </c>
      <c r="V21" s="39">
        <v>0.73899999999999999</v>
      </c>
      <c r="W21" s="41" t="s">
        <v>83</v>
      </c>
      <c r="X21" s="41" t="s">
        <v>83</v>
      </c>
      <c r="Y21" s="41" t="s">
        <v>83</v>
      </c>
      <c r="Z21" s="41" t="s">
        <v>83</v>
      </c>
      <c r="AA21" s="10" t="s">
        <v>64</v>
      </c>
      <c r="AB21" s="10">
        <v>0</v>
      </c>
      <c r="AC21" s="10">
        <v>0</v>
      </c>
      <c r="AD21" s="36">
        <f>((12-AB21/60)/12)</f>
        <v>1</v>
      </c>
      <c r="AE21" s="36">
        <f>((12-AC21/60)/12)</f>
        <v>1</v>
      </c>
      <c r="AF21" s="10">
        <f t="shared" si="15"/>
        <v>0</v>
      </c>
      <c r="AG21" s="10">
        <f t="shared" si="16"/>
        <v>0</v>
      </c>
      <c r="AH21" s="10">
        <v>0</v>
      </c>
      <c r="AI21" s="34">
        <f t="shared" si="14"/>
        <v>0</v>
      </c>
      <c r="AJ21" s="11" t="s">
        <v>83</v>
      </c>
      <c r="AK21" s="11" t="s">
        <v>83</v>
      </c>
      <c r="AL21" s="11" t="s">
        <v>83</v>
      </c>
      <c r="AM21" s="15" t="s">
        <v>84</v>
      </c>
      <c r="AN21" s="58" t="s">
        <v>83</v>
      </c>
    </row>
    <row r="22" spans="1:40" ht="174" x14ac:dyDescent="0.35">
      <c r="A22" s="6" t="s">
        <v>85</v>
      </c>
      <c r="B22" s="41" t="s">
        <v>83</v>
      </c>
      <c r="C22" s="7">
        <f t="shared" si="0"/>
        <v>0</v>
      </c>
      <c r="D22" s="7">
        <f t="shared" si="1"/>
        <v>6.4451612903225808</v>
      </c>
      <c r="E22" s="59" t="s">
        <v>83</v>
      </c>
      <c r="F22" s="59" t="s">
        <v>83</v>
      </c>
      <c r="G22" s="30">
        <v>16134.591333333337</v>
      </c>
      <c r="H22" s="59" t="s">
        <v>83</v>
      </c>
      <c r="I22" s="59" t="s">
        <v>83</v>
      </c>
      <c r="J22" s="59" t="s">
        <v>83</v>
      </c>
      <c r="K22" s="60">
        <v>16137.9</v>
      </c>
      <c r="L22" s="59" t="s">
        <v>83</v>
      </c>
      <c r="M22" s="37">
        <f t="shared" si="2"/>
        <v>2.0506665451307043E-4</v>
      </c>
      <c r="N22" s="59" t="s">
        <v>83</v>
      </c>
      <c r="O22" s="8">
        <v>16078</v>
      </c>
      <c r="P22" s="59" t="s">
        <v>83</v>
      </c>
      <c r="Q22" s="37">
        <f t="shared" si="3"/>
        <v>-3.7117592747507194E-3</v>
      </c>
      <c r="R22" s="41" t="s">
        <v>83</v>
      </c>
      <c r="S22" s="9">
        <v>15895</v>
      </c>
      <c r="T22" s="59" t="s">
        <v>83</v>
      </c>
      <c r="U22" s="37">
        <f t="shared" si="4"/>
        <v>-1.1382012688145291E-2</v>
      </c>
      <c r="V22" s="39">
        <v>0.73899999999999999</v>
      </c>
      <c r="W22" s="59" t="s">
        <v>83</v>
      </c>
      <c r="X22" s="59" t="s">
        <v>83</v>
      </c>
      <c r="Y22" s="59" t="s">
        <v>83</v>
      </c>
      <c r="Z22" s="59" t="s">
        <v>83</v>
      </c>
      <c r="AA22" s="10" t="s">
        <v>5</v>
      </c>
      <c r="AB22" s="10">
        <v>0</v>
      </c>
      <c r="AC22" s="10">
        <v>0</v>
      </c>
      <c r="AD22" s="36">
        <f>((12-AB22/60)/12)</f>
        <v>1</v>
      </c>
      <c r="AE22" s="36">
        <f>((12-AC22/60)/12)</f>
        <v>1</v>
      </c>
      <c r="AF22" s="10">
        <f t="shared" si="15"/>
        <v>0</v>
      </c>
      <c r="AG22" s="10">
        <f t="shared" si="16"/>
        <v>0</v>
      </c>
      <c r="AH22" s="10">
        <v>0</v>
      </c>
      <c r="AI22" s="34">
        <f t="shared" si="14"/>
        <v>0</v>
      </c>
      <c r="AJ22" s="59" t="s">
        <v>83</v>
      </c>
      <c r="AK22" s="59" t="s">
        <v>83</v>
      </c>
      <c r="AL22" s="59" t="s">
        <v>83</v>
      </c>
      <c r="AM22" s="15" t="s">
        <v>84</v>
      </c>
      <c r="AN22" s="59" t="s">
        <v>83</v>
      </c>
    </row>
    <row r="23" spans="1:40" ht="43.5" x14ac:dyDescent="0.35">
      <c r="A23" s="6" t="s">
        <v>86</v>
      </c>
      <c r="B23" s="61">
        <v>6.5961666670000003</v>
      </c>
      <c r="C23" s="62">
        <f>(755*6+5468*10)/(10*6000)</f>
        <v>0.98683333333333334</v>
      </c>
      <c r="D23" s="62">
        <f t="shared" si="1"/>
        <v>6.4451612903225808</v>
      </c>
      <c r="E23" s="59">
        <f t="shared" si="17"/>
        <v>17720.444934386367</v>
      </c>
      <c r="F23" s="25">
        <v>18029.392640535301</v>
      </c>
      <c r="G23" s="25">
        <v>14589.035666666667</v>
      </c>
      <c r="H23" s="37">
        <f t="shared" si="5"/>
        <v>-0.19081934940690762</v>
      </c>
      <c r="I23" s="37">
        <f t="shared" si="6"/>
        <v>-0.17671166154768655</v>
      </c>
      <c r="J23" s="25">
        <v>17771.572325775607</v>
      </c>
      <c r="K23" s="25">
        <v>14483.500000000002</v>
      </c>
      <c r="L23" s="37">
        <f t="shared" si="7"/>
        <v>-0.185018650319794</v>
      </c>
      <c r="M23" s="37">
        <f t="shared" si="2"/>
        <v>-7.2339028485477576E-3</v>
      </c>
      <c r="N23" s="25">
        <v>17386.935839999998</v>
      </c>
      <c r="O23" s="25">
        <v>14416</v>
      </c>
      <c r="P23" s="37">
        <f t="shared" si="8"/>
        <v>-0.17087173193364694</v>
      </c>
      <c r="Q23" s="37">
        <f t="shared" si="3"/>
        <v>-4.6604757137433499E-3</v>
      </c>
      <c r="R23" s="61">
        <f t="shared" si="9"/>
        <v>17197.418239343999</v>
      </c>
      <c r="S23" s="9">
        <f>5000*2.85</f>
        <v>14250</v>
      </c>
      <c r="T23" s="37">
        <f t="shared" si="10"/>
        <v>-0.17138725117476872</v>
      </c>
      <c r="U23" s="37">
        <f t="shared" si="4"/>
        <v>-1.1514983351831298E-2</v>
      </c>
      <c r="V23" s="39">
        <v>0.73899999999999999</v>
      </c>
      <c r="W23" s="39">
        <f>(S23/(3159.1*B23*(1-0.0035*(AL23-25))))</f>
        <v>0.73767002221252653</v>
      </c>
      <c r="X23" s="37">
        <f t="shared" si="11"/>
        <v>-0.71809698283511725</v>
      </c>
      <c r="Y23" s="37">
        <f t="shared" si="12"/>
        <v>-0.20012102346180893</v>
      </c>
      <c r="Z23" s="31">
        <f t="shared" si="13"/>
        <v>-2947.4182393439987</v>
      </c>
      <c r="AA23" s="63" t="s">
        <v>87</v>
      </c>
      <c r="AB23" s="10">
        <v>0</v>
      </c>
      <c r="AC23" s="10">
        <v>156</v>
      </c>
      <c r="AD23" s="36">
        <f>((12-AB23/60)/12)</f>
        <v>1</v>
      </c>
      <c r="AE23" s="36">
        <f>((12-AC23/60)/12)</f>
        <v>0.78333333333333333</v>
      </c>
      <c r="AF23" s="10">
        <f t="shared" si="15"/>
        <v>2676.1216539192378</v>
      </c>
      <c r="AG23" s="10">
        <f t="shared" si="16"/>
        <v>2637.8531142681927</v>
      </c>
      <c r="AH23" s="10">
        <v>2580.8754869999998</v>
      </c>
      <c r="AI23" s="34">
        <f t="shared" si="14"/>
        <v>2552.7439441916999</v>
      </c>
      <c r="AJ23" s="64">
        <v>27.98630137</v>
      </c>
      <c r="AK23" s="65">
        <v>1.5784383559999999</v>
      </c>
      <c r="AL23" s="66">
        <v>45.846164379999998</v>
      </c>
      <c r="AM23" s="25" t="s">
        <v>88</v>
      </c>
      <c r="AN23" s="11" t="s">
        <v>89</v>
      </c>
    </row>
    <row r="24" spans="1:40" ht="43.5" x14ac:dyDescent="0.35">
      <c r="A24" s="6" t="s">
        <v>90</v>
      </c>
      <c r="B24" s="9">
        <v>7.0979999999999999</v>
      </c>
      <c r="C24" s="7">
        <f>(105*5+10069*10+947*1)/(10*6000)</f>
        <v>1.7027000000000001</v>
      </c>
      <c r="D24" s="7">
        <f t="shared" si="1"/>
        <v>6.4451612903225808</v>
      </c>
      <c r="E24" s="29">
        <f t="shared" si="17"/>
        <v>17044.292229999999</v>
      </c>
      <c r="F24" s="30">
        <v>19190.494632690705</v>
      </c>
      <c r="G24" s="30">
        <v>14044.598499999998</v>
      </c>
      <c r="H24" s="37">
        <f t="shared" si="5"/>
        <v>-0.26814817602068231</v>
      </c>
      <c r="I24" s="37">
        <f t="shared" si="6"/>
        <v>-0.17599403304762518</v>
      </c>
      <c r="J24" s="30">
        <v>18916.070559443226</v>
      </c>
      <c r="K24" s="30">
        <v>13666.500000000004</v>
      </c>
      <c r="L24" s="37">
        <f t="shared" si="7"/>
        <v>-0.27751908320211605</v>
      </c>
      <c r="M24" s="37">
        <f t="shared" si="2"/>
        <v>-2.6921275108006446E-2</v>
      </c>
      <c r="N24" s="9">
        <v>18506.66329</v>
      </c>
      <c r="O24" s="8">
        <v>13590</v>
      </c>
      <c r="P24" s="37">
        <f t="shared" si="8"/>
        <v>-0.26566989483494302</v>
      </c>
      <c r="Q24" s="37">
        <f t="shared" si="3"/>
        <v>-5.5976292393812325E-3</v>
      </c>
      <c r="R24" s="9">
        <f t="shared" si="9"/>
        <v>18304.940660139</v>
      </c>
      <c r="S24" s="9">
        <v>13434</v>
      </c>
      <c r="T24" s="37">
        <f t="shared" si="10"/>
        <v>-0.26609977877426305</v>
      </c>
      <c r="U24" s="37">
        <f t="shared" si="4"/>
        <v>-1.1479028697571744E-2</v>
      </c>
      <c r="V24" s="39">
        <v>0.73899999999999999</v>
      </c>
      <c r="W24" s="39">
        <f>(S24/(3159.1*B24*(1-0.0035*(AL24-25))))</f>
        <v>0.65327039857158231</v>
      </c>
      <c r="X24" s="37">
        <f t="shared" si="11"/>
        <v>-1.0774369328320046</v>
      </c>
      <c r="Y24" s="37">
        <f t="shared" si="12"/>
        <v>-0.21999196609258462</v>
      </c>
      <c r="Z24" s="31">
        <f t="shared" si="13"/>
        <v>-4870.9406601390001</v>
      </c>
      <c r="AA24" s="8" t="s">
        <v>91</v>
      </c>
      <c r="AB24" s="10">
        <v>0</v>
      </c>
      <c r="AC24" s="10">
        <v>196</v>
      </c>
      <c r="AD24" s="36">
        <f>((12-AB24/60)/12)</f>
        <v>1</v>
      </c>
      <c r="AE24" s="36">
        <f>((12-AC24/60)/12)</f>
        <v>0.72777777777777786</v>
      </c>
      <c r="AF24" s="10">
        <f t="shared" si="15"/>
        <v>4681.7968878511356</v>
      </c>
      <c r="AG24" s="10">
        <f t="shared" si="16"/>
        <v>4614.847192354865</v>
      </c>
      <c r="AH24" s="10">
        <v>4515.1664929999997</v>
      </c>
      <c r="AI24" s="34">
        <f>AH24*0.9891</f>
        <v>4465.9511782262998</v>
      </c>
      <c r="AJ24" s="64">
        <v>28.893287669999999</v>
      </c>
      <c r="AK24" s="65">
        <v>1.5083561640000001</v>
      </c>
      <c r="AL24" s="66">
        <v>48.687945210000002</v>
      </c>
      <c r="AM24" s="25" t="s">
        <v>92</v>
      </c>
      <c r="AN24" s="11"/>
    </row>
    <row r="25" spans="1:40" ht="31.5" x14ac:dyDescent="0.35">
      <c r="A25" s="6" t="s">
        <v>93</v>
      </c>
      <c r="B25" s="9">
        <v>6.8825000000000003</v>
      </c>
      <c r="C25" s="7">
        <f>(998*4+987*1+255*1+104*10)/(10*6000)</f>
        <v>0.10456666666666667</v>
      </c>
      <c r="D25" s="7">
        <f t="shared" si="1"/>
        <v>6.4451612903225808</v>
      </c>
      <c r="E25" s="29">
        <f t="shared" si="17"/>
        <v>21412.169193333331</v>
      </c>
      <c r="F25" s="30">
        <v>18695</v>
      </c>
      <c r="G25" s="30">
        <v>16949</v>
      </c>
      <c r="H25" s="37">
        <f t="shared" si="5"/>
        <v>-9.339395560310243E-2</v>
      </c>
      <c r="I25" s="37">
        <f t="shared" si="6"/>
        <v>-0.20844077743991193</v>
      </c>
      <c r="J25" s="30">
        <v>18427</v>
      </c>
      <c r="K25" s="30">
        <v>16232</v>
      </c>
      <c r="L25" s="37">
        <f t="shared" si="7"/>
        <v>-0.1191186845389917</v>
      </c>
      <c r="M25" s="37">
        <f t="shared" si="2"/>
        <v>-4.2303380730426575E-2</v>
      </c>
      <c r="N25" s="9">
        <v>18028.394779999999</v>
      </c>
      <c r="O25" s="8">
        <v>16163.65</v>
      </c>
      <c r="P25" s="37">
        <f t="shared" si="8"/>
        <v>-0.10343376671941279</v>
      </c>
      <c r="Q25" s="37">
        <f t="shared" si="3"/>
        <v>-4.2108181370133294E-3</v>
      </c>
      <c r="R25" s="9">
        <f t="shared" si="9"/>
        <v>17831.885276898</v>
      </c>
      <c r="S25" s="9">
        <v>15989</v>
      </c>
      <c r="T25" s="37">
        <f t="shared" si="10"/>
        <v>-0.10334775309964221</v>
      </c>
      <c r="U25" s="37">
        <f t="shared" si="4"/>
        <v>-1.0805108994564943E-2</v>
      </c>
      <c r="V25" s="39">
        <v>0.73899999999999999</v>
      </c>
      <c r="W25" s="39">
        <f>(S25/(3159.1*B25*(1-0.0035*(AL25-25))))</f>
        <v>0.79916299041267358</v>
      </c>
      <c r="X25" s="37">
        <f t="shared" si="11"/>
        <v>-0.41929415996114916</v>
      </c>
      <c r="Y25" s="37">
        <f t="shared" si="12"/>
        <v>-0.2657600853019168</v>
      </c>
      <c r="Z25" s="31">
        <f t="shared" si="13"/>
        <v>-1842.8852768979996</v>
      </c>
      <c r="AA25" s="8" t="s">
        <v>94</v>
      </c>
      <c r="AB25" s="10">
        <v>0</v>
      </c>
      <c r="AC25" s="10">
        <f>5+10</f>
        <v>15</v>
      </c>
      <c r="AD25" s="36">
        <f>((12-AB25/60)/12)</f>
        <v>1</v>
      </c>
      <c r="AE25" s="36">
        <f>((12-AC25/60)/12)</f>
        <v>0.97916666666666663</v>
      </c>
      <c r="AF25" s="10">
        <f t="shared" si="15"/>
        <v>326.62494770890123</v>
      </c>
      <c r="AG25" s="10">
        <f t="shared" si="16"/>
        <v>321.95421095666393</v>
      </c>
      <c r="AH25" s="10">
        <f>270+45</f>
        <v>315</v>
      </c>
      <c r="AI25" s="34">
        <f t="shared" si="14"/>
        <v>311.56650000000002</v>
      </c>
      <c r="AJ25" s="49">
        <v>29.9509589</v>
      </c>
      <c r="AK25" s="50">
        <v>1.2041232879999999</v>
      </c>
      <c r="AL25" s="14">
        <v>47.803561639999998</v>
      </c>
      <c r="AM25" s="25" t="s">
        <v>95</v>
      </c>
      <c r="AN25" s="11" t="s">
        <v>96</v>
      </c>
    </row>
    <row r="26" spans="1:40" ht="29" x14ac:dyDescent="0.35">
      <c r="A26" s="6" t="s">
        <v>97</v>
      </c>
      <c r="B26" s="11">
        <v>6.0881666670000003</v>
      </c>
      <c r="C26" s="7">
        <f t="shared" si="0"/>
        <v>0</v>
      </c>
      <c r="D26" s="7">
        <f t="shared" si="1"/>
        <v>6.4451612903225808</v>
      </c>
      <c r="E26" s="29">
        <f t="shared" si="17"/>
        <v>19233.1273177197</v>
      </c>
      <c r="F26" s="30">
        <v>16540</v>
      </c>
      <c r="G26" s="30">
        <v>16222</v>
      </c>
      <c r="H26" s="37">
        <f t="shared" si="5"/>
        <v>-1.9226118500604596E-2</v>
      </c>
      <c r="I26" s="37">
        <f t="shared" si="6"/>
        <v>-0.1565594231233271</v>
      </c>
      <c r="J26" s="30">
        <v>16303</v>
      </c>
      <c r="K26" s="30">
        <v>15692</v>
      </c>
      <c r="L26" s="37">
        <f t="shared" si="7"/>
        <v>-3.7477764828559162E-2</v>
      </c>
      <c r="M26" s="37">
        <f t="shared" si="2"/>
        <v>-3.2671680433978549E-2</v>
      </c>
      <c r="N26" s="11">
        <v>15950.21054</v>
      </c>
      <c r="O26" s="8">
        <v>15637</v>
      </c>
      <c r="P26" s="37">
        <f t="shared" si="8"/>
        <v>-1.9636765246109411E-2</v>
      </c>
      <c r="Q26" s="37">
        <f t="shared" si="3"/>
        <v>-3.5049706856997197E-3</v>
      </c>
      <c r="R26" s="9">
        <f t="shared" si="9"/>
        <v>15776.353245114</v>
      </c>
      <c r="S26" s="9">
        <f>5000*3.1</f>
        <v>15500</v>
      </c>
      <c r="T26" s="37">
        <f t="shared" si="10"/>
        <v>-1.7516928077126293E-2</v>
      </c>
      <c r="U26" s="37">
        <f t="shared" si="4"/>
        <v>-8.7612713436081083E-3</v>
      </c>
      <c r="V26" s="39">
        <v>0.73899999999999999</v>
      </c>
      <c r="W26" s="39">
        <f>(S26/(3159.1*B26*(1-0.0035*(AL26-25))))</f>
        <v>0.87692959404391824</v>
      </c>
      <c r="X26" s="37">
        <f t="shared" si="11"/>
        <v>-9.3857576652399466E-2</v>
      </c>
      <c r="Y26" s="37">
        <f t="shared" si="12"/>
        <v>-0.20149734558661347</v>
      </c>
      <c r="Z26" s="31">
        <f t="shared" si="13"/>
        <v>-276.35324511399995</v>
      </c>
      <c r="AA26" s="10" t="s">
        <v>5</v>
      </c>
      <c r="AB26" s="10">
        <v>0</v>
      </c>
      <c r="AC26" s="10">
        <v>0</v>
      </c>
      <c r="AD26" s="36">
        <f>((12-AB26/60)/12)</f>
        <v>1</v>
      </c>
      <c r="AE26" s="36">
        <f>((12-AC26/60)/12)</f>
        <v>1</v>
      </c>
      <c r="AF26" s="10">
        <f t="shared" si="15"/>
        <v>0</v>
      </c>
      <c r="AG26" s="10">
        <f t="shared" si="16"/>
        <v>0</v>
      </c>
      <c r="AH26" s="10">
        <v>0</v>
      </c>
      <c r="AI26" s="34">
        <f t="shared" si="14"/>
        <v>0</v>
      </c>
      <c r="AJ26" s="16">
        <v>30.904657530000001</v>
      </c>
      <c r="AK26" s="16">
        <v>1.943767123</v>
      </c>
      <c r="AL26" s="16">
        <v>48.141917810000002</v>
      </c>
      <c r="AM26" s="15" t="s">
        <v>98</v>
      </c>
      <c r="AN26" s="11"/>
    </row>
    <row r="27" spans="1:40" ht="29" x14ac:dyDescent="0.35">
      <c r="A27" s="6" t="s">
        <v>99</v>
      </c>
      <c r="B27" s="9">
        <v>6.779833333</v>
      </c>
      <c r="C27" s="7">
        <f t="shared" si="0"/>
        <v>0</v>
      </c>
      <c r="D27" s="7">
        <f t="shared" si="1"/>
        <v>6.4451612903225808</v>
      </c>
      <c r="E27" s="29">
        <f t="shared" si="17"/>
        <v>21418.171482280301</v>
      </c>
      <c r="F27" s="30">
        <v>18541</v>
      </c>
      <c r="G27" s="30">
        <v>17966</v>
      </c>
      <c r="H27" s="37">
        <f t="shared" si="5"/>
        <v>-3.1012351005878864E-2</v>
      </c>
      <c r="I27" s="37">
        <f t="shared" si="6"/>
        <v>-0.16117956124949107</v>
      </c>
      <c r="J27" s="30">
        <v>18276</v>
      </c>
      <c r="K27" s="30">
        <v>17939</v>
      </c>
      <c r="L27" s="37">
        <f t="shared" si="7"/>
        <v>-1.8439483475596409E-2</v>
      </c>
      <c r="M27" s="37">
        <f t="shared" si="2"/>
        <v>-1.5028386953133696E-3</v>
      </c>
      <c r="N27" s="9">
        <v>17880.24237</v>
      </c>
      <c r="O27" s="8">
        <v>17852.349999999999</v>
      </c>
      <c r="P27" s="37">
        <f t="shared" si="8"/>
        <v>-1.5599548050198714E-3</v>
      </c>
      <c r="Q27" s="37">
        <f t="shared" si="3"/>
        <v>-4.8302580968839657E-3</v>
      </c>
      <c r="R27" s="9">
        <f t="shared" si="9"/>
        <v>17685.347728166998</v>
      </c>
      <c r="S27" s="9">
        <f>5000*3.53</f>
        <v>17650</v>
      </c>
      <c r="T27" s="37">
        <f t="shared" si="10"/>
        <v>-1.9987013379839293E-3</v>
      </c>
      <c r="U27" s="37">
        <f t="shared" si="4"/>
        <v>-1.1334642217971223E-2</v>
      </c>
      <c r="V27" s="39">
        <v>0.73899999999999999</v>
      </c>
      <c r="W27" s="39">
        <f>(S27/(3159.1*B27*(1-0.0035*(AL27-25))))</f>
        <v>0.89150222100067866</v>
      </c>
      <c r="X27" s="37">
        <f t="shared" si="11"/>
        <v>-5.301049062447908E-2</v>
      </c>
      <c r="Y27" s="37">
        <f t="shared" si="12"/>
        <v>-0.17884730025965964</v>
      </c>
      <c r="Z27" s="31">
        <f t="shared" si="13"/>
        <v>-35.347728166998422</v>
      </c>
      <c r="AA27" s="10" t="s">
        <v>5</v>
      </c>
      <c r="AB27" s="10">
        <v>0</v>
      </c>
      <c r="AC27" s="10">
        <v>0</v>
      </c>
      <c r="AD27" s="36">
        <f>((12-AB27/60)/12)</f>
        <v>1</v>
      </c>
      <c r="AE27" s="36">
        <f>((12-AC27/60)/12)</f>
        <v>1</v>
      </c>
      <c r="AF27" s="10">
        <f t="shared" si="15"/>
        <v>0</v>
      </c>
      <c r="AG27" s="10">
        <f t="shared" si="16"/>
        <v>0</v>
      </c>
      <c r="AH27" s="10">
        <v>0</v>
      </c>
      <c r="AI27" s="34">
        <f t="shared" si="14"/>
        <v>0</v>
      </c>
      <c r="AJ27" s="1">
        <v>29.67452055</v>
      </c>
      <c r="AK27" s="1">
        <v>2.3052739729999998</v>
      </c>
      <c r="AL27" s="1">
        <v>46.612191780000003</v>
      </c>
      <c r="AM27" s="15" t="s">
        <v>100</v>
      </c>
      <c r="AN27" s="11"/>
    </row>
    <row r="28" spans="1:40" ht="29" x14ac:dyDescent="0.35">
      <c r="A28" s="6" t="s">
        <v>101</v>
      </c>
      <c r="B28" s="9">
        <v>7.3456666669999997</v>
      </c>
      <c r="C28" s="7">
        <f>(625*1+666*10+707*5)/(10*6000)</f>
        <v>0.18033333333333335</v>
      </c>
      <c r="D28" s="7">
        <f t="shared" si="1"/>
        <v>6.4451612903225808</v>
      </c>
      <c r="E28" s="29">
        <f t="shared" si="17"/>
        <v>22636.004534386364</v>
      </c>
      <c r="F28" s="30">
        <v>20060</v>
      </c>
      <c r="G28" s="30">
        <v>18659</v>
      </c>
      <c r="H28" s="37">
        <f t="shared" si="5"/>
        <v>-6.9840478564307085E-2</v>
      </c>
      <c r="I28" s="37">
        <f t="shared" si="6"/>
        <v>-0.17569375056207004</v>
      </c>
      <c r="J28" s="30">
        <v>19773</v>
      </c>
      <c r="K28" s="30">
        <v>18374</v>
      </c>
      <c r="L28" s="37">
        <f t="shared" si="7"/>
        <v>-7.0753047084408036E-2</v>
      </c>
      <c r="M28" s="37">
        <f t="shared" si="2"/>
        <v>-1.5274130446433356E-2</v>
      </c>
      <c r="N28" s="9">
        <v>19344.864219999999</v>
      </c>
      <c r="O28" s="8">
        <v>18303.650000000001</v>
      </c>
      <c r="P28" s="37">
        <f t="shared" si="8"/>
        <v>-5.3823806058226141E-2</v>
      </c>
      <c r="Q28" s="37">
        <f t="shared" si="3"/>
        <v>-3.828779797539923E-3</v>
      </c>
      <c r="R28" s="9">
        <f t="shared" si="9"/>
        <v>19134.005200002</v>
      </c>
      <c r="S28" s="9">
        <f>5000*3.62</f>
        <v>18100</v>
      </c>
      <c r="T28" s="37">
        <f t="shared" si="10"/>
        <v>-5.4040186003602234E-2</v>
      </c>
      <c r="U28" s="37">
        <f t="shared" si="4"/>
        <v>-1.1126196141206888E-2</v>
      </c>
      <c r="V28" s="39">
        <v>0.73899999999999999</v>
      </c>
      <c r="W28" s="39">
        <f>(S28/(3159.1*B28*(1-0.0035*(AL28-25))))</f>
        <v>0.84378525418501193</v>
      </c>
      <c r="X28" s="37">
        <f t="shared" si="11"/>
        <v>-0.24845751771054353</v>
      </c>
      <c r="Y28" s="37">
        <f t="shared" si="12"/>
        <v>-0.20592285694725021</v>
      </c>
      <c r="Z28" s="31">
        <f t="shared" si="13"/>
        <v>-1034.0052000020005</v>
      </c>
      <c r="AA28" s="8" t="s">
        <v>102</v>
      </c>
      <c r="AB28" s="10">
        <v>0</v>
      </c>
      <c r="AC28" s="10">
        <v>16</v>
      </c>
      <c r="AD28" s="36">
        <f>((12-AB28/60)/12)</f>
        <v>1</v>
      </c>
      <c r="AE28" s="36">
        <f>((12-AC28/60)/12)</f>
        <v>0.97777777777777775</v>
      </c>
      <c r="AF28" s="10">
        <f t="shared" si="15"/>
        <v>600.36776102683746</v>
      </c>
      <c r="AG28" s="10">
        <f t="shared" si="16"/>
        <v>591.78250204415372</v>
      </c>
      <c r="AH28" s="10">
        <v>579</v>
      </c>
      <c r="AI28" s="34">
        <f t="shared" si="14"/>
        <v>572.68889999999999</v>
      </c>
      <c r="AJ28" s="13">
        <v>29.893561640000001</v>
      </c>
      <c r="AK28" s="13">
        <v>2.493178082</v>
      </c>
      <c r="AL28" s="13">
        <v>46.604794519999999</v>
      </c>
      <c r="AM28" s="15" t="s">
        <v>103</v>
      </c>
      <c r="AN28" s="11"/>
    </row>
    <row r="29" spans="1:40" ht="31.5" x14ac:dyDescent="0.35">
      <c r="A29" s="6" t="s">
        <v>104</v>
      </c>
      <c r="B29" s="9">
        <v>7.3313333329999999</v>
      </c>
      <c r="C29" s="7">
        <f t="shared" si="0"/>
        <v>0</v>
      </c>
      <c r="D29" s="7">
        <f t="shared" si="1"/>
        <v>6.4451612903225808</v>
      </c>
      <c r="E29" s="29">
        <f t="shared" si="17"/>
        <v>23160.415132280297</v>
      </c>
      <c r="F29" s="30">
        <v>18553</v>
      </c>
      <c r="G29" s="30">
        <v>17307</v>
      </c>
      <c r="H29" s="37">
        <f t="shared" si="5"/>
        <v>-6.7158950035034762E-2</v>
      </c>
      <c r="I29" s="37">
        <f t="shared" si="6"/>
        <v>-0.25273360165820091</v>
      </c>
      <c r="J29" s="30">
        <v>18287</v>
      </c>
      <c r="K29" s="30">
        <v>18134</v>
      </c>
      <c r="L29" s="37">
        <f t="shared" si="7"/>
        <v>-8.3665992234920987E-3</v>
      </c>
      <c r="M29" s="37">
        <f t="shared" si="2"/>
        <v>4.7784133587565725E-2</v>
      </c>
      <c r="N29" s="12">
        <v>19272.62902</v>
      </c>
      <c r="O29" s="8">
        <v>18021</v>
      </c>
      <c r="P29" s="37">
        <f t="shared" si="8"/>
        <v>-6.494334627108389E-2</v>
      </c>
      <c r="Q29" s="37">
        <f t="shared" si="3"/>
        <v>-6.2313885518914744E-3</v>
      </c>
      <c r="R29" s="9">
        <f t="shared" si="9"/>
        <v>19062.557363682001</v>
      </c>
      <c r="S29" s="9">
        <f>5000*3.57</f>
        <v>17850</v>
      </c>
      <c r="T29" s="37">
        <f t="shared" si="10"/>
        <v>-6.3609375203358923E-2</v>
      </c>
      <c r="U29" s="37">
        <f t="shared" si="4"/>
        <v>-9.4889295821541531E-3</v>
      </c>
      <c r="V29" s="39">
        <v>0.73899999999999999</v>
      </c>
      <c r="W29" s="39">
        <f>(S29/(3159.1*B29*(1-0.0035*(AL29-25))))</f>
        <v>0.83608376060507295</v>
      </c>
      <c r="X29" s="37">
        <f t="shared" si="11"/>
        <v>-0.20407827073296969</v>
      </c>
      <c r="Y29" s="37">
        <f t="shared" si="12"/>
        <v>-0.22066978620468083</v>
      </c>
      <c r="Z29" s="31">
        <f t="shared" si="13"/>
        <v>-1212.5573636820009</v>
      </c>
      <c r="AA29" s="10" t="s">
        <v>105</v>
      </c>
      <c r="AB29" s="10">
        <v>0</v>
      </c>
      <c r="AC29" s="10">
        <v>68</v>
      </c>
      <c r="AD29" s="36">
        <f>((12-AB29/60)/12)</f>
        <v>1</v>
      </c>
      <c r="AE29" s="36">
        <f>((12-AC29/60)/12)</f>
        <v>0.90555555555555556</v>
      </c>
      <c r="AF29" s="10">
        <f t="shared" si="15"/>
        <v>1008.9081718119394</v>
      </c>
      <c r="AG29" s="10">
        <f t="shared" si="16"/>
        <v>994.48078495502853</v>
      </c>
      <c r="AH29" s="10">
        <v>973</v>
      </c>
      <c r="AI29" s="34">
        <f t="shared" si="14"/>
        <v>962.39429999999993</v>
      </c>
      <c r="AJ29" s="51">
        <v>30.189589040000001</v>
      </c>
      <c r="AK29" s="51">
        <v>3.1370410959999999</v>
      </c>
      <c r="AL29" s="51">
        <v>47.33958904</v>
      </c>
      <c r="AM29" s="15" t="s">
        <v>106</v>
      </c>
      <c r="AN29" s="11" t="s">
        <v>107</v>
      </c>
    </row>
    <row r="30" spans="1:40" ht="29" x14ac:dyDescent="0.35">
      <c r="A30" s="6" t="s">
        <v>108</v>
      </c>
      <c r="B30" s="9">
        <v>7.1746666670000003</v>
      </c>
      <c r="C30" s="7">
        <f t="shared" si="0"/>
        <v>0</v>
      </c>
      <c r="D30" s="7">
        <f t="shared" si="1"/>
        <v>6.4451612903225808</v>
      </c>
      <c r="E30" s="29">
        <f t="shared" si="17"/>
        <v>22665.489467719701</v>
      </c>
      <c r="F30" s="30">
        <v>19568</v>
      </c>
      <c r="G30" s="30">
        <v>19074</v>
      </c>
      <c r="H30" s="37">
        <f t="shared" si="5"/>
        <v>-2.5245298446443173E-2</v>
      </c>
      <c r="I30" s="37">
        <f t="shared" si="6"/>
        <v>-0.15845629421922333</v>
      </c>
      <c r="J30" s="30">
        <v>19288</v>
      </c>
      <c r="K30" s="30">
        <v>18843</v>
      </c>
      <c r="L30" s="37">
        <f t="shared" si="7"/>
        <v>-2.3071339693073414E-2</v>
      </c>
      <c r="M30" s="37">
        <f t="shared" si="2"/>
        <v>-1.2110726643598616E-2</v>
      </c>
      <c r="N30" s="12">
        <v>18870.49725</v>
      </c>
      <c r="O30" s="8">
        <v>18742</v>
      </c>
      <c r="P30" s="37">
        <f t="shared" si="8"/>
        <v>-6.8094257558581478E-3</v>
      </c>
      <c r="Q30" s="37">
        <f t="shared" si="3"/>
        <v>-5.3600806665605261E-3</v>
      </c>
      <c r="R30" s="9">
        <f t="shared" si="9"/>
        <v>18664.808829975002</v>
      </c>
      <c r="S30" s="9">
        <f>5000*3.71</f>
        <v>18550</v>
      </c>
      <c r="T30" s="37">
        <f t="shared" si="10"/>
        <v>-6.1510852332236476E-3</v>
      </c>
      <c r="U30" s="37">
        <f t="shared" si="4"/>
        <v>-1.0244370931597482E-2</v>
      </c>
      <c r="V30" s="39">
        <v>0.73899999999999999</v>
      </c>
      <c r="W30" s="39">
        <f>(S30/(3159.1*B30*(1-0.0035*(AL30-25))))</f>
        <v>0.88935857510981298</v>
      </c>
      <c r="X30" s="37">
        <f t="shared" si="11"/>
        <v>-6.1277149128598385E-2</v>
      </c>
      <c r="Y30" s="37">
        <f t="shared" si="12"/>
        <v>-0.18617147246097993</v>
      </c>
      <c r="Z30" s="31">
        <f t="shared" si="13"/>
        <v>-114.80882997500157</v>
      </c>
      <c r="AA30" s="10" t="s">
        <v>5</v>
      </c>
      <c r="AB30" s="10">
        <v>0</v>
      </c>
      <c r="AC30" s="10">
        <v>0</v>
      </c>
      <c r="AD30" s="36">
        <f>((12-AB30/60)/12)</f>
        <v>1</v>
      </c>
      <c r="AE30" s="36">
        <f>((12-AC30/60)/12)</f>
        <v>1</v>
      </c>
      <c r="AF30" s="10">
        <f t="shared" si="15"/>
        <v>0</v>
      </c>
      <c r="AG30" s="10">
        <f t="shared" si="16"/>
        <v>0</v>
      </c>
      <c r="AH30" s="10">
        <v>0</v>
      </c>
      <c r="AI30" s="34">
        <f t="shared" si="14"/>
        <v>0</v>
      </c>
      <c r="AJ30" s="55">
        <v>29.95780822</v>
      </c>
      <c r="AK30" s="56">
        <v>3.852383562</v>
      </c>
      <c r="AL30" s="2">
        <v>47.788082189999997</v>
      </c>
      <c r="AM30" s="25" t="s">
        <v>103</v>
      </c>
      <c r="AN30" s="11"/>
    </row>
    <row r="31" spans="1:40" ht="43.5" x14ac:dyDescent="0.35">
      <c r="A31" s="6" t="s">
        <v>109</v>
      </c>
      <c r="B31" s="9">
        <v>5.8463333329999996</v>
      </c>
      <c r="C31" s="7">
        <f>(153*5+278*10+318*4)/(10*6000)</f>
        <v>8.0283333333333332E-2</v>
      </c>
      <c r="D31" s="7">
        <f t="shared" si="1"/>
        <v>6.4451612903225808</v>
      </c>
      <c r="E31" s="29">
        <f t="shared" si="17"/>
        <v>18215.528553946966</v>
      </c>
      <c r="F31" s="30">
        <v>15917</v>
      </c>
      <c r="G31" s="30">
        <v>15567</v>
      </c>
      <c r="H31" s="37">
        <f t="shared" si="5"/>
        <v>-2.1989068291763524E-2</v>
      </c>
      <c r="I31" s="37">
        <f t="shared" si="6"/>
        <v>-0.14539948956754697</v>
      </c>
      <c r="J31" s="30">
        <v>15689</v>
      </c>
      <c r="K31" s="30">
        <v>15083</v>
      </c>
      <c r="L31" s="37">
        <f t="shared" si="7"/>
        <v>-3.862578876920135E-2</v>
      </c>
      <c r="M31" s="37">
        <f t="shared" si="2"/>
        <v>-3.1091411318815442E-2</v>
      </c>
      <c r="N31" s="12">
        <v>15349.811110000001</v>
      </c>
      <c r="O31" s="8">
        <v>15012</v>
      </c>
      <c r="P31" s="37">
        <f t="shared" si="8"/>
        <v>-2.2007509250711588E-2</v>
      </c>
      <c r="Q31" s="37">
        <f t="shared" si="3"/>
        <v>-4.7072863488695884E-3</v>
      </c>
      <c r="R31" s="9">
        <f t="shared" si="9"/>
        <v>15182.498168901</v>
      </c>
      <c r="S31" s="9">
        <f>5000*2.97</f>
        <v>14850.000000000002</v>
      </c>
      <c r="T31" s="37">
        <f t="shared" si="10"/>
        <v>-2.1900096097628344E-2</v>
      </c>
      <c r="U31" s="37">
        <f t="shared" si="4"/>
        <v>-1.0791366906474699E-2</v>
      </c>
      <c r="V31" s="39">
        <v>0.73899999999999999</v>
      </c>
      <c r="W31" s="39">
        <f>(S31/(3159.1*B31*(1-0.0035*(AL31-25))))</f>
        <v>0.87247563675227635</v>
      </c>
      <c r="X31" s="37">
        <f t="shared" si="11"/>
        <v>-0.10452246240930481</v>
      </c>
      <c r="Y31" s="37">
        <f t="shared" si="12"/>
        <v>-0.19198955414170668</v>
      </c>
      <c r="Z31" s="31">
        <f t="shared" si="13"/>
        <v>-332.49816890099828</v>
      </c>
      <c r="AA31" s="10" t="s">
        <v>110</v>
      </c>
      <c r="AB31" s="10">
        <v>0</v>
      </c>
      <c r="AC31" s="10">
        <v>19</v>
      </c>
      <c r="AD31" s="36">
        <f t="shared" ref="AD31:AE32" si="18">((12-AB31/60)/12)</f>
        <v>1</v>
      </c>
      <c r="AE31" s="36">
        <f t="shared" si="18"/>
        <v>0.97361111111111109</v>
      </c>
      <c r="AF31" s="10">
        <f t="shared" si="15"/>
        <v>195.97496862534072</v>
      </c>
      <c r="AG31" s="10">
        <f t="shared" si="16"/>
        <v>193.17252657399837</v>
      </c>
      <c r="AH31" s="10">
        <v>189</v>
      </c>
      <c r="AI31" s="34">
        <f t="shared" si="14"/>
        <v>186.93989999999999</v>
      </c>
      <c r="AJ31" s="67">
        <v>29.393424660000001</v>
      </c>
      <c r="AK31" s="68">
        <v>2.9193013699999999</v>
      </c>
      <c r="AL31" s="69">
        <v>47.409863010000002</v>
      </c>
      <c r="AM31" s="25" t="s">
        <v>111</v>
      </c>
      <c r="AN31" s="11"/>
    </row>
    <row r="32" spans="1:40" ht="29" x14ac:dyDescent="0.35">
      <c r="A32" s="6" t="s">
        <v>112</v>
      </c>
      <c r="B32" s="9">
        <v>6.3081666670000001</v>
      </c>
      <c r="C32" s="7">
        <f t="shared" si="0"/>
        <v>0</v>
      </c>
      <c r="D32" s="7">
        <f t="shared" si="1"/>
        <v>6.4451612903225808</v>
      </c>
      <c r="E32" s="29">
        <f t="shared" si="17"/>
        <v>19928.1293177197</v>
      </c>
      <c r="F32" s="30">
        <v>17055</v>
      </c>
      <c r="G32" s="30">
        <v>16869</v>
      </c>
      <c r="H32" s="37">
        <f t="shared" si="5"/>
        <v>-1.0905892700087952E-2</v>
      </c>
      <c r="I32" s="37">
        <f t="shared" si="6"/>
        <v>-0.15350810248905716</v>
      </c>
      <c r="J32" s="30">
        <v>16811</v>
      </c>
      <c r="K32" s="30">
        <v>16571</v>
      </c>
      <c r="L32" s="37">
        <f t="shared" si="7"/>
        <v>-1.4276366664683838E-2</v>
      </c>
      <c r="M32" s="37">
        <f t="shared" si="2"/>
        <v>-1.7665540340269133E-2</v>
      </c>
      <c r="N32" s="12">
        <v>16446.8763</v>
      </c>
      <c r="O32" s="8">
        <v>16492</v>
      </c>
      <c r="P32" s="37">
        <f t="shared" si="8"/>
        <v>2.743603051237158E-3</v>
      </c>
      <c r="Q32" s="37">
        <f t="shared" si="3"/>
        <v>-4.7673646732243075E-3</v>
      </c>
      <c r="R32" s="9">
        <f t="shared" si="9"/>
        <v>16267.60534833</v>
      </c>
      <c r="S32" s="9">
        <v>16330.163500000001</v>
      </c>
      <c r="T32" s="37">
        <f t="shared" si="10"/>
        <v>3.8455661008780537E-3</v>
      </c>
      <c r="U32" s="37">
        <f t="shared" si="4"/>
        <v>-9.8130305602716125E-3</v>
      </c>
      <c r="V32" s="39">
        <v>0.73899999999999999</v>
      </c>
      <c r="W32" s="39">
        <f>(S32/(3159.1*B32*(1-0.0035*(AL32-25))))</f>
        <v>0.88919661731662014</v>
      </c>
      <c r="X32" s="37">
        <f t="shared" si="11"/>
        <v>-1.8593090212656576E-2</v>
      </c>
      <c r="Y32" s="37">
        <f t="shared" si="12"/>
        <v>-0.1857540380628222</v>
      </c>
      <c r="Z32" s="31">
        <f t="shared" si="13"/>
        <v>62.55815167000037</v>
      </c>
      <c r="AA32" s="10" t="s">
        <v>5</v>
      </c>
      <c r="AB32" s="10">
        <v>0</v>
      </c>
      <c r="AC32" s="10">
        <v>0</v>
      </c>
      <c r="AD32" s="36">
        <f t="shared" si="18"/>
        <v>1</v>
      </c>
      <c r="AE32" s="36">
        <f t="shared" si="18"/>
        <v>1</v>
      </c>
      <c r="AF32" s="10">
        <f t="shared" si="15"/>
        <v>0</v>
      </c>
      <c r="AG32" s="10">
        <f t="shared" si="16"/>
        <v>0</v>
      </c>
      <c r="AH32" s="10">
        <v>0</v>
      </c>
      <c r="AI32" s="34">
        <f t="shared" si="14"/>
        <v>0</v>
      </c>
      <c r="AJ32" s="51">
        <v>29.393424660000001</v>
      </c>
      <c r="AK32" s="51">
        <v>2.9193013699999999</v>
      </c>
      <c r="AL32" s="51">
        <v>47.409863010000002</v>
      </c>
      <c r="AM32" s="15" t="s">
        <v>113</v>
      </c>
      <c r="AN32" s="11"/>
    </row>
    <row r="33" spans="1:40" x14ac:dyDescent="0.35">
      <c r="A33" s="32" t="s">
        <v>4</v>
      </c>
      <c r="B33" s="22">
        <f>SUM(B2:B32)</f>
        <v>184.99450000100001</v>
      </c>
      <c r="C33" s="22">
        <f t="shared" ref="C33:G33" si="19">SUM(C2:C32)</f>
        <v>6.1962833333333336</v>
      </c>
      <c r="D33" s="22">
        <f t="shared" si="19"/>
        <v>199.79999999999987</v>
      </c>
      <c r="E33" s="22">
        <f t="shared" si="19"/>
        <v>564841.44627482584</v>
      </c>
      <c r="F33" s="22">
        <f t="shared" si="19"/>
        <v>505055.47626003093</v>
      </c>
      <c r="G33" s="22">
        <f t="shared" si="19"/>
        <v>536536.31149666675</v>
      </c>
      <c r="H33" s="22">
        <f t="shared" ref="H33" si="20">SUM(H2:H32)</f>
        <v>-2.0560562885469844</v>
      </c>
      <c r="I33" s="22">
        <f t="shared" ref="I33:K33" si="21">SUM(I2:I32)</f>
        <v>-4.7190298777626749</v>
      </c>
      <c r="J33" s="22">
        <f t="shared" si="21"/>
        <v>497831.06133936852</v>
      </c>
      <c r="K33" s="22">
        <f t="shared" si="21"/>
        <v>533132.80000000005</v>
      </c>
      <c r="L33" s="22">
        <f t="shared" ref="L33" si="22">SUM(L2:L32)</f>
        <v>-1.8343234430501922</v>
      </c>
      <c r="M33" s="22">
        <f t="shared" ref="M33" si="23">SUM(M2:M32)</f>
        <v>-0.1532425719295957</v>
      </c>
      <c r="N33" s="22">
        <f t="shared" ref="N33" si="24">SUM(N2:N32)</f>
        <v>488435.17105</v>
      </c>
      <c r="O33" s="22">
        <f t="shared" ref="O33" si="25">SUM(O2:O32)</f>
        <v>530699</v>
      </c>
      <c r="P33" s="22">
        <f t="shared" ref="P33" si="26">SUM(P2:P32)</f>
        <v>-1.4648754085377445</v>
      </c>
      <c r="Q33" s="22">
        <f t="shared" ref="Q33" si="27">SUM(Q2:Q32)</f>
        <v>-0.14088502251844542</v>
      </c>
      <c r="R33" s="22">
        <f t="shared" ref="R33" si="28">SUM(R2:R32)</f>
        <v>483111.22768555512</v>
      </c>
      <c r="S33" s="22">
        <f t="shared" ref="S33" si="29">SUM(S2:S32)</f>
        <v>525081.16350000002</v>
      </c>
      <c r="T33" s="22">
        <f t="shared" ref="T33" si="30">SUM(T2:T32)</f>
        <v>-1.453986660796617</v>
      </c>
      <c r="U33" s="22">
        <f t="shared" ref="U33" si="31">SUM(U2:U32)</f>
        <v>-0.3264628027391322</v>
      </c>
      <c r="V33" s="22"/>
      <c r="W33" s="52">
        <f>AVERAGE(W2:W32)</f>
        <v>0.84263093279320977</v>
      </c>
      <c r="X33" s="22">
        <f t="shared" ref="X33" si="32">SUM(X2:X32)</f>
        <v>-6.809241800931539</v>
      </c>
      <c r="Y33" s="22">
        <f t="shared" ref="Y33" si="33">SUM(Y2:Y32)</f>
        <v>-5.2309561259909767</v>
      </c>
      <c r="Z33" s="22">
        <f t="shared" ref="Z33" si="34">SUM(Z2:Z32)</f>
        <v>-26835.06418555498</v>
      </c>
      <c r="AA33" s="22"/>
      <c r="AB33" s="22">
        <f>SUM(AB2:AB29)</f>
        <v>115</v>
      </c>
      <c r="AC33" s="33">
        <f>SUM(AC2:AC29)</f>
        <v>594</v>
      </c>
      <c r="AD33" s="10">
        <f>((336-AB33/60)/336)*100</f>
        <v>99.429563492063494</v>
      </c>
      <c r="AE33" s="10">
        <f>((336-AC33/60)/336)*100</f>
        <v>97.053571428571445</v>
      </c>
      <c r="AF33" s="33">
        <f>SUM(AF2:AF29)</f>
        <v>17856.376182475629</v>
      </c>
      <c r="AG33" s="33">
        <f>SUM(AG2:AG29)</f>
        <v>17601.030003066226</v>
      </c>
      <c r="AH33" s="33">
        <f>SUM(AH2:AH29)</f>
        <v>17220.847754999999</v>
      </c>
      <c r="AI33" s="33">
        <f>SUM(AI2:AI29)</f>
        <v>17033.140514470499</v>
      </c>
      <c r="AJ33" s="38"/>
      <c r="AK33" s="38"/>
      <c r="AL33" s="38"/>
      <c r="AM33" s="22"/>
      <c r="AN33" s="22"/>
    </row>
    <row r="34" spans="1:40" x14ac:dyDescent="0.35">
      <c r="A34" s="30" t="s">
        <v>37</v>
      </c>
      <c r="B34" s="33">
        <f>AVERAGE(B2:B32)</f>
        <v>6.851648148185185</v>
      </c>
      <c r="C34" s="33">
        <f>AVERAGE(C3:C29)</f>
        <v>0.22651851851851854</v>
      </c>
      <c r="D34" s="33">
        <f>AVERAGE(D3:D29)</f>
        <v>6.4451612903225772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3">
        <f>AVERAGE(V2:V29)</f>
        <v>0.73900000000000043</v>
      </c>
      <c r="W34" s="33">
        <f>AVERAGE(W2:W29)</f>
        <v>0.83750018150991468</v>
      </c>
      <c r="X34" s="33"/>
      <c r="Y34" s="30"/>
      <c r="Z34" s="30"/>
      <c r="AA34" s="30"/>
      <c r="AB34" s="30"/>
      <c r="AC34" s="30"/>
      <c r="AD34" s="30"/>
      <c r="AE34" s="30"/>
      <c r="AF34" s="25"/>
      <c r="AG34" s="25"/>
      <c r="AH34" s="25"/>
      <c r="AI34" s="25"/>
      <c r="AJ34" s="33">
        <f>AVERAGE(AJ2:AJ29)</f>
        <v>29.810383845833339</v>
      </c>
      <c r="AK34" s="33">
        <f>AVERAGE(AK2:AK29)</f>
        <v>2.010285612083333</v>
      </c>
      <c r="AL34" s="33">
        <f>AVERAGE(AL2:AL29)</f>
        <v>45.26163868166666</v>
      </c>
      <c r="AM34" s="30"/>
      <c r="AN34" s="30"/>
    </row>
    <row r="35" spans="1:40" x14ac:dyDescent="0.35">
      <c r="A35" s="20"/>
      <c r="B35" s="20"/>
      <c r="C35" s="4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41"/>
      <c r="AG35" s="41"/>
      <c r="AH35" s="41"/>
      <c r="AI35" s="41"/>
      <c r="AJ35" s="20"/>
      <c r="AK35" s="20"/>
      <c r="AL35" s="20"/>
      <c r="AM35" s="20"/>
      <c r="AN35" s="20"/>
    </row>
    <row r="36" spans="1:40" x14ac:dyDescent="0.35">
      <c r="A36" s="20"/>
      <c r="B36" s="20"/>
      <c r="C36" s="41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72"/>
      <c r="AF36" s="72"/>
      <c r="AG36" s="72"/>
      <c r="AH36" s="72"/>
      <c r="AI36" s="41"/>
      <c r="AJ36" s="20"/>
      <c r="AK36" s="20"/>
      <c r="AL36" s="20"/>
      <c r="AM36" s="20"/>
      <c r="AN36" s="20"/>
    </row>
  </sheetData>
  <mergeCells count="23">
    <mergeCell ref="B3:B4"/>
    <mergeCell ref="E3:E4"/>
    <mergeCell ref="F3:F4"/>
    <mergeCell ref="J3:J4"/>
    <mergeCell ref="N3:N4"/>
    <mergeCell ref="H3:H4"/>
    <mergeCell ref="I3:I4"/>
    <mergeCell ref="L3:L4"/>
    <mergeCell ref="AI3:AI4"/>
    <mergeCell ref="AJ3:AJ4"/>
    <mergeCell ref="AK3:AK4"/>
    <mergeCell ref="AL3:AL4"/>
    <mergeCell ref="AE36:AH36"/>
    <mergeCell ref="AF3:AF4"/>
    <mergeCell ref="AG3:AG4"/>
    <mergeCell ref="AH3:AH4"/>
    <mergeCell ref="P3:P4"/>
    <mergeCell ref="T3:T4"/>
    <mergeCell ref="X3:X4"/>
    <mergeCell ref="Z3:Z4"/>
    <mergeCell ref="Y3:Y4"/>
    <mergeCell ref="R3:R4"/>
    <mergeCell ref="W3:W4"/>
  </mergeCells>
  <conditionalFormatting sqref="H2:I2 H5:I20 H23:I32">
    <cfRule type="cellIs" dxfId="9" priority="12" operator="lessThan">
      <formula>0</formula>
    </cfRule>
  </conditionalFormatting>
  <conditionalFormatting sqref="K22">
    <cfRule type="cellIs" dxfId="8" priority="1" operator="lessThan">
      <formula>0</formula>
    </cfRule>
  </conditionalFormatting>
  <conditionalFormatting sqref="L2 L5:L20 L23:L32">
    <cfRule type="cellIs" dxfId="7" priority="11" operator="lessThan">
      <formula>0</formula>
    </cfRule>
  </conditionalFormatting>
  <conditionalFormatting sqref="M2:M32">
    <cfRule type="cellIs" dxfId="6" priority="10" operator="lessThan">
      <formula>0</formula>
    </cfRule>
  </conditionalFormatting>
  <conditionalFormatting sqref="P2 P5:P20 P23:P32">
    <cfRule type="cellIs" dxfId="5" priority="9" operator="lessThan">
      <formula>0</formula>
    </cfRule>
  </conditionalFormatting>
  <conditionalFormatting sqref="Q2:Q32">
    <cfRule type="cellIs" dxfId="4" priority="8" operator="lessThan">
      <formula>0</formula>
    </cfRule>
  </conditionalFormatting>
  <conditionalFormatting sqref="T2 T5:T20 T23:T32">
    <cfRule type="cellIs" dxfId="3" priority="7" operator="lessThan">
      <formula>0</formula>
    </cfRule>
  </conditionalFormatting>
  <conditionalFormatting sqref="U2:U32">
    <cfRule type="cellIs" dxfId="2" priority="6" operator="lessThan">
      <formula>0</formula>
    </cfRule>
  </conditionalFormatting>
  <conditionalFormatting sqref="X2:Z2 X5:Z20 X23:Z32">
    <cfRule type="cellIs" dxfId="1" priority="4" operator="lessThan">
      <formula>0</formula>
    </cfRule>
  </conditionalFormatting>
  <conditionalFormatting sqref="AF2:AI2 AF5:AI32"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March_26 Gen. &amp; Loss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PRATIK KUMAR</dc:creator>
  <cp:keywords/>
  <dc:description/>
  <cp:lastModifiedBy>Pratik Kumar</cp:lastModifiedBy>
  <cp:revision/>
  <dcterms:created xsi:type="dcterms:W3CDTF">2025-06-14T06:16:28Z</dcterms:created>
  <dcterms:modified xsi:type="dcterms:W3CDTF">2026-04-10T11:39:45Z</dcterms:modified>
  <cp:category/>
  <cp:contentStatus/>
</cp:coreProperties>
</file>