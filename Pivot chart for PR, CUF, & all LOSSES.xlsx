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vnishchoubey\OneDrive\Desktop\"/>
    </mc:Choice>
  </mc:AlternateContent>
  <xr:revisionPtr revIDLastSave="0" documentId="13_ncr:1_{CC4E1527-2460-47AC-ABC6-1D1E9A4C97D1}" xr6:coauthVersionLast="47" xr6:coauthVersionMax="47" xr10:uidLastSave="{00000000-0000-0000-0000-000000000000}"/>
  <bookViews>
    <workbookView xWindow="-110" yWindow="-110" windowWidth="19420" windowHeight="10300" firstSheet="6" activeTab="7" xr2:uid="{446CFFE6-BAB7-4C96-978A-BC283E0D275B}"/>
  </bookViews>
  <sheets>
    <sheet name="Pivot Chart of PR &amp; CUF" sheetId="8" r:id="rId1"/>
    <sheet name="Pivot chart DC Loss%" sheetId="14" r:id="rId2"/>
    <sheet name="Pivot chart Inv. Loss%" sheetId="15" r:id="rId3"/>
    <sheet name="Pivot chart Plant AC Loss%" sheetId="16" r:id="rId4"/>
    <sheet name="Pivot chart T.L. Line Loss%" sheetId="17" r:id="rId5"/>
    <sheet name="Pivot chart Inv. to Grid Loss%" sheetId="18" r:id="rId6"/>
    <sheet name="PR, CUF, Losses Table content" sheetId="1" r:id="rId7"/>
    <sheet name="Pivot Chart for all Datas" sheetId="19" r:id="rId8"/>
  </sheets>
  <calcPr calcId="191029"/>
  <pivotCaches>
    <pivotCache cacheId="68" r:id="rId9"/>
    <pivotCache cacheId="8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<sst xmlns="http://schemas.openxmlformats.org/spreadsheetml/2006/main" count="260" uniqueCount="38">
  <si>
    <t>Month</t>
  </si>
  <si>
    <t>May</t>
  </si>
  <si>
    <t>CUF%</t>
  </si>
  <si>
    <t>Pvsyst PR %</t>
  </si>
  <si>
    <t>Actual PR%</t>
  </si>
  <si>
    <t>DC Loss %, Avg.</t>
  </si>
  <si>
    <t>Inv. Loss %, Avg.</t>
  </si>
  <si>
    <t>Plant AC Loss %, Avg.</t>
  </si>
  <si>
    <t>T.L. Line Loss %, Avg.</t>
  </si>
  <si>
    <t>Overall Loss Monthly (Inv. O/P to Main meter)</t>
  </si>
  <si>
    <t>Row Labels</t>
  </si>
  <si>
    <t>Grand Total</t>
  </si>
  <si>
    <t>2024</t>
  </si>
  <si>
    <t>2025</t>
  </si>
  <si>
    <t>2026</t>
  </si>
  <si>
    <t>Sum of Pvsyst PR %</t>
  </si>
  <si>
    <t>Sum of Actual PR%</t>
  </si>
  <si>
    <t>Sum of CUF%</t>
  </si>
  <si>
    <t>Sum of Inv. Loss %, Avg.</t>
  </si>
  <si>
    <t>Sum of Plant AC Loss %, Avg.</t>
  </si>
  <si>
    <t>Sum of T.L. Line Loss %, Avg.</t>
  </si>
  <si>
    <t>Sum of Overall Loss Monthly (Inv. O/P to Main meter)</t>
  </si>
  <si>
    <t>Qtr1</t>
  </si>
  <si>
    <t>Qtr2</t>
  </si>
  <si>
    <t>Qtr3</t>
  </si>
  <si>
    <t>Qtr4</t>
  </si>
  <si>
    <t>Oct</t>
  </si>
  <si>
    <t>Nov</t>
  </si>
  <si>
    <t>Jan</t>
  </si>
  <si>
    <t>Feb</t>
  </si>
  <si>
    <t>Mar</t>
  </si>
  <si>
    <t>Apr</t>
  </si>
  <si>
    <t>Jun</t>
  </si>
  <si>
    <t>Jul</t>
  </si>
  <si>
    <t>Aug</t>
  </si>
  <si>
    <t>Sep</t>
  </si>
  <si>
    <t>Sum of DC Loss %, Avg.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</si>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</sst>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0" borderId="0" xfId="0" applyNumberFormat="1"/>
    <xf numFmtId="10" fontId="6" fillId="2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indent="3"/>
    </xf>
    <xf numFmtId="17" fontId="0" fillId="0" borderId="0" xfId="0" applyNumberFormat="1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2"/>
    </xf>
    <xf numFmtId="17" fontId="0" fillId="0" borderId="0" xfId="0" applyNumberFormat="1" applyAlignment="1">
      <alignment horizontal="left" indent="3"/>
    </xf>
  </cellXfs>
  <cellStyles count="1">
    <cellStyle name="Normal" xfId="0" builtinId="0"/>
  </cellStyles>
  <dxfs count="46"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of PR &amp; CUF!PivotTable9</c:name>
    <c:fmtId val="5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 of PR &amp; CUF'!$B$3</c:f>
              <c:strCache>
                <c:ptCount val="1"/>
                <c:pt idx="0">
                  <c:v>Sum of Pvsyst PR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CUF'!$B$4:$B$64</c:f>
              <c:numCache>
                <c:formatCode>0.00%</c:formatCode>
                <c:ptCount val="24"/>
                <c:pt idx="2">
                  <c:v>0.86</c:v>
                </c:pt>
                <c:pt idx="3">
                  <c:v>0.76</c:v>
                </c:pt>
                <c:pt idx="4">
                  <c:v>0.73</c:v>
                </c:pt>
                <c:pt idx="5">
                  <c:v>0.81</c:v>
                </c:pt>
                <c:pt idx="6">
                  <c:v>0.81</c:v>
                </c:pt>
                <c:pt idx="7">
                  <c:v>0.82</c:v>
                </c:pt>
                <c:pt idx="8">
                  <c:v>0.73</c:v>
                </c:pt>
                <c:pt idx="9">
                  <c:v>0.83</c:v>
                </c:pt>
                <c:pt idx="10">
                  <c:v>0.82</c:v>
                </c:pt>
                <c:pt idx="11">
                  <c:v>0.82499999999999996</c:v>
                </c:pt>
                <c:pt idx="12">
                  <c:v>0.84199999999999997</c:v>
                </c:pt>
                <c:pt idx="13">
                  <c:v>0.86</c:v>
                </c:pt>
                <c:pt idx="14">
                  <c:v>0.76</c:v>
                </c:pt>
                <c:pt idx="15">
                  <c:v>0.73</c:v>
                </c:pt>
                <c:pt idx="16">
                  <c:v>0.81</c:v>
                </c:pt>
                <c:pt idx="17">
                  <c:v>0.81</c:v>
                </c:pt>
                <c:pt idx="18">
                  <c:v>0.82</c:v>
                </c:pt>
                <c:pt idx="19">
                  <c:v>0.73</c:v>
                </c:pt>
                <c:pt idx="20">
                  <c:v>0.83</c:v>
                </c:pt>
                <c:pt idx="21">
                  <c:v>0.82</c:v>
                </c:pt>
                <c:pt idx="22">
                  <c:v>0.82499999999999996</c:v>
                </c:pt>
                <c:pt idx="23">
                  <c:v>0.84199999999999997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C-4D6D-B6D7-BBAE9759DCD1}"/>
            </c:ext>
          </c:extLst>
        </c:ser>
        <c:ser>
          <c:idx val="1"/>
          <c:order val="1"/>
          <c:tx>
            <c:strRef>
              <c:f>'Pivot Chart of PR &amp; CUF'!$C$3</c:f>
              <c:strCache>
                <c:ptCount val="1"/>
                <c:pt idx="0">
                  <c:v>Sum of Actual PR%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CUF'!$C$4:$C$64</c:f>
              <c:numCache>
                <c:formatCode>0.00%</c:formatCode>
                <c:ptCount val="24"/>
                <c:pt idx="2">
                  <c:v>0.752</c:v>
                </c:pt>
                <c:pt idx="3">
                  <c:v>0.84530000000000005</c:v>
                </c:pt>
                <c:pt idx="4">
                  <c:v>0.81640000000000001</c:v>
                </c:pt>
                <c:pt idx="5">
                  <c:v>0.81140000000000001</c:v>
                </c:pt>
                <c:pt idx="6">
                  <c:v>0.87709999999999999</c:v>
                </c:pt>
                <c:pt idx="7">
                  <c:v>0.87709999999999999</c:v>
                </c:pt>
                <c:pt idx="8">
                  <c:v>0.93610000000000004</c:v>
                </c:pt>
                <c:pt idx="9">
                  <c:v>0.79259999999999997</c:v>
                </c:pt>
                <c:pt idx="10">
                  <c:v>0.79</c:v>
                </c:pt>
                <c:pt idx="11">
                  <c:v>0.80210000000000004</c:v>
                </c:pt>
                <c:pt idx="12">
                  <c:v>0.81069999999999998</c:v>
                </c:pt>
                <c:pt idx="13">
                  <c:v>0.83740000000000003</c:v>
                </c:pt>
                <c:pt idx="14">
                  <c:v>0.7802</c:v>
                </c:pt>
                <c:pt idx="15">
                  <c:v>0.8982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C-4D6D-B6D7-BBAE9759DCD1}"/>
            </c:ext>
          </c:extLst>
        </c:ser>
        <c:ser>
          <c:idx val="2"/>
          <c:order val="2"/>
          <c:tx>
            <c:strRef>
              <c:f>'Pivot Chart of PR &amp; CUF'!$D$3</c:f>
              <c:strCache>
                <c:ptCount val="1"/>
                <c:pt idx="0">
                  <c:v>Sum of CUF%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CUF'!$D$4:$D$64</c:f>
              <c:numCache>
                <c:formatCode>0.00%</c:formatCode>
                <c:ptCount val="24"/>
                <c:pt idx="2">
                  <c:v>0.16739999999999999</c:v>
                </c:pt>
                <c:pt idx="3">
                  <c:v>0.18579999999999999</c:v>
                </c:pt>
                <c:pt idx="4">
                  <c:v>0.24129999999999999</c:v>
                </c:pt>
                <c:pt idx="5">
                  <c:v>0.2394</c:v>
                </c:pt>
                <c:pt idx="6">
                  <c:v>0.22559999999999999</c:v>
                </c:pt>
                <c:pt idx="7">
                  <c:v>0.20019999999999999</c:v>
                </c:pt>
                <c:pt idx="8">
                  <c:v>0.14580000000000001</c:v>
                </c:pt>
                <c:pt idx="9">
                  <c:v>0.16739999999999999</c:v>
                </c:pt>
                <c:pt idx="10">
                  <c:v>0.1852</c:v>
                </c:pt>
                <c:pt idx="11">
                  <c:v>0.18640000000000001</c:v>
                </c:pt>
                <c:pt idx="12">
                  <c:v>0.18099999999999999</c:v>
                </c:pt>
                <c:pt idx="13">
                  <c:v>0.19420000000000001</c:v>
                </c:pt>
                <c:pt idx="14">
                  <c:v>0.18870000000000001</c:v>
                </c:pt>
                <c:pt idx="15">
                  <c:v>0.22689999999999999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C-4D6D-B6D7-BBAE9759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283440"/>
        <c:axId val="614299760"/>
      </c:barChart>
      <c:catAx>
        <c:axId val="6142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99760"/>
        <c:crosses val="autoZero"/>
        <c:auto val="1"/>
        <c:lblAlgn val="ctr"/>
        <c:lblOffset val="100"/>
        <c:noMultiLvlLbl val="0"/>
      </c:catAx>
      <c:valAx>
        <c:axId val="6142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DC Loss%!PivotTable7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DC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DC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DC Loss%'!$B$2:$B$41</c:f>
              <c:numCache>
                <c:formatCode>0.00%</c:formatCode>
                <c:ptCount val="27"/>
                <c:pt idx="11">
                  <c:v>-0.15670000000000001</c:v>
                </c:pt>
                <c:pt idx="12">
                  <c:v>-0.15670000000000001</c:v>
                </c:pt>
                <c:pt idx="13">
                  <c:v>-0.25929999999999997</c:v>
                </c:pt>
                <c:pt idx="14">
                  <c:v>-0.1396571502</c:v>
                </c:pt>
                <c:pt idx="15">
                  <c:v>-0.1191</c:v>
                </c:pt>
                <c:pt idx="16">
                  <c:v>-0.14019999999999999</c:v>
                </c:pt>
                <c:pt idx="17">
                  <c:v>-0.17480000000000001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0-4AFC-B604-DA9B12EE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47536"/>
        <c:axId val="738547056"/>
      </c:lineChart>
      <c:catAx>
        <c:axId val="7385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7056"/>
        <c:crosses val="autoZero"/>
        <c:auto val="1"/>
        <c:lblAlgn val="ctr"/>
        <c:lblOffset val="100"/>
        <c:noMultiLvlLbl val="0"/>
      </c:catAx>
      <c:valAx>
        <c:axId val="7385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Inv. Loss%!PivotTable8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Inv.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Inv. Loss%'!$A$2:$A$44</c:f>
              <c:multiLvlStrCache>
                <c:ptCount val="27"/>
                <c:lvl>
                  <c:pt idx="0">
                    <c:v>Oct-24</c:v>
                  </c:pt>
                  <c:pt idx="12">
                    <c:v>Oct-25</c:v>
                  </c:pt>
                  <c:pt idx="24">
                    <c:v>Oct-26</c:v>
                  </c:pt>
                </c:lvl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Inv. Loss%'!$B$2:$B$44</c:f>
              <c:numCache>
                <c:formatCode>0.00%</c:formatCode>
                <c:ptCount val="27"/>
                <c:pt idx="11">
                  <c:v>-8.9999999999999998E-4</c:v>
                </c:pt>
                <c:pt idx="12">
                  <c:v>3.8999999999999998E-3</c:v>
                </c:pt>
                <c:pt idx="13">
                  <c:v>0</c:v>
                </c:pt>
                <c:pt idx="14">
                  <c:v>-1.010358636E-2</c:v>
                </c:pt>
                <c:pt idx="15">
                  <c:v>-1.23E-2</c:v>
                </c:pt>
                <c:pt idx="16">
                  <c:v>-9.4999999999999998E-3</c:v>
                </c:pt>
                <c:pt idx="17">
                  <c:v>-4.8999999999999998E-3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D-4E46-A6CA-4C691C89E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48016"/>
        <c:axId val="738532176"/>
      </c:lineChart>
      <c:catAx>
        <c:axId val="7385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2176"/>
        <c:crosses val="autoZero"/>
        <c:auto val="1"/>
        <c:lblAlgn val="ctr"/>
        <c:lblOffset val="100"/>
        <c:noMultiLvlLbl val="0"/>
      </c:catAx>
      <c:valAx>
        <c:axId val="73853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Plant AC Loss%!PivotTable9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Plant AC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Plant AC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Plant AC Loss%'!$B$2:$B$41</c:f>
              <c:numCache>
                <c:formatCode>0.00%</c:formatCode>
                <c:ptCount val="27"/>
                <c:pt idx="11">
                  <c:v>8.8999999999999999E-3</c:v>
                </c:pt>
                <c:pt idx="12">
                  <c:v>-2.9999999999999997E-4</c:v>
                </c:pt>
                <c:pt idx="13">
                  <c:v>-3.3999999999999998E-3</c:v>
                </c:pt>
                <c:pt idx="14">
                  <c:v>-3.9800000000000002E-2</c:v>
                </c:pt>
                <c:pt idx="15">
                  <c:v>-4.3E-3</c:v>
                </c:pt>
                <c:pt idx="16">
                  <c:v>-5.4000000000000003E-3</c:v>
                </c:pt>
                <c:pt idx="17">
                  <c:v>-4.7999999999999996E-3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D-4750-B4A2-6B73DCF3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03120"/>
        <c:axId val="614307440"/>
      </c:lineChart>
      <c:catAx>
        <c:axId val="6143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7440"/>
        <c:crosses val="autoZero"/>
        <c:auto val="1"/>
        <c:lblAlgn val="ctr"/>
        <c:lblOffset val="100"/>
        <c:noMultiLvlLbl val="0"/>
      </c:catAx>
      <c:valAx>
        <c:axId val="6143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T.L. Line Loss%!PivotTable10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T.L. Line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T.L. Line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T.L. Line Loss%'!$B$2:$B$41</c:f>
              <c:numCache>
                <c:formatCode>0.00%</c:formatCode>
                <c:ptCount val="27"/>
                <c:pt idx="11">
                  <c:v>-1.11E-2</c:v>
                </c:pt>
                <c:pt idx="12">
                  <c:v>-1.06E-2</c:v>
                </c:pt>
                <c:pt idx="13">
                  <c:v>-1.0500000000000001E-2</c:v>
                </c:pt>
                <c:pt idx="14">
                  <c:v>-1.0339291340000001E-2</c:v>
                </c:pt>
                <c:pt idx="15">
                  <c:v>-1.0699999999999999E-2</c:v>
                </c:pt>
                <c:pt idx="16">
                  <c:v>-3.5999999999999999E-3</c:v>
                </c:pt>
                <c:pt idx="17">
                  <c:v>-1.0500000000000001E-2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E-4073-92C3-51F07B328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11280"/>
        <c:axId val="614295920"/>
      </c:lineChart>
      <c:catAx>
        <c:axId val="61431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95920"/>
        <c:crosses val="autoZero"/>
        <c:auto val="1"/>
        <c:lblAlgn val="ctr"/>
        <c:lblOffset val="100"/>
        <c:noMultiLvlLbl val="0"/>
      </c:catAx>
      <c:valAx>
        <c:axId val="6142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Inv. to Grid Loss%!PivotTable11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Inv. to Grid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Inv. to Grid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Inv. to Grid Loss%'!$B$2:$B$41</c:f>
              <c:numCache>
                <c:formatCode>0.00%</c:formatCode>
                <c:ptCount val="27"/>
                <c:pt idx="3">
                  <c:v>1.2800000000000001E-2</c:v>
                </c:pt>
                <c:pt idx="4">
                  <c:v>-2.8E-3</c:v>
                </c:pt>
                <c:pt idx="5">
                  <c:v>-4.4000000000000003E-3</c:v>
                </c:pt>
                <c:pt idx="6">
                  <c:v>-5.0000000000000001E-4</c:v>
                </c:pt>
                <c:pt idx="7">
                  <c:v>-4.0000000000000002E-4</c:v>
                </c:pt>
                <c:pt idx="8">
                  <c:v>-3.8399999999999997E-2</c:v>
                </c:pt>
                <c:pt idx="9">
                  <c:v>2.3E-3</c:v>
                </c:pt>
                <c:pt idx="10">
                  <c:v>2.5000000000000001E-3</c:v>
                </c:pt>
                <c:pt idx="11">
                  <c:v>-2.3999999999999998E-3</c:v>
                </c:pt>
                <c:pt idx="12">
                  <c:v>-1.09E-2</c:v>
                </c:pt>
                <c:pt idx="13">
                  <c:v>-1.41E-2</c:v>
                </c:pt>
                <c:pt idx="14">
                  <c:v>-1.4500000000000001E-2</c:v>
                </c:pt>
                <c:pt idx="15">
                  <c:v>-1.49E-2</c:v>
                </c:pt>
                <c:pt idx="16">
                  <c:v>-1.52E-2</c:v>
                </c:pt>
                <c:pt idx="17">
                  <c:v>-1.5599999999999999E-2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F-4C20-8475-05313E833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25680"/>
        <c:axId val="614333840"/>
      </c:lineChart>
      <c:catAx>
        <c:axId val="6143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33840"/>
        <c:crosses val="autoZero"/>
        <c:auto val="1"/>
        <c:lblAlgn val="ctr"/>
        <c:lblOffset val="100"/>
        <c:noMultiLvlLbl val="0"/>
      </c:catAx>
      <c:valAx>
        <c:axId val="6143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of PR &amp; CUF!PivotTable9</c:name>
    <c:fmtId val="5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 of PR &amp; CUF'!$B$3</c:f>
              <c:strCache>
                <c:ptCount val="1"/>
                <c:pt idx="0">
                  <c:v>Sum of Pvsyst PR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CUF'!$B$4:$B$64</c:f>
              <c:numCache>
                <c:formatCode>0.00%</c:formatCode>
                <c:ptCount val="24"/>
                <c:pt idx="2">
                  <c:v>0.86</c:v>
                </c:pt>
                <c:pt idx="3">
                  <c:v>0.76</c:v>
                </c:pt>
                <c:pt idx="4">
                  <c:v>0.73</c:v>
                </c:pt>
                <c:pt idx="5">
                  <c:v>0.81</c:v>
                </c:pt>
                <c:pt idx="6">
                  <c:v>0.81</c:v>
                </c:pt>
                <c:pt idx="7">
                  <c:v>0.82</c:v>
                </c:pt>
                <c:pt idx="8">
                  <c:v>0.73</c:v>
                </c:pt>
                <c:pt idx="9">
                  <c:v>0.83</c:v>
                </c:pt>
                <c:pt idx="10">
                  <c:v>0.82</c:v>
                </c:pt>
                <c:pt idx="11">
                  <c:v>0.82499999999999996</c:v>
                </c:pt>
                <c:pt idx="12">
                  <c:v>0.84199999999999997</c:v>
                </c:pt>
                <c:pt idx="13">
                  <c:v>0.86</c:v>
                </c:pt>
                <c:pt idx="14">
                  <c:v>0.76</c:v>
                </c:pt>
                <c:pt idx="15">
                  <c:v>0.73</c:v>
                </c:pt>
                <c:pt idx="16">
                  <c:v>0.81</c:v>
                </c:pt>
                <c:pt idx="17">
                  <c:v>0.81</c:v>
                </c:pt>
                <c:pt idx="18">
                  <c:v>0.82</c:v>
                </c:pt>
                <c:pt idx="19">
                  <c:v>0.73</c:v>
                </c:pt>
                <c:pt idx="20">
                  <c:v>0.83</c:v>
                </c:pt>
                <c:pt idx="21">
                  <c:v>0.82</c:v>
                </c:pt>
                <c:pt idx="22">
                  <c:v>0.82499999999999996</c:v>
                </c:pt>
                <c:pt idx="23">
                  <c:v>0.84199999999999997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B-4610-9D3E-7B7614DEB889}"/>
            </c:ext>
          </c:extLst>
        </c:ser>
        <c:ser>
          <c:idx val="1"/>
          <c:order val="1"/>
          <c:tx>
            <c:strRef>
              <c:f>'Pivot Chart of PR &amp; CUF'!$C$3</c:f>
              <c:strCache>
                <c:ptCount val="1"/>
                <c:pt idx="0">
                  <c:v>Sum of Actual PR%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CUF'!$C$4:$C$64</c:f>
              <c:numCache>
                <c:formatCode>0.00%</c:formatCode>
                <c:ptCount val="24"/>
                <c:pt idx="2">
                  <c:v>0.752</c:v>
                </c:pt>
                <c:pt idx="3">
                  <c:v>0.84530000000000005</c:v>
                </c:pt>
                <c:pt idx="4">
                  <c:v>0.81640000000000001</c:v>
                </c:pt>
                <c:pt idx="5">
                  <c:v>0.81140000000000001</c:v>
                </c:pt>
                <c:pt idx="6">
                  <c:v>0.87709999999999999</c:v>
                </c:pt>
                <c:pt idx="7">
                  <c:v>0.87709999999999999</c:v>
                </c:pt>
                <c:pt idx="8">
                  <c:v>0.93610000000000004</c:v>
                </c:pt>
                <c:pt idx="9">
                  <c:v>0.79259999999999997</c:v>
                </c:pt>
                <c:pt idx="10">
                  <c:v>0.79</c:v>
                </c:pt>
                <c:pt idx="11">
                  <c:v>0.80210000000000004</c:v>
                </c:pt>
                <c:pt idx="12">
                  <c:v>0.81069999999999998</c:v>
                </c:pt>
                <c:pt idx="13">
                  <c:v>0.83740000000000003</c:v>
                </c:pt>
                <c:pt idx="14">
                  <c:v>0.7802</c:v>
                </c:pt>
                <c:pt idx="15">
                  <c:v>0.8982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B-4610-9D3E-7B7614DEB889}"/>
            </c:ext>
          </c:extLst>
        </c:ser>
        <c:ser>
          <c:idx val="2"/>
          <c:order val="2"/>
          <c:tx>
            <c:strRef>
              <c:f>'Pivot Chart of PR &amp; CUF'!$D$3</c:f>
              <c:strCache>
                <c:ptCount val="1"/>
                <c:pt idx="0">
                  <c:v>Sum of CUF%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Chart of PR &amp; CUF'!$A$4:$A$64</c:f>
              <c:multiLvlStrCache>
                <c:ptCount val="24"/>
                <c:lvl>
                  <c:pt idx="0">
                    <c:v>Oct</c:v>
                  </c:pt>
                  <c:pt idx="1">
                    <c:v>Nov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Oct-24</c:v>
                  </c:pt>
                  <c:pt idx="1">
                    <c:v>Nov-24</c:v>
                  </c:pt>
                  <c:pt idx="2">
                    <c:v>Jan-25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Apr-25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Aug-25</c:v>
                  </c:pt>
                  <c:pt idx="10">
                    <c:v>Sep-25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Jan-26</c:v>
                  </c:pt>
                  <c:pt idx="14">
                    <c:v>Feb-26</c:v>
                  </c:pt>
                  <c:pt idx="15">
                    <c:v>Mar-26</c:v>
                  </c:pt>
                  <c:pt idx="16">
                    <c:v>Apr-26</c:v>
                  </c:pt>
                  <c:pt idx="17">
                    <c:v>May-26</c:v>
                  </c:pt>
                  <c:pt idx="18">
                    <c:v>Jun-26</c:v>
                  </c:pt>
                  <c:pt idx="19">
                    <c:v>Jul-26</c:v>
                  </c:pt>
                  <c:pt idx="20">
                    <c:v>Aug-26</c:v>
                  </c:pt>
                  <c:pt idx="21">
                    <c:v>Sep-26</c:v>
                  </c:pt>
                  <c:pt idx="22">
                    <c:v>Oct-26</c:v>
                  </c:pt>
                  <c:pt idx="23">
                    <c:v>Nov-26</c:v>
                  </c:pt>
                </c:lvl>
                <c:lvl>
                  <c:pt idx="0">
                    <c:v>Qtr4</c:v>
                  </c:pt>
                  <c:pt idx="2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  <c:pt idx="13">
                    <c:v>Qtr1</c:v>
                  </c:pt>
                  <c:pt idx="16">
                    <c:v>Qtr2</c:v>
                  </c:pt>
                  <c:pt idx="19">
                    <c:v>Qtr3</c:v>
                  </c:pt>
                  <c:pt idx="22">
                    <c:v>Qtr4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'Pivot Chart of PR &amp; CUF'!$D$4:$D$64</c:f>
              <c:numCache>
                <c:formatCode>0.00%</c:formatCode>
                <c:ptCount val="24"/>
                <c:pt idx="2">
                  <c:v>0.16739999999999999</c:v>
                </c:pt>
                <c:pt idx="3">
                  <c:v>0.18579999999999999</c:v>
                </c:pt>
                <c:pt idx="4">
                  <c:v>0.24129999999999999</c:v>
                </c:pt>
                <c:pt idx="5">
                  <c:v>0.2394</c:v>
                </c:pt>
                <c:pt idx="6">
                  <c:v>0.22559999999999999</c:v>
                </c:pt>
                <c:pt idx="7">
                  <c:v>0.20019999999999999</c:v>
                </c:pt>
                <c:pt idx="8">
                  <c:v>0.14580000000000001</c:v>
                </c:pt>
                <c:pt idx="9">
                  <c:v>0.16739999999999999</c:v>
                </c:pt>
                <c:pt idx="10">
                  <c:v>0.1852</c:v>
                </c:pt>
                <c:pt idx="11">
                  <c:v>0.18640000000000001</c:v>
                </c:pt>
                <c:pt idx="12">
                  <c:v>0.18099999999999999</c:v>
                </c:pt>
                <c:pt idx="13">
                  <c:v>0.19420000000000001</c:v>
                </c:pt>
                <c:pt idx="14">
                  <c:v>0.18870000000000001</c:v>
                </c:pt>
                <c:pt idx="15">
                  <c:v>0.22689999999999999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B-4610-9D3E-7B7614DEB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283440"/>
        <c:axId val="614299760"/>
      </c:barChart>
      <c:catAx>
        <c:axId val="6142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99760"/>
        <c:crosses val="autoZero"/>
        <c:auto val="1"/>
        <c:lblAlgn val="ctr"/>
        <c:lblOffset val="100"/>
        <c:noMultiLvlLbl val="0"/>
      </c:catAx>
      <c:valAx>
        <c:axId val="6142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DC Loss%!PivotTable7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DC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DC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DC Loss%'!$B$2:$B$41</c:f>
              <c:numCache>
                <c:formatCode>0.00%</c:formatCode>
                <c:ptCount val="27"/>
                <c:pt idx="11">
                  <c:v>-0.15670000000000001</c:v>
                </c:pt>
                <c:pt idx="12">
                  <c:v>-0.15670000000000001</c:v>
                </c:pt>
                <c:pt idx="13">
                  <c:v>-0.25929999999999997</c:v>
                </c:pt>
                <c:pt idx="14">
                  <c:v>-0.1396571502</c:v>
                </c:pt>
                <c:pt idx="15">
                  <c:v>-0.1191</c:v>
                </c:pt>
                <c:pt idx="16">
                  <c:v>-0.14019999999999999</c:v>
                </c:pt>
                <c:pt idx="17">
                  <c:v>-0.17480000000000001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5F2-B01A-AEF8B5FB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47536"/>
        <c:axId val="738547056"/>
      </c:lineChart>
      <c:catAx>
        <c:axId val="7385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7056"/>
        <c:crosses val="autoZero"/>
        <c:auto val="1"/>
        <c:lblAlgn val="ctr"/>
        <c:lblOffset val="100"/>
        <c:noMultiLvlLbl val="0"/>
      </c:catAx>
      <c:valAx>
        <c:axId val="7385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Inv. Loss%!PivotTable8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Inv.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Inv. Loss%'!$A$2:$A$44</c:f>
              <c:multiLvlStrCache>
                <c:ptCount val="27"/>
                <c:lvl>
                  <c:pt idx="0">
                    <c:v>Oct-24</c:v>
                  </c:pt>
                  <c:pt idx="12">
                    <c:v>Oct-25</c:v>
                  </c:pt>
                  <c:pt idx="24">
                    <c:v>Oct-26</c:v>
                  </c:pt>
                </c:lvl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Inv. Loss%'!$B$2:$B$44</c:f>
              <c:numCache>
                <c:formatCode>0.00%</c:formatCode>
                <c:ptCount val="27"/>
                <c:pt idx="11">
                  <c:v>-8.9999999999999998E-4</c:v>
                </c:pt>
                <c:pt idx="12">
                  <c:v>3.8999999999999998E-3</c:v>
                </c:pt>
                <c:pt idx="13">
                  <c:v>0</c:v>
                </c:pt>
                <c:pt idx="14">
                  <c:v>-1.010358636E-2</c:v>
                </c:pt>
                <c:pt idx="15">
                  <c:v>-1.23E-2</c:v>
                </c:pt>
                <c:pt idx="16">
                  <c:v>-9.4999999999999998E-3</c:v>
                </c:pt>
                <c:pt idx="17">
                  <c:v>-4.8999999999999998E-3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D-429C-AD61-CD5456EE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48016"/>
        <c:axId val="738532176"/>
      </c:lineChart>
      <c:catAx>
        <c:axId val="7385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2176"/>
        <c:crosses val="autoZero"/>
        <c:auto val="1"/>
        <c:lblAlgn val="ctr"/>
        <c:lblOffset val="100"/>
        <c:noMultiLvlLbl val="0"/>
      </c:catAx>
      <c:valAx>
        <c:axId val="73853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Plant AC Loss%!PivotTable9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Plant AC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Plant AC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Plant AC Loss%'!$B$2:$B$41</c:f>
              <c:numCache>
                <c:formatCode>0.00%</c:formatCode>
                <c:ptCount val="27"/>
                <c:pt idx="11">
                  <c:v>8.8999999999999999E-3</c:v>
                </c:pt>
                <c:pt idx="12">
                  <c:v>-2.9999999999999997E-4</c:v>
                </c:pt>
                <c:pt idx="13">
                  <c:v>-3.3999999999999998E-3</c:v>
                </c:pt>
                <c:pt idx="14">
                  <c:v>-3.9800000000000002E-2</c:v>
                </c:pt>
                <c:pt idx="15">
                  <c:v>-4.3E-3</c:v>
                </c:pt>
                <c:pt idx="16">
                  <c:v>-5.4000000000000003E-3</c:v>
                </c:pt>
                <c:pt idx="17">
                  <c:v>-4.7999999999999996E-3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F-43ED-B9D6-08132B85C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03120"/>
        <c:axId val="614307440"/>
      </c:lineChart>
      <c:catAx>
        <c:axId val="6143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7440"/>
        <c:crosses val="autoZero"/>
        <c:auto val="1"/>
        <c:lblAlgn val="ctr"/>
        <c:lblOffset val="100"/>
        <c:noMultiLvlLbl val="0"/>
      </c:catAx>
      <c:valAx>
        <c:axId val="6143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T.L. Line Loss%!PivotTable10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T.L. Line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T.L. Line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T.L. Line Loss%'!$B$2:$B$41</c:f>
              <c:numCache>
                <c:formatCode>0.00%</c:formatCode>
                <c:ptCount val="27"/>
                <c:pt idx="11">
                  <c:v>-1.11E-2</c:v>
                </c:pt>
                <c:pt idx="12">
                  <c:v>-1.06E-2</c:v>
                </c:pt>
                <c:pt idx="13">
                  <c:v>-1.0500000000000001E-2</c:v>
                </c:pt>
                <c:pt idx="14">
                  <c:v>-1.0339291340000001E-2</c:v>
                </c:pt>
                <c:pt idx="15">
                  <c:v>-1.0699999999999999E-2</c:v>
                </c:pt>
                <c:pt idx="16">
                  <c:v>-3.5999999999999999E-3</c:v>
                </c:pt>
                <c:pt idx="17">
                  <c:v>-1.0500000000000001E-2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4-4FE5-A97C-02E111E2C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11280"/>
        <c:axId val="614295920"/>
      </c:lineChart>
      <c:catAx>
        <c:axId val="61431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95920"/>
        <c:crosses val="autoZero"/>
        <c:auto val="1"/>
        <c:lblAlgn val="ctr"/>
        <c:lblOffset val="100"/>
        <c:noMultiLvlLbl val="0"/>
      </c:catAx>
      <c:valAx>
        <c:axId val="6142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 CUF &amp; LOSSES Pivot chart.xlsx]Pivot chart Inv. to Grid Loss%!PivotTable11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chart Inv. to Grid Loss%'!$B$1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 Inv. to Grid Loss%'!$A$2:$A$41</c:f>
              <c:multiLvlStrCache>
                <c:ptCount val="2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</c:lvl>
                <c:lvl>
                  <c:pt idx="0">
                    <c:v>Qtr4</c:v>
                  </c:pt>
                  <c:pt idx="3">
                    <c:v>Qtr1</c:v>
                  </c:pt>
                  <c:pt idx="6">
                    <c:v>Qtr2</c:v>
                  </c:pt>
                  <c:pt idx="9">
                    <c:v>Qtr3</c:v>
                  </c:pt>
                  <c:pt idx="12">
                    <c:v>Qtr4</c:v>
                  </c:pt>
                  <c:pt idx="15">
                    <c:v>Qtr1</c:v>
                  </c:pt>
                  <c:pt idx="18">
                    <c:v>Qtr2</c:v>
                  </c:pt>
                  <c:pt idx="21">
                    <c:v>Qtr3</c:v>
                  </c:pt>
                  <c:pt idx="24">
                    <c:v>Qtr4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  <c:pt idx="15">
                    <c:v>2026</c:v>
                  </c:pt>
                </c:lvl>
              </c:multiLvlStrCache>
            </c:multiLvlStrRef>
          </c:cat>
          <c:val>
            <c:numRef>
              <c:f>'Pivot chart Inv. to Grid Loss%'!$B$2:$B$41</c:f>
              <c:numCache>
                <c:formatCode>0.00%</c:formatCode>
                <c:ptCount val="27"/>
                <c:pt idx="3">
                  <c:v>1.2800000000000001E-2</c:v>
                </c:pt>
                <c:pt idx="4">
                  <c:v>-2.8E-3</c:v>
                </c:pt>
                <c:pt idx="5">
                  <c:v>-4.4000000000000003E-3</c:v>
                </c:pt>
                <c:pt idx="6">
                  <c:v>-5.0000000000000001E-4</c:v>
                </c:pt>
                <c:pt idx="7">
                  <c:v>-4.0000000000000002E-4</c:v>
                </c:pt>
                <c:pt idx="8">
                  <c:v>-3.8399999999999997E-2</c:v>
                </c:pt>
                <c:pt idx="9">
                  <c:v>2.3E-3</c:v>
                </c:pt>
                <c:pt idx="10">
                  <c:v>2.5000000000000001E-3</c:v>
                </c:pt>
                <c:pt idx="11">
                  <c:v>-2.3999999999999998E-3</c:v>
                </c:pt>
                <c:pt idx="12">
                  <c:v>-1.09E-2</c:v>
                </c:pt>
                <c:pt idx="13">
                  <c:v>-1.41E-2</c:v>
                </c:pt>
                <c:pt idx="14">
                  <c:v>-1.4500000000000001E-2</c:v>
                </c:pt>
                <c:pt idx="15">
                  <c:v>-1.49E-2</c:v>
                </c:pt>
                <c:pt idx="16">
                  <c:v>-1.52E-2</c:v>
                </c:pt>
                <c:pt idx="17">
                  <c:v>-1.5599999999999999E-2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D-43F1-97BC-DC02FB189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25680"/>
        <c:axId val="614333840"/>
      </c:lineChart>
      <c:catAx>
        <c:axId val="6143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33840"/>
        <c:crosses val="autoZero"/>
        <c:auto val="1"/>
        <c:lblAlgn val="ctr"/>
        <c:lblOffset val="100"/>
        <c:noMultiLvlLbl val="0"/>
      </c:catAx>
      <c:valAx>
        <c:axId val="6143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3968</xdr:colOff>
      <xdr:row>2</xdr:row>
      <xdr:rowOff>9525</xdr:rowOff>
    </xdr:from>
    <xdr:to>
      <xdr:col>18</xdr:col>
      <xdr:colOff>611186</xdr:colOff>
      <xdr:row>21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064E5-1846-243D-FCBD-AA2FC61AE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174625</xdr:rowOff>
    </xdr:from>
    <xdr:to>
      <xdr:col>13</xdr:col>
      <xdr:colOff>590550</xdr:colOff>
      <xdr:row>20</xdr:row>
      <xdr:rowOff>7055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17B09-4FC6-1CBA-38F0-129AF76A2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6350</xdr:rowOff>
    </xdr:from>
    <xdr:to>
      <xdr:col>15</xdr:col>
      <xdr:colOff>571500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783B4-59F2-7A05-8474-6A68598C3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174625</xdr:rowOff>
    </xdr:from>
    <xdr:to>
      <xdr:col>10</xdr:col>
      <xdr:colOff>295275</xdr:colOff>
      <xdr:row>15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B802A-7194-37A1-0B78-04D651EA1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48398-652B-9BEA-1CD2-91E96B1C9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0</xdr:row>
      <xdr:rowOff>0</xdr:rowOff>
    </xdr:from>
    <xdr:to>
      <xdr:col>12</xdr:col>
      <xdr:colOff>69850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DCCFF-9F5C-5ADC-C8AE-2A554ECE6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21166</xdr:colOff>
      <xdr:row>43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D8F17-CDFF-4C81-BD4F-6C78B8FCB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21165</xdr:colOff>
      <xdr:row>0</xdr:row>
      <xdr:rowOff>0</xdr:rowOff>
    </xdr:from>
    <xdr:to>
      <xdr:col>49</xdr:col>
      <xdr:colOff>592666</xdr:colOff>
      <xdr:row>43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AF5EA-2582-443D-831D-5B7590B23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592667</xdr:colOff>
      <xdr:row>0</xdr:row>
      <xdr:rowOff>0</xdr:rowOff>
    </xdr:from>
    <xdr:to>
      <xdr:col>60</xdr:col>
      <xdr:colOff>63500</xdr:colOff>
      <xdr:row>43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8E5A0-5ACF-447A-92AF-E9CC66FCE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127000</xdr:rowOff>
    </xdr:from>
    <xdr:to>
      <xdr:col>20</xdr:col>
      <xdr:colOff>42333</xdr:colOff>
      <xdr:row>88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049751-F0EF-49C8-9F8D-0AEAD2476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21166</xdr:colOff>
      <xdr:row>43</xdr:row>
      <xdr:rowOff>169333</xdr:rowOff>
    </xdr:from>
    <xdr:to>
      <xdr:col>40</xdr:col>
      <xdr:colOff>42334</xdr:colOff>
      <xdr:row>88</xdr:row>
      <xdr:rowOff>42333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5CA79D-EB38-4F50-B087-4121F7827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42334</xdr:colOff>
      <xdr:row>43</xdr:row>
      <xdr:rowOff>169333</xdr:rowOff>
    </xdr:from>
    <xdr:to>
      <xdr:col>59</xdr:col>
      <xdr:colOff>592666</xdr:colOff>
      <xdr:row>88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839F95-6ABD-4804-976A-694260DDE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nishchoubey" refreshedDate="46121.749319444447" createdVersion="8" refreshedVersion="8" minRefreshableVersion="3" recordCount="27" xr:uid="{0A3A1133-06F6-4F72-9114-D8928D48DC0A}">
  <cacheSource type="worksheet">
    <worksheetSource ref="A1:I28" sheet="PR, CUF, Losses Table content"/>
  </cacheSource>
  <cacheFields count="12">
    <cacheField name="Month" numFmtId="17">
      <sharedItems containsSemiMixedTypes="0" containsNonDate="0" containsDate="1" containsString="0" minDate="2024-10-01T00:00:00" maxDate="2026-12-02T00:00:00" count="27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11"/>
    </cacheField>
    <cacheField name="Pvsyst PR %" numFmtId="10">
      <sharedItems containsString="0" containsBlank="1" containsNumber="1" minValue="0.73" maxValue="0.86199999999999999"/>
    </cacheField>
    <cacheField name="Actual PR%" numFmtId="0">
      <sharedItems containsString="0" containsBlank="1" containsNumber="1" minValue="0.752" maxValue="0.93610000000000004"/>
    </cacheField>
    <cacheField name="CUF%" numFmtId="0">
      <sharedItems containsString="0" containsBlank="1" containsNumber="1" minValue="0.14580000000000001" maxValue="0.24129999999999999"/>
    </cacheField>
    <cacheField name="DC Loss %, Avg." numFmtId="0">
      <sharedItems containsString="0" containsBlank="1" containsNumber="1" minValue="-0.25929999999999997" maxValue="-0.1191"/>
    </cacheField>
    <cacheField name="Inv. Loss %, Avg." numFmtId="0">
      <sharedItems containsString="0" containsBlank="1" containsNumber="1" minValue="-1.23E-2" maxValue="3.8999999999999998E-3"/>
    </cacheField>
    <cacheField name="Plant AC Loss %, Avg." numFmtId="0">
      <sharedItems containsString="0" containsBlank="1" containsNumber="1" minValue="-3.9800000000000002E-2" maxValue="8.8999999999999999E-3"/>
    </cacheField>
    <cacheField name="T.L. Line Loss %, Avg." numFmtId="0">
      <sharedItems containsString="0" containsBlank="1" containsNumber="1" minValue="-1.11E-2" maxValue="-3.5999999999999999E-3"/>
    </cacheField>
    <cacheField name="Overall Loss Monthly (Inv. O/P to Main meter)" numFmtId="0">
      <sharedItems containsString="0" containsBlank="1" containsNumber="1" minValue="-3.8399999999999997E-2" maxValue="1.2800000000000001E-2"/>
    </cacheField>
    <cacheField name="Months (Month)" numFmtId="0" databaseField="0">
      <fieldGroup base="0">
        <rangePr groupBy="months" startDate="2024-10-01T00:00:00" endDate="2026-12-02T00:00:00"/>
        <groupItems count="14">
          <s v="&lt;01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6"/>
        </groupItems>
      </fieldGroup>
    </cacheField>
    <cacheField name="Quarters (Month)" numFmtId="0" databaseField="0">
      <fieldGroup base="0">
        <rangePr groupBy="quarters" startDate="2024-10-01T00:00:00" endDate="2026-12-02T00:00:00"/>
        <groupItems count="6">
          <s v="&lt;01-10-2024"/>
          <s v="Qtr1"/>
          <s v="Qtr2"/>
          <s v="Qtr3"/>
          <s v="Qtr4"/>
          <s v="&gt;02-12-2026"/>
        </groupItems>
      </fieldGroup>
    </cacheField>
    <cacheField name="Years (Month)" numFmtId="0" databaseField="0">
      <fieldGroup base="0">
        <rangePr groupBy="years" startDate="2024-10-01T00:00:00" endDate="2026-12-02T00:00:00"/>
        <groupItems count="5">
          <s v="&lt;01-10-2024"/>
          <s v="2024"/>
          <s v="2025"/>
          <s v="2026"/>
          <s v="&gt;02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nishchoubey" refreshedDate="46121.749557986113" createdVersion="8" refreshedVersion="8" minRefreshableVersion="3" recordCount="27" xr:uid="{A45018C5-32DC-489A-B637-79069B86089D}">
  <cacheSource type="worksheet">
    <worksheetSource ref="A1:I28" sheet="PR, CUF, Losses Table content"/>
  </cacheSource>
  <cacheFields count="12">
    <cacheField name="Month" numFmtId="17">
      <sharedItems containsSemiMixedTypes="0" containsNonDate="0" containsDate="1" containsString="0" minDate="2024-10-01T00:00:00" maxDate="2026-12-02T00:00:00" count="27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11"/>
    </cacheField>
    <cacheField name="Pvsyst PR %" numFmtId="10">
      <sharedItems containsString="0" containsBlank="1" containsNumber="1" minValue="0.73" maxValue="0.86199999999999999"/>
    </cacheField>
    <cacheField name="Actual PR%" numFmtId="0">
      <sharedItems containsString="0" containsBlank="1" containsNumber="1" minValue="0.752" maxValue="0.93610000000000004"/>
    </cacheField>
    <cacheField name="CUF%" numFmtId="0">
      <sharedItems containsString="0" containsBlank="1" containsNumber="1" minValue="0.14580000000000001" maxValue="0.24129999999999999"/>
    </cacheField>
    <cacheField name="DC Loss %, Avg." numFmtId="0">
      <sharedItems containsString="0" containsBlank="1" containsNumber="1" minValue="-0.25929999999999997" maxValue="-0.1191"/>
    </cacheField>
    <cacheField name="Inv. Loss %, Avg." numFmtId="0">
      <sharedItems containsString="0" containsBlank="1" containsNumber="1" minValue="-1.23E-2" maxValue="3.8999999999999998E-3"/>
    </cacheField>
    <cacheField name="Plant AC Loss %, Avg." numFmtId="0">
      <sharedItems containsString="0" containsBlank="1" containsNumber="1" minValue="-3.9800000000000002E-2" maxValue="8.8999999999999999E-3"/>
    </cacheField>
    <cacheField name="T.L. Line Loss %, Avg." numFmtId="0">
      <sharedItems containsString="0" containsBlank="1" containsNumber="1" minValue="-1.11E-2" maxValue="-3.5999999999999999E-3"/>
    </cacheField>
    <cacheField name="Overall Loss Monthly (Inv. O/P to Main meter)" numFmtId="0">
      <sharedItems containsString="0" containsBlank="1" containsNumber="1" minValue="-3.8399999999999997E-2" maxValue="1.2800000000000001E-2"/>
    </cacheField>
    <cacheField name="Months (Month)" numFmtId="0" databaseField="0">
      <fieldGroup base="0">
        <rangePr groupBy="months" startDate="2024-10-01T00:00:00" endDate="2026-12-02T00:00:00"/>
        <groupItems count="14">
          <s v="&lt;01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6"/>
        </groupItems>
      </fieldGroup>
    </cacheField>
    <cacheField name="Quarters (Month)" numFmtId="0" databaseField="0">
      <fieldGroup base="0">
        <rangePr groupBy="quarters" startDate="2024-10-01T00:00:00" endDate="2026-12-02T00:00:00"/>
        <groupItems count="6">
          <s v="&lt;01-10-2024"/>
          <s v="Qtr1"/>
          <s v="Qtr2"/>
          <s v="Qtr3"/>
          <s v="Qtr4"/>
          <s v="&gt;02-12-2026"/>
        </groupItems>
      </fieldGroup>
    </cacheField>
    <cacheField name="Years (Month)" numFmtId="0" databaseField="0">
      <fieldGroup base="0">
        <rangePr groupBy="years" startDate="2024-10-01T00:00:00" endDate="2026-12-02T00:00:00"/>
        <groupItems count="5">
          <s v="&lt;01-10-2024"/>
          <s v="2024"/>
          <s v="2025"/>
          <s v="2026"/>
          <s v="&gt;02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m/>
    <m/>
    <m/>
    <m/>
    <m/>
    <m/>
    <m/>
    <m/>
  </r>
  <r>
    <x v="1"/>
    <m/>
    <m/>
    <m/>
    <m/>
    <m/>
    <m/>
    <m/>
    <m/>
  </r>
  <r>
    <x v="2"/>
    <m/>
    <m/>
    <m/>
    <m/>
    <m/>
    <m/>
    <m/>
    <m/>
  </r>
  <r>
    <x v="3"/>
    <n v="0.86"/>
    <n v="0.752"/>
    <n v="0.16739999999999999"/>
    <m/>
    <m/>
    <m/>
    <m/>
    <n v="1.2800000000000001E-2"/>
  </r>
  <r>
    <x v="4"/>
    <n v="0.76"/>
    <n v="0.84530000000000005"/>
    <n v="0.18579999999999999"/>
    <m/>
    <m/>
    <m/>
    <m/>
    <n v="-2.8E-3"/>
  </r>
  <r>
    <x v="5"/>
    <n v="0.73"/>
    <n v="0.81640000000000001"/>
    <n v="0.24129999999999999"/>
    <m/>
    <m/>
    <m/>
    <m/>
    <n v="-4.4000000000000003E-3"/>
  </r>
  <r>
    <x v="6"/>
    <n v="0.81"/>
    <n v="0.81140000000000001"/>
    <n v="0.2394"/>
    <m/>
    <m/>
    <m/>
    <m/>
    <n v="-5.0000000000000001E-4"/>
  </r>
  <r>
    <x v="7"/>
    <n v="0.81"/>
    <n v="0.87709999999999999"/>
    <n v="0.22559999999999999"/>
    <m/>
    <m/>
    <m/>
    <m/>
    <n v="-4.0000000000000002E-4"/>
  </r>
  <r>
    <x v="8"/>
    <n v="0.82"/>
    <n v="0.87709999999999999"/>
    <n v="0.20019999999999999"/>
    <m/>
    <m/>
    <m/>
    <m/>
    <n v="-3.8399999999999997E-2"/>
  </r>
  <r>
    <x v="9"/>
    <n v="0.73"/>
    <n v="0.93610000000000004"/>
    <n v="0.14580000000000001"/>
    <m/>
    <m/>
    <m/>
    <m/>
    <n v="2.3E-3"/>
  </r>
  <r>
    <x v="10"/>
    <n v="0.83"/>
    <n v="0.79259999999999997"/>
    <n v="0.16739999999999999"/>
    <m/>
    <m/>
    <m/>
    <m/>
    <n v="2.5000000000000001E-3"/>
  </r>
  <r>
    <x v="11"/>
    <n v="0.82"/>
    <n v="0.79"/>
    <n v="0.1852"/>
    <n v="-0.15670000000000001"/>
    <n v="-8.9999999999999998E-4"/>
    <n v="8.8999999999999999E-3"/>
    <n v="-1.11E-2"/>
    <n v="-2.3999999999999998E-3"/>
  </r>
  <r>
    <x v="12"/>
    <n v="0.82499999999999996"/>
    <n v="0.80210000000000004"/>
    <n v="0.18640000000000001"/>
    <n v="-0.15670000000000001"/>
    <n v="3.8999999999999998E-3"/>
    <n v="-2.9999999999999997E-4"/>
    <n v="-1.06E-2"/>
    <n v="-1.09E-2"/>
  </r>
  <r>
    <x v="13"/>
    <n v="0.84199999999999997"/>
    <n v="0.81069999999999998"/>
    <n v="0.18099999999999999"/>
    <n v="-0.25929999999999997"/>
    <n v="0"/>
    <n v="-3.3999999999999998E-3"/>
    <n v="-1.0500000000000001E-2"/>
    <n v="-1.41E-2"/>
  </r>
  <r>
    <x v="14"/>
    <n v="0.86199999999999999"/>
    <n v="0.8085"/>
    <n v="0.1835"/>
    <n v="-0.1396571502"/>
    <n v="-1.010358636E-2"/>
    <n v="-3.9800000000000002E-2"/>
    <n v="-1.0339291340000001E-2"/>
    <n v="-1.4500000000000001E-2"/>
  </r>
  <r>
    <x v="15"/>
    <n v="0.86"/>
    <n v="0.83740000000000003"/>
    <n v="0.19420000000000001"/>
    <n v="-0.1191"/>
    <n v="-1.23E-2"/>
    <n v="-4.3E-3"/>
    <n v="-1.0699999999999999E-2"/>
    <n v="-1.49E-2"/>
  </r>
  <r>
    <x v="16"/>
    <n v="0.76"/>
    <n v="0.7802"/>
    <n v="0.18870000000000001"/>
    <n v="-0.14019999999999999"/>
    <n v="-9.4999999999999998E-3"/>
    <n v="-5.4000000000000003E-3"/>
    <n v="-3.5999999999999999E-3"/>
    <n v="-1.52E-2"/>
  </r>
  <r>
    <x v="17"/>
    <n v="0.73"/>
    <n v="0.8982"/>
    <n v="0.22689999999999999"/>
    <n v="-0.17480000000000001"/>
    <n v="-4.8999999999999998E-3"/>
    <n v="-4.7999999999999996E-3"/>
    <n v="-1.0500000000000001E-2"/>
    <n v="-1.5599999999999999E-2"/>
  </r>
  <r>
    <x v="18"/>
    <n v="0.81"/>
    <m/>
    <m/>
    <m/>
    <m/>
    <m/>
    <m/>
    <m/>
  </r>
  <r>
    <x v="19"/>
    <n v="0.81"/>
    <m/>
    <m/>
    <m/>
    <m/>
    <m/>
    <m/>
    <m/>
  </r>
  <r>
    <x v="20"/>
    <n v="0.82"/>
    <m/>
    <m/>
    <m/>
    <m/>
    <m/>
    <m/>
    <m/>
  </r>
  <r>
    <x v="21"/>
    <n v="0.73"/>
    <m/>
    <m/>
    <m/>
    <m/>
    <m/>
    <m/>
    <m/>
  </r>
  <r>
    <x v="22"/>
    <n v="0.83"/>
    <m/>
    <m/>
    <m/>
    <m/>
    <m/>
    <m/>
    <m/>
  </r>
  <r>
    <x v="23"/>
    <n v="0.82"/>
    <m/>
    <m/>
    <m/>
    <m/>
    <m/>
    <m/>
    <m/>
  </r>
  <r>
    <x v="24"/>
    <n v="0.82499999999999996"/>
    <m/>
    <m/>
    <m/>
    <m/>
    <m/>
    <m/>
    <m/>
  </r>
  <r>
    <x v="25"/>
    <n v="0.84199999999999997"/>
    <m/>
    <m/>
    <m/>
    <m/>
    <m/>
    <m/>
    <m/>
  </r>
  <r>
    <x v="26"/>
    <n v="0.86199999999999999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m/>
    <m/>
    <m/>
    <m/>
    <m/>
    <m/>
    <m/>
    <m/>
  </r>
  <r>
    <x v="1"/>
    <m/>
    <m/>
    <m/>
    <m/>
    <m/>
    <m/>
    <m/>
    <m/>
  </r>
  <r>
    <x v="2"/>
    <m/>
    <m/>
    <m/>
    <m/>
    <m/>
    <m/>
    <m/>
    <m/>
  </r>
  <r>
    <x v="3"/>
    <n v="0.86"/>
    <n v="0.752"/>
    <n v="0.16739999999999999"/>
    <m/>
    <m/>
    <m/>
    <m/>
    <n v="1.2800000000000001E-2"/>
  </r>
  <r>
    <x v="4"/>
    <n v="0.76"/>
    <n v="0.84530000000000005"/>
    <n v="0.18579999999999999"/>
    <m/>
    <m/>
    <m/>
    <m/>
    <n v="-2.8E-3"/>
  </r>
  <r>
    <x v="5"/>
    <n v="0.73"/>
    <n v="0.81640000000000001"/>
    <n v="0.24129999999999999"/>
    <m/>
    <m/>
    <m/>
    <m/>
    <n v="-4.4000000000000003E-3"/>
  </r>
  <r>
    <x v="6"/>
    <n v="0.81"/>
    <n v="0.81140000000000001"/>
    <n v="0.2394"/>
    <m/>
    <m/>
    <m/>
    <m/>
    <n v="-5.0000000000000001E-4"/>
  </r>
  <r>
    <x v="7"/>
    <n v="0.81"/>
    <n v="0.87709999999999999"/>
    <n v="0.22559999999999999"/>
    <m/>
    <m/>
    <m/>
    <m/>
    <n v="-4.0000000000000002E-4"/>
  </r>
  <r>
    <x v="8"/>
    <n v="0.82"/>
    <n v="0.87709999999999999"/>
    <n v="0.20019999999999999"/>
    <m/>
    <m/>
    <m/>
    <m/>
    <n v="-3.8399999999999997E-2"/>
  </r>
  <r>
    <x v="9"/>
    <n v="0.73"/>
    <n v="0.93610000000000004"/>
    <n v="0.14580000000000001"/>
    <m/>
    <m/>
    <m/>
    <m/>
    <n v="2.3E-3"/>
  </r>
  <r>
    <x v="10"/>
    <n v="0.83"/>
    <n v="0.79259999999999997"/>
    <n v="0.16739999999999999"/>
    <m/>
    <m/>
    <m/>
    <m/>
    <n v="2.5000000000000001E-3"/>
  </r>
  <r>
    <x v="11"/>
    <n v="0.82"/>
    <n v="0.79"/>
    <n v="0.1852"/>
    <n v="-0.15670000000000001"/>
    <n v="-8.9999999999999998E-4"/>
    <n v="8.8999999999999999E-3"/>
    <n v="-1.11E-2"/>
    <n v="-2.3999999999999998E-3"/>
  </r>
  <r>
    <x v="12"/>
    <n v="0.82499999999999996"/>
    <n v="0.80210000000000004"/>
    <n v="0.18640000000000001"/>
    <n v="-0.15670000000000001"/>
    <n v="3.8999999999999998E-3"/>
    <n v="-2.9999999999999997E-4"/>
    <n v="-1.06E-2"/>
    <n v="-1.09E-2"/>
  </r>
  <r>
    <x v="13"/>
    <n v="0.84199999999999997"/>
    <n v="0.81069999999999998"/>
    <n v="0.18099999999999999"/>
    <n v="-0.25929999999999997"/>
    <n v="0"/>
    <n v="-3.3999999999999998E-3"/>
    <n v="-1.0500000000000001E-2"/>
    <n v="-1.41E-2"/>
  </r>
  <r>
    <x v="14"/>
    <n v="0.86199999999999999"/>
    <n v="0.8085"/>
    <n v="0.1835"/>
    <n v="-0.1396571502"/>
    <n v="-1.010358636E-2"/>
    <n v="-3.9800000000000002E-2"/>
    <n v="-1.0339291340000001E-2"/>
    <n v="-1.4500000000000001E-2"/>
  </r>
  <r>
    <x v="15"/>
    <n v="0.86"/>
    <n v="0.83740000000000003"/>
    <n v="0.19420000000000001"/>
    <n v="-0.1191"/>
    <n v="-1.23E-2"/>
    <n v="-4.3E-3"/>
    <n v="-1.0699999999999999E-2"/>
    <n v="-1.49E-2"/>
  </r>
  <r>
    <x v="16"/>
    <n v="0.76"/>
    <n v="0.7802"/>
    <n v="0.18870000000000001"/>
    <n v="-0.14019999999999999"/>
    <n v="-9.4999999999999998E-3"/>
    <n v="-5.4000000000000003E-3"/>
    <n v="-3.5999999999999999E-3"/>
    <n v="-1.52E-2"/>
  </r>
  <r>
    <x v="17"/>
    <n v="0.73"/>
    <n v="0.8982"/>
    <n v="0.22689999999999999"/>
    <n v="-0.17480000000000001"/>
    <n v="-4.8999999999999998E-3"/>
    <n v="-4.7999999999999996E-3"/>
    <n v="-1.0500000000000001E-2"/>
    <n v="-1.5599999999999999E-2"/>
  </r>
  <r>
    <x v="18"/>
    <n v="0.81"/>
    <m/>
    <m/>
    <m/>
    <m/>
    <m/>
    <m/>
    <m/>
  </r>
  <r>
    <x v="19"/>
    <n v="0.81"/>
    <m/>
    <m/>
    <m/>
    <m/>
    <m/>
    <m/>
    <m/>
  </r>
  <r>
    <x v="20"/>
    <n v="0.82"/>
    <m/>
    <m/>
    <m/>
    <m/>
    <m/>
    <m/>
    <m/>
  </r>
  <r>
    <x v="21"/>
    <n v="0.73"/>
    <m/>
    <m/>
    <m/>
    <m/>
    <m/>
    <m/>
    <m/>
  </r>
  <r>
    <x v="22"/>
    <n v="0.83"/>
    <m/>
    <m/>
    <m/>
    <m/>
    <m/>
    <m/>
    <m/>
  </r>
  <r>
    <x v="23"/>
    <n v="0.82"/>
    <m/>
    <m/>
    <m/>
    <m/>
    <m/>
    <m/>
    <m/>
  </r>
  <r>
    <x v="24"/>
    <n v="0.82499999999999996"/>
    <m/>
    <m/>
    <m/>
    <m/>
    <m/>
    <m/>
    <m/>
  </r>
  <r>
    <x v="25"/>
    <n v="0.84199999999999997"/>
    <m/>
    <m/>
    <m/>
    <m/>
    <m/>
    <m/>
    <m/>
  </r>
  <r>
    <x v="26"/>
    <n v="0.8619999999999999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D8C0D-3200-4A44-9F75-7FDBEA7CFA36}" name="PivotTable9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3:D64" firstHeaderRow="0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numFmtId="10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1"/>
    <field x="10"/>
    <field x="0"/>
    <field x="9"/>
  </rowFields>
  <rowItems count="61">
    <i>
      <x v="1"/>
    </i>
    <i r="1">
      <x v="4"/>
    </i>
    <i r="2">
      <x/>
    </i>
    <i r="3">
      <x v="10"/>
    </i>
    <i r="2">
      <x v="1"/>
    </i>
    <i r="3">
      <x v="11"/>
    </i>
    <i>
      <x v="2"/>
    </i>
    <i r="1">
      <x v="1"/>
    </i>
    <i r="2">
      <x v="3"/>
    </i>
    <i r="3">
      <x v="1"/>
    </i>
    <i r="2">
      <x v="4"/>
    </i>
    <i r="3">
      <x v="2"/>
    </i>
    <i r="2">
      <x v="5"/>
    </i>
    <i r="3">
      <x v="3"/>
    </i>
    <i r="1">
      <x v="2"/>
    </i>
    <i r="2">
      <x v="6"/>
    </i>
    <i r="3">
      <x v="4"/>
    </i>
    <i r="2">
      <x v="7"/>
    </i>
    <i r="3">
      <x v="5"/>
    </i>
    <i r="2">
      <x v="8"/>
    </i>
    <i r="3">
      <x v="6"/>
    </i>
    <i r="1">
      <x v="3"/>
    </i>
    <i r="2">
      <x v="9"/>
    </i>
    <i r="3">
      <x v="7"/>
    </i>
    <i r="2">
      <x v="10"/>
    </i>
    <i r="3">
      <x v="8"/>
    </i>
    <i r="2">
      <x v="11"/>
    </i>
    <i r="3">
      <x v="9"/>
    </i>
    <i r="1">
      <x v="4"/>
    </i>
    <i r="2">
      <x v="12"/>
    </i>
    <i r="3">
      <x v="10"/>
    </i>
    <i r="2">
      <x v="13"/>
    </i>
    <i r="3">
      <x v="11"/>
    </i>
    <i>
      <x v="3"/>
    </i>
    <i r="1">
      <x v="1"/>
    </i>
    <i r="2">
      <x v="15"/>
    </i>
    <i r="3">
      <x v="1"/>
    </i>
    <i r="2">
      <x v="16"/>
    </i>
    <i r="3">
      <x v="2"/>
    </i>
    <i r="2">
      <x v="17"/>
    </i>
    <i r="3">
      <x v="3"/>
    </i>
    <i r="1">
      <x v="2"/>
    </i>
    <i r="2">
      <x v="18"/>
    </i>
    <i r="3">
      <x v="4"/>
    </i>
    <i r="2">
      <x v="19"/>
    </i>
    <i r="3">
      <x v="5"/>
    </i>
    <i r="2">
      <x v="20"/>
    </i>
    <i r="3">
      <x v="6"/>
    </i>
    <i r="1">
      <x v="3"/>
    </i>
    <i r="2">
      <x v="21"/>
    </i>
    <i r="3">
      <x v="7"/>
    </i>
    <i r="2">
      <x v="22"/>
    </i>
    <i r="3">
      <x v="8"/>
    </i>
    <i r="2">
      <x v="23"/>
    </i>
    <i r="3">
      <x v="9"/>
    </i>
    <i r="1">
      <x v="4"/>
    </i>
    <i r="2">
      <x v="24"/>
    </i>
    <i r="3">
      <x v="10"/>
    </i>
    <i r="2">
      <x v="25"/>
    </i>
    <i r="3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vsyst PR %" fld="1" baseField="11" baseItem="1" numFmtId="10"/>
    <dataField name="Sum of Actual PR%" fld="2" baseField="11" baseItem="1" numFmtId="10"/>
    <dataField name="Sum of CUF%" fld="3" baseField="11" baseItem="1" numFmtId="10"/>
  </dataFields>
  <formats count="6">
    <format dxfId="45">
      <pivotArea field="11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field="11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field="11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8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82A59-9137-42F0-9F0D-15676C051801}" name="PivotTable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1" firstHeaderRow="1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0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1"/>
    <field x="10"/>
    <field x="9"/>
    <field x="0"/>
  </rowFields>
  <rowItems count="40">
    <i>
      <x v="1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DC Loss %, Avg." fld="4" baseField="11" baseItem="1" numFmtId="10"/>
  </dataFields>
  <formats count="2">
    <format dxfId="39">
      <pivotArea collapsedLevelsAreSubtotals="1" fieldPosition="0">
        <references count="3">
          <reference field="9" count="1">
            <x v="10"/>
          </reference>
          <reference field="10" count="1" selected="0">
            <x v="4"/>
          </reference>
          <reference field="11" count="1" selected="0">
            <x v="1"/>
          </reference>
        </references>
      </pivotArea>
    </format>
    <format dxfId="3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1FF9-66F2-4544-8CD5-EC399169D369}" name="PivotTable8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4" firstHeaderRow="1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0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4">
    <field x="11"/>
    <field x="10"/>
    <field x="9"/>
    <field x="0"/>
  </rowFields>
  <rowItems count="43">
    <i>
      <x v="1"/>
    </i>
    <i r="1">
      <x v="4"/>
    </i>
    <i r="2">
      <x v="10"/>
    </i>
    <i r="3">
      <x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3">
      <x v="12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3">
      <x v="24"/>
    </i>
    <i r="2">
      <x v="11"/>
    </i>
    <i r="2">
      <x v="12"/>
    </i>
    <i t="grand">
      <x/>
    </i>
  </rowItems>
  <colItems count="1">
    <i/>
  </colItems>
  <dataFields count="1">
    <dataField name="Sum of Inv. Loss %, Avg." fld="5" baseField="11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53DF5-0241-460A-929F-7ECDEA968C5D}" name="PivotTable9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41" firstHeaderRow="1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4">
    <field x="11"/>
    <field x="10"/>
    <field x="9"/>
    <field x="0"/>
  </rowFields>
  <rowItems count="40">
    <i>
      <x v="1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Plant AC Loss %, Avg." fld="6" baseField="11" baseItem="1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59924-BFD8-424B-A382-6159220477EE}" name="PivotTable10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1" firstHeaderRow="1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0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4">
    <field x="11"/>
    <field x="10"/>
    <field x="9"/>
    <field x="0"/>
  </rowFields>
  <rowItems count="40">
    <i>
      <x v="1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T.L. Line Loss %, Avg." fld="7" baseField="11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AE842-F586-4657-B506-457A42BCF451}" name="PivotTable1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1" firstHeaderRow="1" firstDataRow="1" firstDataCol="1"/>
  <pivotFields count="12">
    <pivotField axis="axisRow" numFmtId="17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0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4">
    <field x="11"/>
    <field x="10"/>
    <field x="9"/>
    <field x="0"/>
  </rowFields>
  <rowItems count="40">
    <i>
      <x v="1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Overall Loss Monthly (Inv. O/P to Main meter)" fld="8" baseField="11" baseItem="1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99A1-2EF7-4872-A369-EF803AF699D8}">
  <dimension ref="A3:I64"/>
  <sheetViews>
    <sheetView zoomScale="80" zoomScaleNormal="80" workbookViewId="0">
      <pane xSplit="1" topLeftCell="B1" activePane="topRight" state="frozen"/>
      <selection activeCell="A29" sqref="A29"/>
      <selection pane="topRight" activeCell="C6" sqref="C6"/>
    </sheetView>
  </sheetViews>
  <sheetFormatPr defaultRowHeight="14.5" x14ac:dyDescent="0.35"/>
  <cols>
    <col min="1" max="1" width="16.08984375" bestFit="1" customWidth="1"/>
    <col min="2" max="2" width="10.7265625" bestFit="1" customWidth="1"/>
    <col min="3" max="3" width="9.26953125" bestFit="1" customWidth="1"/>
    <col min="4" max="4" width="8.26953125" bestFit="1" customWidth="1"/>
    <col min="5" max="5" width="8.08984375" bestFit="1" customWidth="1"/>
    <col min="6" max="7" width="7.54296875" bestFit="1" customWidth="1"/>
    <col min="8" max="8" width="8.6328125" bestFit="1" customWidth="1"/>
    <col min="9" max="9" width="11.1796875" bestFit="1" customWidth="1"/>
  </cols>
  <sheetData>
    <row r="3" spans="1:9" s="14" customFormat="1" ht="43.5" x14ac:dyDescent="0.35">
      <c r="A3" s="13" t="s">
        <v>10</v>
      </c>
      <c r="B3" s="14" t="s">
        <v>15</v>
      </c>
      <c r="C3" s="14" t="s">
        <v>16</v>
      </c>
      <c r="D3" s="14" t="s">
        <v>17</v>
      </c>
      <c r="E3"/>
      <c r="F3"/>
      <c r="G3"/>
      <c r="H3"/>
      <c r="I3"/>
    </row>
    <row r="4" spans="1:9" x14ac:dyDescent="0.35">
      <c r="A4" s="9" t="s">
        <v>12</v>
      </c>
      <c r="B4" s="3"/>
      <c r="C4" s="3"/>
      <c r="D4" s="3"/>
    </row>
    <row r="5" spans="1:9" x14ac:dyDescent="0.35">
      <c r="A5" s="10" t="s">
        <v>25</v>
      </c>
      <c r="B5" s="3"/>
      <c r="C5" s="3"/>
      <c r="D5" s="3"/>
    </row>
    <row r="6" spans="1:9" x14ac:dyDescent="0.35">
      <c r="A6" s="16">
        <v>45566</v>
      </c>
      <c r="B6" s="3"/>
      <c r="C6" s="3"/>
      <c r="D6" s="3"/>
    </row>
    <row r="7" spans="1:9" x14ac:dyDescent="0.35">
      <c r="A7" s="15" t="s">
        <v>26</v>
      </c>
      <c r="B7" s="3"/>
      <c r="C7" s="3"/>
      <c r="D7" s="3"/>
    </row>
    <row r="8" spans="1:9" x14ac:dyDescent="0.35">
      <c r="A8" s="16">
        <v>45597</v>
      </c>
      <c r="B8" s="3"/>
      <c r="C8" s="3"/>
      <c r="D8" s="3"/>
    </row>
    <row r="9" spans="1:9" x14ac:dyDescent="0.35">
      <c r="A9" s="15" t="s">
        <v>27</v>
      </c>
      <c r="B9" s="3"/>
      <c r="C9" s="3"/>
      <c r="D9" s="3"/>
    </row>
    <row r="10" spans="1:9" x14ac:dyDescent="0.35">
      <c r="A10" s="9" t="s">
        <v>13</v>
      </c>
      <c r="B10" s="3">
        <v>8.8369999999999997</v>
      </c>
      <c r="C10" s="3">
        <v>9.1108000000000011</v>
      </c>
      <c r="D10" s="3">
        <v>2.1254999999999997</v>
      </c>
    </row>
    <row r="11" spans="1:9" x14ac:dyDescent="0.35">
      <c r="A11" s="10" t="s">
        <v>22</v>
      </c>
      <c r="B11" s="3">
        <v>2.35</v>
      </c>
      <c r="C11" s="3">
        <v>2.4137000000000004</v>
      </c>
      <c r="D11" s="3">
        <v>0.59449999999999992</v>
      </c>
    </row>
    <row r="12" spans="1:9" x14ac:dyDescent="0.35">
      <c r="A12" s="16">
        <v>45658</v>
      </c>
      <c r="B12" s="3">
        <v>0.86</v>
      </c>
      <c r="C12" s="3">
        <v>0.752</v>
      </c>
      <c r="D12" s="3">
        <v>0.16739999999999999</v>
      </c>
    </row>
    <row r="13" spans="1:9" x14ac:dyDescent="0.35">
      <c r="A13" s="15" t="s">
        <v>28</v>
      </c>
      <c r="B13" s="3">
        <v>0.86</v>
      </c>
      <c r="C13" s="3">
        <v>0.752</v>
      </c>
      <c r="D13" s="3">
        <v>0.16739999999999999</v>
      </c>
    </row>
    <row r="14" spans="1:9" x14ac:dyDescent="0.35">
      <c r="A14" s="16">
        <v>45689</v>
      </c>
      <c r="B14" s="3">
        <v>0.76</v>
      </c>
      <c r="C14" s="3">
        <v>0.84530000000000005</v>
      </c>
      <c r="D14" s="3">
        <v>0.18579999999999999</v>
      </c>
    </row>
    <row r="15" spans="1:9" x14ac:dyDescent="0.35">
      <c r="A15" s="15" t="s">
        <v>29</v>
      </c>
      <c r="B15" s="3">
        <v>0.76</v>
      </c>
      <c r="C15" s="3">
        <v>0.84530000000000005</v>
      </c>
      <c r="D15" s="3">
        <v>0.18579999999999999</v>
      </c>
    </row>
    <row r="16" spans="1:9" x14ac:dyDescent="0.35">
      <c r="A16" s="16">
        <v>45717</v>
      </c>
      <c r="B16" s="3">
        <v>0.73</v>
      </c>
      <c r="C16" s="3">
        <v>0.81640000000000001</v>
      </c>
      <c r="D16" s="3">
        <v>0.24129999999999999</v>
      </c>
    </row>
    <row r="17" spans="1:4" x14ac:dyDescent="0.35">
      <c r="A17" s="15" t="s">
        <v>30</v>
      </c>
      <c r="B17" s="3">
        <v>0.73</v>
      </c>
      <c r="C17" s="3">
        <v>0.81640000000000001</v>
      </c>
      <c r="D17" s="3">
        <v>0.24129999999999999</v>
      </c>
    </row>
    <row r="18" spans="1:4" x14ac:dyDescent="0.35">
      <c r="A18" s="10" t="s">
        <v>23</v>
      </c>
      <c r="B18" s="3">
        <v>2.44</v>
      </c>
      <c r="C18" s="3">
        <v>2.5655999999999999</v>
      </c>
      <c r="D18" s="3">
        <v>0.66520000000000001</v>
      </c>
    </row>
    <row r="19" spans="1:4" x14ac:dyDescent="0.35">
      <c r="A19" s="16">
        <v>45748</v>
      </c>
      <c r="B19" s="3">
        <v>0.81</v>
      </c>
      <c r="C19" s="3">
        <v>0.81140000000000001</v>
      </c>
      <c r="D19" s="3">
        <v>0.2394</v>
      </c>
    </row>
    <row r="20" spans="1:4" x14ac:dyDescent="0.35">
      <c r="A20" s="15" t="s">
        <v>31</v>
      </c>
      <c r="B20" s="3">
        <v>0.81</v>
      </c>
      <c r="C20" s="3">
        <v>0.81140000000000001</v>
      </c>
      <c r="D20" s="3">
        <v>0.2394</v>
      </c>
    </row>
    <row r="21" spans="1:4" x14ac:dyDescent="0.35">
      <c r="A21" s="16">
        <v>45778</v>
      </c>
      <c r="B21" s="3">
        <v>0.81</v>
      </c>
      <c r="C21" s="3">
        <v>0.87709999999999999</v>
      </c>
      <c r="D21" s="3">
        <v>0.22559999999999999</v>
      </c>
    </row>
    <row r="22" spans="1:4" x14ac:dyDescent="0.35">
      <c r="A22" s="15" t="s">
        <v>1</v>
      </c>
      <c r="B22" s="3">
        <v>0.81</v>
      </c>
      <c r="C22" s="3">
        <v>0.87709999999999999</v>
      </c>
      <c r="D22" s="3">
        <v>0.22559999999999999</v>
      </c>
    </row>
    <row r="23" spans="1:4" x14ac:dyDescent="0.35">
      <c r="A23" s="16">
        <v>45809</v>
      </c>
      <c r="B23" s="3">
        <v>0.82</v>
      </c>
      <c r="C23" s="3">
        <v>0.87709999999999999</v>
      </c>
      <c r="D23" s="3">
        <v>0.20019999999999999</v>
      </c>
    </row>
    <row r="24" spans="1:4" x14ac:dyDescent="0.35">
      <c r="A24" s="15" t="s">
        <v>32</v>
      </c>
      <c r="B24" s="3">
        <v>0.82</v>
      </c>
      <c r="C24" s="3">
        <v>0.87709999999999999</v>
      </c>
      <c r="D24" s="3">
        <v>0.20019999999999999</v>
      </c>
    </row>
    <row r="25" spans="1:4" x14ac:dyDescent="0.35">
      <c r="A25" s="10" t="s">
        <v>24</v>
      </c>
      <c r="B25" s="3">
        <v>2.38</v>
      </c>
      <c r="C25" s="3">
        <v>2.5186999999999999</v>
      </c>
      <c r="D25" s="3">
        <v>0.49840000000000007</v>
      </c>
    </row>
    <row r="26" spans="1:4" x14ac:dyDescent="0.35">
      <c r="A26" s="16">
        <v>45839</v>
      </c>
      <c r="B26" s="3">
        <v>0.73</v>
      </c>
      <c r="C26" s="3">
        <v>0.93610000000000004</v>
      </c>
      <c r="D26" s="3">
        <v>0.14580000000000001</v>
      </c>
    </row>
    <row r="27" spans="1:4" x14ac:dyDescent="0.35">
      <c r="A27" s="15" t="s">
        <v>33</v>
      </c>
      <c r="B27" s="3">
        <v>0.73</v>
      </c>
      <c r="C27" s="3">
        <v>0.93610000000000004</v>
      </c>
      <c r="D27" s="3">
        <v>0.14580000000000001</v>
      </c>
    </row>
    <row r="28" spans="1:4" x14ac:dyDescent="0.35">
      <c r="A28" s="16">
        <v>45870</v>
      </c>
      <c r="B28" s="3">
        <v>0.83</v>
      </c>
      <c r="C28" s="3">
        <v>0.79259999999999997</v>
      </c>
      <c r="D28" s="3">
        <v>0.16739999999999999</v>
      </c>
    </row>
    <row r="29" spans="1:4" x14ac:dyDescent="0.35">
      <c r="A29" s="15" t="s">
        <v>34</v>
      </c>
      <c r="B29" s="3">
        <v>0.83</v>
      </c>
      <c r="C29" s="3">
        <v>0.79259999999999997</v>
      </c>
      <c r="D29" s="3">
        <v>0.16739999999999999</v>
      </c>
    </row>
    <row r="30" spans="1:4" x14ac:dyDescent="0.35">
      <c r="A30" s="16">
        <v>45901</v>
      </c>
      <c r="B30" s="3">
        <v>0.82</v>
      </c>
      <c r="C30" s="3">
        <v>0.79</v>
      </c>
      <c r="D30" s="3">
        <v>0.1852</v>
      </c>
    </row>
    <row r="31" spans="1:4" x14ac:dyDescent="0.35">
      <c r="A31" s="15" t="s">
        <v>35</v>
      </c>
      <c r="B31" s="3">
        <v>0.82</v>
      </c>
      <c r="C31" s="3">
        <v>0.79</v>
      </c>
      <c r="D31" s="3">
        <v>0.1852</v>
      </c>
    </row>
    <row r="32" spans="1:4" x14ac:dyDescent="0.35">
      <c r="A32" s="10" t="s">
        <v>25</v>
      </c>
      <c r="B32" s="3">
        <v>1.6669999999999998</v>
      </c>
      <c r="C32" s="3">
        <v>1.6128</v>
      </c>
      <c r="D32" s="3">
        <v>0.3674</v>
      </c>
    </row>
    <row r="33" spans="1:4" x14ac:dyDescent="0.35">
      <c r="A33" s="16">
        <v>45931</v>
      </c>
      <c r="B33" s="3">
        <v>0.82499999999999996</v>
      </c>
      <c r="C33" s="3">
        <v>0.80210000000000004</v>
      </c>
      <c r="D33" s="3">
        <v>0.18640000000000001</v>
      </c>
    </row>
    <row r="34" spans="1:4" x14ac:dyDescent="0.35">
      <c r="A34" s="15" t="s">
        <v>26</v>
      </c>
      <c r="B34" s="3">
        <v>0.82499999999999996</v>
      </c>
      <c r="C34" s="3">
        <v>0.80210000000000004</v>
      </c>
      <c r="D34" s="3">
        <v>0.18640000000000001</v>
      </c>
    </row>
    <row r="35" spans="1:4" x14ac:dyDescent="0.35">
      <c r="A35" s="16">
        <v>45962</v>
      </c>
      <c r="B35" s="3">
        <v>0.84199999999999997</v>
      </c>
      <c r="C35" s="3">
        <v>0.81069999999999998</v>
      </c>
      <c r="D35" s="3">
        <v>0.18099999999999999</v>
      </c>
    </row>
    <row r="36" spans="1:4" x14ac:dyDescent="0.35">
      <c r="A36" s="15" t="s">
        <v>27</v>
      </c>
      <c r="B36" s="3">
        <v>0.84199999999999997</v>
      </c>
      <c r="C36" s="3">
        <v>0.81069999999999998</v>
      </c>
      <c r="D36" s="3">
        <v>0.18099999999999999</v>
      </c>
    </row>
    <row r="37" spans="1:4" x14ac:dyDescent="0.35">
      <c r="A37" s="9" t="s">
        <v>14</v>
      </c>
      <c r="B37" s="3">
        <v>8.8369999999999997</v>
      </c>
      <c r="C37" s="3">
        <v>2.5158</v>
      </c>
      <c r="D37" s="3">
        <v>0.60980000000000001</v>
      </c>
    </row>
    <row r="38" spans="1:4" x14ac:dyDescent="0.35">
      <c r="A38" s="10" t="s">
        <v>22</v>
      </c>
      <c r="B38" s="3">
        <v>2.35</v>
      </c>
      <c r="C38" s="3">
        <v>2.5158</v>
      </c>
      <c r="D38" s="3">
        <v>0.60980000000000001</v>
      </c>
    </row>
    <row r="39" spans="1:4" x14ac:dyDescent="0.35">
      <c r="A39" s="16">
        <v>46023</v>
      </c>
      <c r="B39" s="3">
        <v>0.86</v>
      </c>
      <c r="C39" s="3">
        <v>0.83740000000000003</v>
      </c>
      <c r="D39" s="3">
        <v>0.19420000000000001</v>
      </c>
    </row>
    <row r="40" spans="1:4" x14ac:dyDescent="0.35">
      <c r="A40" s="15" t="s">
        <v>28</v>
      </c>
      <c r="B40" s="3">
        <v>0.86</v>
      </c>
      <c r="C40" s="3">
        <v>0.83740000000000003</v>
      </c>
      <c r="D40" s="3">
        <v>0.19420000000000001</v>
      </c>
    </row>
    <row r="41" spans="1:4" x14ac:dyDescent="0.35">
      <c r="A41" s="16">
        <v>46054</v>
      </c>
      <c r="B41" s="3">
        <v>0.76</v>
      </c>
      <c r="C41" s="3">
        <v>0.7802</v>
      </c>
      <c r="D41" s="3">
        <v>0.18870000000000001</v>
      </c>
    </row>
    <row r="42" spans="1:4" x14ac:dyDescent="0.35">
      <c r="A42" s="15" t="s">
        <v>29</v>
      </c>
      <c r="B42" s="3">
        <v>0.76</v>
      </c>
      <c r="C42" s="3">
        <v>0.7802</v>
      </c>
      <c r="D42" s="3">
        <v>0.18870000000000001</v>
      </c>
    </row>
    <row r="43" spans="1:4" x14ac:dyDescent="0.35">
      <c r="A43" s="16">
        <v>46082</v>
      </c>
      <c r="B43" s="3">
        <v>0.73</v>
      </c>
      <c r="C43" s="3">
        <v>0.8982</v>
      </c>
      <c r="D43" s="3">
        <v>0.22689999999999999</v>
      </c>
    </row>
    <row r="44" spans="1:4" x14ac:dyDescent="0.35">
      <c r="A44" s="15" t="s">
        <v>30</v>
      </c>
      <c r="B44" s="3">
        <v>0.73</v>
      </c>
      <c r="C44" s="3">
        <v>0.8982</v>
      </c>
      <c r="D44" s="3">
        <v>0.22689999999999999</v>
      </c>
    </row>
    <row r="45" spans="1:4" x14ac:dyDescent="0.35">
      <c r="A45" s="10" t="s">
        <v>23</v>
      </c>
      <c r="B45" s="3">
        <v>2.44</v>
      </c>
      <c r="C45" s="3"/>
      <c r="D45" s="3"/>
    </row>
    <row r="46" spans="1:4" x14ac:dyDescent="0.35">
      <c r="A46" s="16">
        <v>46113</v>
      </c>
      <c r="B46" s="3">
        <v>0.81</v>
      </c>
      <c r="C46" s="3"/>
      <c r="D46" s="3"/>
    </row>
    <row r="47" spans="1:4" x14ac:dyDescent="0.35">
      <c r="A47" s="15" t="s">
        <v>31</v>
      </c>
      <c r="B47" s="3">
        <v>0.81</v>
      </c>
      <c r="C47" s="3"/>
      <c r="D47" s="3"/>
    </row>
    <row r="48" spans="1:4" x14ac:dyDescent="0.35">
      <c r="A48" s="16">
        <v>46143</v>
      </c>
      <c r="B48" s="3">
        <v>0.81</v>
      </c>
      <c r="C48" s="3"/>
      <c r="D48" s="3"/>
    </row>
    <row r="49" spans="1:4" x14ac:dyDescent="0.35">
      <c r="A49" s="15" t="s">
        <v>1</v>
      </c>
      <c r="B49" s="3">
        <v>0.81</v>
      </c>
      <c r="C49" s="3"/>
      <c r="D49" s="3"/>
    </row>
    <row r="50" spans="1:4" x14ac:dyDescent="0.35">
      <c r="A50" s="16">
        <v>46174</v>
      </c>
      <c r="B50" s="3">
        <v>0.82</v>
      </c>
      <c r="C50" s="3"/>
      <c r="D50" s="3"/>
    </row>
    <row r="51" spans="1:4" x14ac:dyDescent="0.35">
      <c r="A51" s="15" t="s">
        <v>32</v>
      </c>
      <c r="B51" s="3">
        <v>0.82</v>
      </c>
      <c r="C51" s="3"/>
      <c r="D51" s="3"/>
    </row>
    <row r="52" spans="1:4" x14ac:dyDescent="0.35">
      <c r="A52" s="10" t="s">
        <v>24</v>
      </c>
      <c r="B52" s="3">
        <v>2.38</v>
      </c>
      <c r="C52" s="3"/>
      <c r="D52" s="3"/>
    </row>
    <row r="53" spans="1:4" x14ac:dyDescent="0.35">
      <c r="A53" s="16">
        <v>46204</v>
      </c>
      <c r="B53" s="3">
        <v>0.73</v>
      </c>
      <c r="C53" s="3"/>
      <c r="D53" s="3"/>
    </row>
    <row r="54" spans="1:4" x14ac:dyDescent="0.35">
      <c r="A54" s="15" t="s">
        <v>33</v>
      </c>
      <c r="B54" s="3">
        <v>0.73</v>
      </c>
      <c r="C54" s="3"/>
      <c r="D54" s="3"/>
    </row>
    <row r="55" spans="1:4" x14ac:dyDescent="0.35">
      <c r="A55" s="16">
        <v>46235</v>
      </c>
      <c r="B55" s="3">
        <v>0.83</v>
      </c>
      <c r="C55" s="3"/>
      <c r="D55" s="3"/>
    </row>
    <row r="56" spans="1:4" x14ac:dyDescent="0.35">
      <c r="A56" s="15" t="s">
        <v>34</v>
      </c>
      <c r="B56" s="3">
        <v>0.83</v>
      </c>
      <c r="C56" s="3"/>
      <c r="D56" s="3"/>
    </row>
    <row r="57" spans="1:4" x14ac:dyDescent="0.35">
      <c r="A57" s="16">
        <v>46266</v>
      </c>
      <c r="B57" s="3">
        <v>0.82</v>
      </c>
      <c r="C57" s="3"/>
      <c r="D57" s="3"/>
    </row>
    <row r="58" spans="1:4" x14ac:dyDescent="0.35">
      <c r="A58" s="15" t="s">
        <v>35</v>
      </c>
      <c r="B58" s="3">
        <v>0.82</v>
      </c>
      <c r="C58" s="3"/>
      <c r="D58" s="3"/>
    </row>
    <row r="59" spans="1:4" x14ac:dyDescent="0.35">
      <c r="A59" s="10" t="s">
        <v>25</v>
      </c>
      <c r="B59" s="3">
        <v>1.6669999999999998</v>
      </c>
      <c r="C59" s="3"/>
      <c r="D59" s="3"/>
    </row>
    <row r="60" spans="1:4" x14ac:dyDescent="0.35">
      <c r="A60" s="16">
        <v>46296</v>
      </c>
      <c r="B60" s="3">
        <v>0.82499999999999996</v>
      </c>
      <c r="C60" s="3"/>
      <c r="D60" s="3"/>
    </row>
    <row r="61" spans="1:4" x14ac:dyDescent="0.35">
      <c r="A61" s="15" t="s">
        <v>26</v>
      </c>
      <c r="B61" s="3">
        <v>0.82499999999999996</v>
      </c>
      <c r="C61" s="3"/>
      <c r="D61" s="3"/>
    </row>
    <row r="62" spans="1:4" x14ac:dyDescent="0.35">
      <c r="A62" s="16">
        <v>46327</v>
      </c>
      <c r="B62" s="3">
        <v>0.84199999999999997</v>
      </c>
      <c r="C62" s="3"/>
      <c r="D62" s="3"/>
    </row>
    <row r="63" spans="1:4" x14ac:dyDescent="0.35">
      <c r="A63" s="15" t="s">
        <v>27</v>
      </c>
      <c r="B63" s="3">
        <v>0.84199999999999997</v>
      </c>
      <c r="C63" s="3"/>
      <c r="D63" s="3"/>
    </row>
    <row r="64" spans="1:4" x14ac:dyDescent="0.35">
      <c r="A64" s="9" t="s">
        <v>11</v>
      </c>
      <c r="B64" s="3">
        <v>17.673999999999999</v>
      </c>
      <c r="C64" s="3">
        <v>11.626600000000002</v>
      </c>
      <c r="D64" s="3">
        <v>2.7352999999999996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5739-D553-4AD6-AC71-D7CE63E72A5D}">
  <dimension ref="A1:B41"/>
  <sheetViews>
    <sheetView zoomScale="70" zoomScaleNormal="70" workbookViewId="0">
      <selection activeCell="B5" sqref="B5"/>
    </sheetView>
  </sheetViews>
  <sheetFormatPr defaultRowHeight="14.5" x14ac:dyDescent="0.35"/>
  <cols>
    <col min="1" max="1" width="13.36328125" bestFit="1" customWidth="1"/>
    <col min="2" max="2" width="20.1796875" bestFit="1" customWidth="1"/>
  </cols>
  <sheetData>
    <row r="1" spans="1:2" x14ac:dyDescent="0.35">
      <c r="A1" s="17" t="s">
        <v>10</v>
      </c>
      <c r="B1" t="s">
        <v>36</v>
      </c>
    </row>
    <row r="2" spans="1:2" x14ac:dyDescent="0.35">
      <c r="A2" s="9" t="s">
        <v>12</v>
      </c>
      <c r="B2" s="3"/>
    </row>
    <row r="3" spans="1:2" x14ac:dyDescent="0.35">
      <c r="A3" s="10" t="s">
        <v>25</v>
      </c>
      <c r="B3" s="3"/>
    </row>
    <row r="4" spans="1:2" x14ac:dyDescent="0.35">
      <c r="A4" s="18" t="s">
        <v>26</v>
      </c>
      <c r="B4" s="3"/>
    </row>
    <row r="5" spans="1:2" x14ac:dyDescent="0.35">
      <c r="A5" s="18" t="s">
        <v>27</v>
      </c>
      <c r="B5" s="3"/>
    </row>
    <row r="6" spans="1:2" x14ac:dyDescent="0.35">
      <c r="A6" s="18" t="s">
        <v>37</v>
      </c>
      <c r="B6" s="3"/>
    </row>
    <row r="7" spans="1:2" x14ac:dyDescent="0.35">
      <c r="A7" s="9" t="s">
        <v>13</v>
      </c>
      <c r="B7" s="3">
        <v>-0.71235715020000001</v>
      </c>
    </row>
    <row r="8" spans="1:2" x14ac:dyDescent="0.35">
      <c r="A8" s="10" t="s">
        <v>22</v>
      </c>
      <c r="B8" s="3"/>
    </row>
    <row r="9" spans="1:2" x14ac:dyDescent="0.35">
      <c r="A9" s="18" t="s">
        <v>28</v>
      </c>
      <c r="B9" s="3"/>
    </row>
    <row r="10" spans="1:2" x14ac:dyDescent="0.35">
      <c r="A10" s="18" t="s">
        <v>29</v>
      </c>
      <c r="B10" s="3"/>
    </row>
    <row r="11" spans="1:2" x14ac:dyDescent="0.35">
      <c r="A11" s="18" t="s">
        <v>30</v>
      </c>
      <c r="B11" s="3"/>
    </row>
    <row r="12" spans="1:2" x14ac:dyDescent="0.35">
      <c r="A12" s="10" t="s">
        <v>23</v>
      </c>
      <c r="B12" s="3"/>
    </row>
    <row r="13" spans="1:2" x14ac:dyDescent="0.35">
      <c r="A13" s="18" t="s">
        <v>31</v>
      </c>
      <c r="B13" s="3"/>
    </row>
    <row r="14" spans="1:2" x14ac:dyDescent="0.35">
      <c r="A14" s="18" t="s">
        <v>1</v>
      </c>
      <c r="B14" s="3"/>
    </row>
    <row r="15" spans="1:2" x14ac:dyDescent="0.35">
      <c r="A15" s="18" t="s">
        <v>32</v>
      </c>
      <c r="B15" s="3"/>
    </row>
    <row r="16" spans="1:2" x14ac:dyDescent="0.35">
      <c r="A16" s="10" t="s">
        <v>24</v>
      </c>
      <c r="B16" s="3">
        <v>-0.15670000000000001</v>
      </c>
    </row>
    <row r="17" spans="1:2" x14ac:dyDescent="0.35">
      <c r="A17" s="18" t="s">
        <v>33</v>
      </c>
      <c r="B17" s="3"/>
    </row>
    <row r="18" spans="1:2" x14ac:dyDescent="0.35">
      <c r="A18" s="18" t="s">
        <v>34</v>
      </c>
      <c r="B18" s="3"/>
    </row>
    <row r="19" spans="1:2" x14ac:dyDescent="0.35">
      <c r="A19" s="18" t="s">
        <v>35</v>
      </c>
      <c r="B19" s="3">
        <v>-0.15670000000000001</v>
      </c>
    </row>
    <row r="20" spans="1:2" x14ac:dyDescent="0.35">
      <c r="A20" s="10" t="s">
        <v>25</v>
      </c>
      <c r="B20" s="3">
        <v>-0.55565715019999995</v>
      </c>
    </row>
    <row r="21" spans="1:2" x14ac:dyDescent="0.35">
      <c r="A21" s="18" t="s">
        <v>26</v>
      </c>
      <c r="B21" s="3">
        <v>-0.15670000000000001</v>
      </c>
    </row>
    <row r="22" spans="1:2" x14ac:dyDescent="0.35">
      <c r="A22" s="18" t="s">
        <v>27</v>
      </c>
      <c r="B22" s="3">
        <v>-0.25929999999999997</v>
      </c>
    </row>
    <row r="23" spans="1:2" x14ac:dyDescent="0.35">
      <c r="A23" s="18" t="s">
        <v>37</v>
      </c>
      <c r="B23" s="3">
        <v>-0.1396571502</v>
      </c>
    </row>
    <row r="24" spans="1:2" x14ac:dyDescent="0.35">
      <c r="A24" s="9" t="s">
        <v>14</v>
      </c>
      <c r="B24" s="3">
        <v>-0.43409999999999999</v>
      </c>
    </row>
    <row r="25" spans="1:2" x14ac:dyDescent="0.35">
      <c r="A25" s="10" t="s">
        <v>22</v>
      </c>
      <c r="B25" s="3">
        <v>-0.43409999999999999</v>
      </c>
    </row>
    <row r="26" spans="1:2" x14ac:dyDescent="0.35">
      <c r="A26" s="18" t="s">
        <v>28</v>
      </c>
      <c r="B26" s="3">
        <v>-0.1191</v>
      </c>
    </row>
    <row r="27" spans="1:2" x14ac:dyDescent="0.35">
      <c r="A27" s="18" t="s">
        <v>29</v>
      </c>
      <c r="B27" s="3">
        <v>-0.14019999999999999</v>
      </c>
    </row>
    <row r="28" spans="1:2" x14ac:dyDescent="0.35">
      <c r="A28" s="18" t="s">
        <v>30</v>
      </c>
      <c r="B28" s="3">
        <v>-0.17480000000000001</v>
      </c>
    </row>
    <row r="29" spans="1:2" x14ac:dyDescent="0.35">
      <c r="A29" s="10" t="s">
        <v>23</v>
      </c>
      <c r="B29" s="3"/>
    </row>
    <row r="30" spans="1:2" x14ac:dyDescent="0.35">
      <c r="A30" s="18" t="s">
        <v>31</v>
      </c>
      <c r="B30" s="3"/>
    </row>
    <row r="31" spans="1:2" x14ac:dyDescent="0.35">
      <c r="A31" s="18" t="s">
        <v>1</v>
      </c>
      <c r="B31" s="3"/>
    </row>
    <row r="32" spans="1:2" x14ac:dyDescent="0.35">
      <c r="A32" s="18" t="s">
        <v>32</v>
      </c>
      <c r="B32" s="3"/>
    </row>
    <row r="33" spans="1:2" x14ac:dyDescent="0.35">
      <c r="A33" s="10" t="s">
        <v>24</v>
      </c>
      <c r="B33" s="3"/>
    </row>
    <row r="34" spans="1:2" x14ac:dyDescent="0.35">
      <c r="A34" s="18" t="s">
        <v>33</v>
      </c>
      <c r="B34" s="3"/>
    </row>
    <row r="35" spans="1:2" x14ac:dyDescent="0.35">
      <c r="A35" s="18" t="s">
        <v>34</v>
      </c>
      <c r="B35" s="3"/>
    </row>
    <row r="36" spans="1:2" x14ac:dyDescent="0.35">
      <c r="A36" s="18" t="s">
        <v>35</v>
      </c>
      <c r="B36" s="3"/>
    </row>
    <row r="37" spans="1:2" x14ac:dyDescent="0.35">
      <c r="A37" s="10" t="s">
        <v>25</v>
      </c>
      <c r="B37" s="3"/>
    </row>
    <row r="38" spans="1:2" x14ac:dyDescent="0.35">
      <c r="A38" s="18" t="s">
        <v>26</v>
      </c>
      <c r="B38" s="3"/>
    </row>
    <row r="39" spans="1:2" x14ac:dyDescent="0.35">
      <c r="A39" s="18" t="s">
        <v>27</v>
      </c>
      <c r="B39" s="3"/>
    </row>
    <row r="40" spans="1:2" x14ac:dyDescent="0.35">
      <c r="A40" s="18" t="s">
        <v>37</v>
      </c>
      <c r="B40" s="3"/>
    </row>
    <row r="41" spans="1:2" x14ac:dyDescent="0.35">
      <c r="A41" s="9" t="s">
        <v>11</v>
      </c>
      <c r="B41" s="3">
        <v>-1.1464571502000001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D3CF-4D9D-4786-9331-67BA24CDE0BA}">
  <dimension ref="A1:B44"/>
  <sheetViews>
    <sheetView topLeftCell="A5" workbookViewId="0">
      <selection activeCell="B7" sqref="B7"/>
    </sheetView>
  </sheetViews>
  <sheetFormatPr defaultRowHeight="14.5" x14ac:dyDescent="0.35"/>
  <cols>
    <col min="1" max="1" width="13.08984375" bestFit="1" customWidth="1"/>
    <col min="2" max="2" width="20.6328125" bestFit="1" customWidth="1"/>
  </cols>
  <sheetData>
    <row r="1" spans="1:2" x14ac:dyDescent="0.35">
      <c r="A1" s="17" t="s">
        <v>10</v>
      </c>
      <c r="B1" t="s">
        <v>18</v>
      </c>
    </row>
    <row r="2" spans="1:2" x14ac:dyDescent="0.35">
      <c r="A2" s="9" t="s">
        <v>12</v>
      </c>
      <c r="B2" s="3"/>
    </row>
    <row r="3" spans="1:2" x14ac:dyDescent="0.35">
      <c r="A3" s="10" t="s">
        <v>25</v>
      </c>
      <c r="B3" s="3"/>
    </row>
    <row r="4" spans="1:2" x14ac:dyDescent="0.35">
      <c r="A4" s="18" t="s">
        <v>26</v>
      </c>
      <c r="B4" s="3"/>
    </row>
    <row r="5" spans="1:2" x14ac:dyDescent="0.35">
      <c r="A5" s="19">
        <v>45566</v>
      </c>
      <c r="B5" s="3"/>
    </row>
    <row r="6" spans="1:2" x14ac:dyDescent="0.35">
      <c r="A6" s="18" t="s">
        <v>27</v>
      </c>
      <c r="B6" s="3"/>
    </row>
    <row r="7" spans="1:2" x14ac:dyDescent="0.35">
      <c r="A7" s="18" t="s">
        <v>37</v>
      </c>
      <c r="B7" s="3"/>
    </row>
    <row r="8" spans="1:2" x14ac:dyDescent="0.35">
      <c r="A8" s="9" t="s">
        <v>13</v>
      </c>
      <c r="B8" s="3"/>
    </row>
    <row r="9" spans="1:2" x14ac:dyDescent="0.35">
      <c r="A9" s="10" t="s">
        <v>22</v>
      </c>
      <c r="B9" s="3"/>
    </row>
    <row r="10" spans="1:2" x14ac:dyDescent="0.35">
      <c r="A10" s="18" t="s">
        <v>28</v>
      </c>
      <c r="B10" s="3"/>
    </row>
    <row r="11" spans="1:2" x14ac:dyDescent="0.35">
      <c r="A11" s="18" t="s">
        <v>29</v>
      </c>
      <c r="B11" s="3"/>
    </row>
    <row r="12" spans="1:2" x14ac:dyDescent="0.35">
      <c r="A12" s="18" t="s">
        <v>30</v>
      </c>
      <c r="B12" s="3"/>
    </row>
    <row r="13" spans="1:2" x14ac:dyDescent="0.35">
      <c r="A13" s="10" t="s">
        <v>23</v>
      </c>
      <c r="B13" s="3"/>
    </row>
    <row r="14" spans="1:2" x14ac:dyDescent="0.35">
      <c r="A14" s="18" t="s">
        <v>31</v>
      </c>
      <c r="B14" s="3"/>
    </row>
    <row r="15" spans="1:2" x14ac:dyDescent="0.35">
      <c r="A15" s="18" t="s">
        <v>1</v>
      </c>
      <c r="B15" s="3"/>
    </row>
    <row r="16" spans="1:2" x14ac:dyDescent="0.35">
      <c r="A16" s="18" t="s">
        <v>32</v>
      </c>
      <c r="B16" s="3"/>
    </row>
    <row r="17" spans="1:2" x14ac:dyDescent="0.35">
      <c r="A17" s="10" t="s">
        <v>24</v>
      </c>
      <c r="B17" s="3"/>
    </row>
    <row r="18" spans="1:2" x14ac:dyDescent="0.35">
      <c r="A18" s="18" t="s">
        <v>33</v>
      </c>
      <c r="B18" s="3"/>
    </row>
    <row r="19" spans="1:2" x14ac:dyDescent="0.35">
      <c r="A19" s="18" t="s">
        <v>34</v>
      </c>
      <c r="B19" s="3"/>
    </row>
    <row r="20" spans="1:2" x14ac:dyDescent="0.35">
      <c r="A20" s="18" t="s">
        <v>35</v>
      </c>
      <c r="B20" s="3">
        <v>-8.9999999999999998E-4</v>
      </c>
    </row>
    <row r="21" spans="1:2" x14ac:dyDescent="0.35">
      <c r="A21" s="10" t="s">
        <v>25</v>
      </c>
      <c r="B21" s="3"/>
    </row>
    <row r="22" spans="1:2" x14ac:dyDescent="0.35">
      <c r="A22" s="18" t="s">
        <v>26</v>
      </c>
      <c r="B22" s="3"/>
    </row>
    <row r="23" spans="1:2" x14ac:dyDescent="0.35">
      <c r="A23" s="19">
        <v>45931</v>
      </c>
      <c r="B23" s="3">
        <v>3.8999999999999998E-3</v>
      </c>
    </row>
    <row r="24" spans="1:2" x14ac:dyDescent="0.35">
      <c r="A24" s="18" t="s">
        <v>27</v>
      </c>
      <c r="B24" s="3">
        <v>0</v>
      </c>
    </row>
    <row r="25" spans="1:2" x14ac:dyDescent="0.35">
      <c r="A25" s="18" t="s">
        <v>37</v>
      </c>
      <c r="B25" s="3">
        <v>-1.010358636E-2</v>
      </c>
    </row>
    <row r="26" spans="1:2" x14ac:dyDescent="0.35">
      <c r="A26" s="9" t="s">
        <v>14</v>
      </c>
      <c r="B26" s="3"/>
    </row>
    <row r="27" spans="1:2" x14ac:dyDescent="0.35">
      <c r="A27" s="10" t="s">
        <v>22</v>
      </c>
      <c r="B27" s="3"/>
    </row>
    <row r="28" spans="1:2" x14ac:dyDescent="0.35">
      <c r="A28" s="18" t="s">
        <v>28</v>
      </c>
      <c r="B28" s="3">
        <v>-1.23E-2</v>
      </c>
    </row>
    <row r="29" spans="1:2" x14ac:dyDescent="0.35">
      <c r="A29" s="18" t="s">
        <v>29</v>
      </c>
      <c r="B29" s="3">
        <v>-9.4999999999999998E-3</v>
      </c>
    </row>
    <row r="30" spans="1:2" x14ac:dyDescent="0.35">
      <c r="A30" s="18" t="s">
        <v>30</v>
      </c>
      <c r="B30" s="3">
        <v>-4.8999999999999998E-3</v>
      </c>
    </row>
    <row r="31" spans="1:2" x14ac:dyDescent="0.35">
      <c r="A31" s="10" t="s">
        <v>23</v>
      </c>
      <c r="B31" s="3"/>
    </row>
    <row r="32" spans="1:2" x14ac:dyDescent="0.35">
      <c r="A32" s="18" t="s">
        <v>31</v>
      </c>
      <c r="B32" s="3"/>
    </row>
    <row r="33" spans="1:2" x14ac:dyDescent="0.35">
      <c r="A33" s="18" t="s">
        <v>1</v>
      </c>
      <c r="B33" s="3"/>
    </row>
    <row r="34" spans="1:2" x14ac:dyDescent="0.35">
      <c r="A34" s="18" t="s">
        <v>32</v>
      </c>
      <c r="B34" s="3"/>
    </row>
    <row r="35" spans="1:2" x14ac:dyDescent="0.35">
      <c r="A35" s="10" t="s">
        <v>24</v>
      </c>
      <c r="B35" s="3"/>
    </row>
    <row r="36" spans="1:2" x14ac:dyDescent="0.35">
      <c r="A36" s="18" t="s">
        <v>33</v>
      </c>
      <c r="B36" s="3"/>
    </row>
    <row r="37" spans="1:2" x14ac:dyDescent="0.35">
      <c r="A37" s="18" t="s">
        <v>34</v>
      </c>
      <c r="B37" s="3"/>
    </row>
    <row r="38" spans="1:2" x14ac:dyDescent="0.35">
      <c r="A38" s="18" t="s">
        <v>35</v>
      </c>
      <c r="B38" s="3"/>
    </row>
    <row r="39" spans="1:2" x14ac:dyDescent="0.35">
      <c r="A39" s="10" t="s">
        <v>25</v>
      </c>
      <c r="B39" s="3"/>
    </row>
    <row r="40" spans="1:2" x14ac:dyDescent="0.35">
      <c r="A40" s="18" t="s">
        <v>26</v>
      </c>
      <c r="B40" s="3"/>
    </row>
    <row r="41" spans="1:2" x14ac:dyDescent="0.35">
      <c r="A41" s="19">
        <v>46296</v>
      </c>
      <c r="B41" s="3"/>
    </row>
    <row r="42" spans="1:2" x14ac:dyDescent="0.35">
      <c r="A42" s="18" t="s">
        <v>27</v>
      </c>
      <c r="B42" s="3"/>
    </row>
    <row r="43" spans="1:2" x14ac:dyDescent="0.35">
      <c r="A43" s="18" t="s">
        <v>37</v>
      </c>
      <c r="B43" s="3"/>
    </row>
    <row r="44" spans="1:2" x14ac:dyDescent="0.35">
      <c r="A44" s="9" t="s">
        <v>11</v>
      </c>
      <c r="B44" s="3">
        <v>-3.3803586359999999E-2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5C3B-1088-4F6C-8E05-EA2BC368BE54}">
  <dimension ref="A1:B41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24.7265625" bestFit="1" customWidth="1"/>
  </cols>
  <sheetData>
    <row r="1" spans="1:2" x14ac:dyDescent="0.35">
      <c r="A1" s="17" t="s">
        <v>10</v>
      </c>
      <c r="B1" t="s">
        <v>19</v>
      </c>
    </row>
    <row r="2" spans="1:2" x14ac:dyDescent="0.35">
      <c r="A2" s="9" t="s">
        <v>12</v>
      </c>
      <c r="B2" s="3"/>
    </row>
    <row r="3" spans="1:2" x14ac:dyDescent="0.35">
      <c r="A3" s="10" t="s">
        <v>25</v>
      </c>
      <c r="B3" s="3"/>
    </row>
    <row r="4" spans="1:2" x14ac:dyDescent="0.35">
      <c r="A4" s="18" t="s">
        <v>26</v>
      </c>
      <c r="B4" s="3"/>
    </row>
    <row r="5" spans="1:2" x14ac:dyDescent="0.35">
      <c r="A5" s="18" t="s">
        <v>27</v>
      </c>
      <c r="B5" s="3"/>
    </row>
    <row r="6" spans="1:2" x14ac:dyDescent="0.35">
      <c r="A6" s="18" t="s">
        <v>37</v>
      </c>
      <c r="B6" s="3"/>
    </row>
    <row r="7" spans="1:2" x14ac:dyDescent="0.35">
      <c r="A7" s="9" t="s">
        <v>13</v>
      </c>
      <c r="B7" s="3"/>
    </row>
    <row r="8" spans="1:2" x14ac:dyDescent="0.35">
      <c r="A8" s="10" t="s">
        <v>22</v>
      </c>
      <c r="B8" s="3"/>
    </row>
    <row r="9" spans="1:2" x14ac:dyDescent="0.35">
      <c r="A9" s="18" t="s">
        <v>28</v>
      </c>
      <c r="B9" s="3"/>
    </row>
    <row r="10" spans="1:2" x14ac:dyDescent="0.35">
      <c r="A10" s="18" t="s">
        <v>29</v>
      </c>
      <c r="B10" s="3"/>
    </row>
    <row r="11" spans="1:2" x14ac:dyDescent="0.35">
      <c r="A11" s="18" t="s">
        <v>30</v>
      </c>
      <c r="B11" s="3"/>
    </row>
    <row r="12" spans="1:2" x14ac:dyDescent="0.35">
      <c r="A12" s="10" t="s">
        <v>23</v>
      </c>
      <c r="B12" s="3"/>
    </row>
    <row r="13" spans="1:2" x14ac:dyDescent="0.35">
      <c r="A13" s="18" t="s">
        <v>31</v>
      </c>
      <c r="B13" s="3"/>
    </row>
    <row r="14" spans="1:2" x14ac:dyDescent="0.35">
      <c r="A14" s="18" t="s">
        <v>1</v>
      </c>
      <c r="B14" s="3"/>
    </row>
    <row r="15" spans="1:2" x14ac:dyDescent="0.35">
      <c r="A15" s="18" t="s">
        <v>32</v>
      </c>
      <c r="B15" s="3"/>
    </row>
    <row r="16" spans="1:2" x14ac:dyDescent="0.35">
      <c r="A16" s="10" t="s">
        <v>24</v>
      </c>
      <c r="B16" s="3"/>
    </row>
    <row r="17" spans="1:2" x14ac:dyDescent="0.35">
      <c r="A17" s="18" t="s">
        <v>33</v>
      </c>
      <c r="B17" s="3"/>
    </row>
    <row r="18" spans="1:2" x14ac:dyDescent="0.35">
      <c r="A18" s="18" t="s">
        <v>34</v>
      </c>
      <c r="B18" s="3"/>
    </row>
    <row r="19" spans="1:2" x14ac:dyDescent="0.35">
      <c r="A19" s="18" t="s">
        <v>35</v>
      </c>
      <c r="B19" s="3">
        <v>8.8999999999999999E-3</v>
      </c>
    </row>
    <row r="20" spans="1:2" x14ac:dyDescent="0.35">
      <c r="A20" s="10" t="s">
        <v>25</v>
      </c>
      <c r="B20" s="3"/>
    </row>
    <row r="21" spans="1:2" x14ac:dyDescent="0.35">
      <c r="A21" s="18" t="s">
        <v>26</v>
      </c>
      <c r="B21" s="3">
        <v>-2.9999999999999997E-4</v>
      </c>
    </row>
    <row r="22" spans="1:2" x14ac:dyDescent="0.35">
      <c r="A22" s="18" t="s">
        <v>27</v>
      </c>
      <c r="B22" s="3">
        <v>-3.3999999999999998E-3</v>
      </c>
    </row>
    <row r="23" spans="1:2" x14ac:dyDescent="0.35">
      <c r="A23" s="18" t="s">
        <v>37</v>
      </c>
      <c r="B23" s="3">
        <v>-3.9800000000000002E-2</v>
      </c>
    </row>
    <row r="24" spans="1:2" x14ac:dyDescent="0.35">
      <c r="A24" s="9" t="s">
        <v>14</v>
      </c>
      <c r="B24" s="3"/>
    </row>
    <row r="25" spans="1:2" x14ac:dyDescent="0.35">
      <c r="A25" s="10" t="s">
        <v>22</v>
      </c>
      <c r="B25" s="3"/>
    </row>
    <row r="26" spans="1:2" x14ac:dyDescent="0.35">
      <c r="A26" s="18" t="s">
        <v>28</v>
      </c>
      <c r="B26" s="3">
        <v>-4.3E-3</v>
      </c>
    </row>
    <row r="27" spans="1:2" x14ac:dyDescent="0.35">
      <c r="A27" s="18" t="s">
        <v>29</v>
      </c>
      <c r="B27" s="3">
        <v>-5.4000000000000003E-3</v>
      </c>
    </row>
    <row r="28" spans="1:2" x14ac:dyDescent="0.35">
      <c r="A28" s="18" t="s">
        <v>30</v>
      </c>
      <c r="B28" s="3">
        <v>-4.7999999999999996E-3</v>
      </c>
    </row>
    <row r="29" spans="1:2" x14ac:dyDescent="0.35">
      <c r="A29" s="10" t="s">
        <v>23</v>
      </c>
      <c r="B29" s="3"/>
    </row>
    <row r="30" spans="1:2" x14ac:dyDescent="0.35">
      <c r="A30" s="18" t="s">
        <v>31</v>
      </c>
      <c r="B30" s="3"/>
    </row>
    <row r="31" spans="1:2" x14ac:dyDescent="0.35">
      <c r="A31" s="18" t="s">
        <v>1</v>
      </c>
      <c r="B31" s="3"/>
    </row>
    <row r="32" spans="1:2" x14ac:dyDescent="0.35">
      <c r="A32" s="18" t="s">
        <v>32</v>
      </c>
      <c r="B32" s="3"/>
    </row>
    <row r="33" spans="1:2" x14ac:dyDescent="0.35">
      <c r="A33" s="10" t="s">
        <v>24</v>
      </c>
      <c r="B33" s="3"/>
    </row>
    <row r="34" spans="1:2" x14ac:dyDescent="0.35">
      <c r="A34" s="18" t="s">
        <v>33</v>
      </c>
      <c r="B34" s="3"/>
    </row>
    <row r="35" spans="1:2" x14ac:dyDescent="0.35">
      <c r="A35" s="18" t="s">
        <v>34</v>
      </c>
      <c r="B35" s="3"/>
    </row>
    <row r="36" spans="1:2" x14ac:dyDescent="0.35">
      <c r="A36" s="18" t="s">
        <v>35</v>
      </c>
      <c r="B36" s="3"/>
    </row>
    <row r="37" spans="1:2" x14ac:dyDescent="0.35">
      <c r="A37" s="10" t="s">
        <v>25</v>
      </c>
      <c r="B37" s="3"/>
    </row>
    <row r="38" spans="1:2" x14ac:dyDescent="0.35">
      <c r="A38" s="18" t="s">
        <v>26</v>
      </c>
      <c r="B38" s="3"/>
    </row>
    <row r="39" spans="1:2" x14ac:dyDescent="0.35">
      <c r="A39" s="18" t="s">
        <v>27</v>
      </c>
      <c r="B39" s="3"/>
    </row>
    <row r="40" spans="1:2" x14ac:dyDescent="0.35">
      <c r="A40" s="18" t="s">
        <v>37</v>
      </c>
      <c r="B40" s="3"/>
    </row>
    <row r="41" spans="1:2" x14ac:dyDescent="0.35">
      <c r="A41" s="9" t="s">
        <v>11</v>
      </c>
      <c r="B41" s="3">
        <v>-4.9100000000000005E-2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E76E-FCE7-44E3-98CA-BCDBD4C11AA6}">
  <dimension ref="A1:B41"/>
  <sheetViews>
    <sheetView topLeftCell="A12" workbookViewId="0">
      <selection activeCell="B14" sqref="B14"/>
    </sheetView>
  </sheetViews>
  <sheetFormatPr defaultRowHeight="14.5" x14ac:dyDescent="0.35"/>
  <cols>
    <col min="1" max="1" width="12.453125" bestFit="1" customWidth="1"/>
    <col min="2" max="2" width="24.453125" bestFit="1" customWidth="1"/>
  </cols>
  <sheetData>
    <row r="1" spans="1:2" x14ac:dyDescent="0.35">
      <c r="A1" s="17" t="s">
        <v>10</v>
      </c>
      <c r="B1" t="s">
        <v>20</v>
      </c>
    </row>
    <row r="2" spans="1:2" x14ac:dyDescent="0.35">
      <c r="A2" s="9" t="s">
        <v>12</v>
      </c>
      <c r="B2" s="3"/>
    </row>
    <row r="3" spans="1:2" x14ac:dyDescent="0.35">
      <c r="A3" s="10" t="s">
        <v>25</v>
      </c>
      <c r="B3" s="3"/>
    </row>
    <row r="4" spans="1:2" x14ac:dyDescent="0.35">
      <c r="A4" s="18" t="s">
        <v>26</v>
      </c>
      <c r="B4" s="3"/>
    </row>
    <row r="5" spans="1:2" x14ac:dyDescent="0.35">
      <c r="A5" s="18" t="s">
        <v>27</v>
      </c>
      <c r="B5" s="3"/>
    </row>
    <row r="6" spans="1:2" x14ac:dyDescent="0.35">
      <c r="A6" s="18" t="s">
        <v>37</v>
      </c>
      <c r="B6" s="3"/>
    </row>
    <row r="7" spans="1:2" x14ac:dyDescent="0.35">
      <c r="A7" s="9" t="s">
        <v>13</v>
      </c>
      <c r="B7" s="3"/>
    </row>
    <row r="8" spans="1:2" x14ac:dyDescent="0.35">
      <c r="A8" s="10" t="s">
        <v>22</v>
      </c>
      <c r="B8" s="3"/>
    </row>
    <row r="9" spans="1:2" x14ac:dyDescent="0.35">
      <c r="A9" s="18" t="s">
        <v>28</v>
      </c>
      <c r="B9" s="3"/>
    </row>
    <row r="10" spans="1:2" x14ac:dyDescent="0.35">
      <c r="A10" s="18" t="s">
        <v>29</v>
      </c>
      <c r="B10" s="3"/>
    </row>
    <row r="11" spans="1:2" x14ac:dyDescent="0.35">
      <c r="A11" s="18" t="s">
        <v>30</v>
      </c>
      <c r="B11" s="3"/>
    </row>
    <row r="12" spans="1:2" x14ac:dyDescent="0.35">
      <c r="A12" s="10" t="s">
        <v>23</v>
      </c>
      <c r="B12" s="3"/>
    </row>
    <row r="13" spans="1:2" x14ac:dyDescent="0.35">
      <c r="A13" s="18" t="s">
        <v>31</v>
      </c>
      <c r="B13" s="3"/>
    </row>
    <row r="14" spans="1:2" x14ac:dyDescent="0.35">
      <c r="A14" s="18" t="s">
        <v>1</v>
      </c>
      <c r="B14" s="3"/>
    </row>
    <row r="15" spans="1:2" x14ac:dyDescent="0.35">
      <c r="A15" s="18" t="s">
        <v>32</v>
      </c>
      <c r="B15" s="3"/>
    </row>
    <row r="16" spans="1:2" x14ac:dyDescent="0.35">
      <c r="A16" s="10" t="s">
        <v>24</v>
      </c>
      <c r="B16" s="3"/>
    </row>
    <row r="17" spans="1:2" x14ac:dyDescent="0.35">
      <c r="A17" s="18" t="s">
        <v>33</v>
      </c>
      <c r="B17" s="3"/>
    </row>
    <row r="18" spans="1:2" x14ac:dyDescent="0.35">
      <c r="A18" s="18" t="s">
        <v>34</v>
      </c>
      <c r="B18" s="3"/>
    </row>
    <row r="19" spans="1:2" x14ac:dyDescent="0.35">
      <c r="A19" s="18" t="s">
        <v>35</v>
      </c>
      <c r="B19" s="3">
        <v>-1.11E-2</v>
      </c>
    </row>
    <row r="20" spans="1:2" x14ac:dyDescent="0.35">
      <c r="A20" s="10" t="s">
        <v>25</v>
      </c>
      <c r="B20" s="3"/>
    </row>
    <row r="21" spans="1:2" x14ac:dyDescent="0.35">
      <c r="A21" s="18" t="s">
        <v>26</v>
      </c>
      <c r="B21" s="3">
        <v>-1.06E-2</v>
      </c>
    </row>
    <row r="22" spans="1:2" x14ac:dyDescent="0.35">
      <c r="A22" s="18" t="s">
        <v>27</v>
      </c>
      <c r="B22" s="3">
        <v>-1.0500000000000001E-2</v>
      </c>
    </row>
    <row r="23" spans="1:2" x14ac:dyDescent="0.35">
      <c r="A23" s="18" t="s">
        <v>37</v>
      </c>
      <c r="B23" s="3">
        <v>-1.0339291340000001E-2</v>
      </c>
    </row>
    <row r="24" spans="1:2" x14ac:dyDescent="0.35">
      <c r="A24" s="9" t="s">
        <v>14</v>
      </c>
      <c r="B24" s="3"/>
    </row>
    <row r="25" spans="1:2" x14ac:dyDescent="0.35">
      <c r="A25" s="10" t="s">
        <v>22</v>
      </c>
      <c r="B25" s="3"/>
    </row>
    <row r="26" spans="1:2" x14ac:dyDescent="0.35">
      <c r="A26" s="18" t="s">
        <v>28</v>
      </c>
      <c r="B26" s="3">
        <v>-1.0699999999999999E-2</v>
      </c>
    </row>
    <row r="27" spans="1:2" x14ac:dyDescent="0.35">
      <c r="A27" s="18" t="s">
        <v>29</v>
      </c>
      <c r="B27" s="3">
        <v>-3.5999999999999999E-3</v>
      </c>
    </row>
    <row r="28" spans="1:2" x14ac:dyDescent="0.35">
      <c r="A28" s="18" t="s">
        <v>30</v>
      </c>
      <c r="B28" s="3">
        <v>-1.0500000000000001E-2</v>
      </c>
    </row>
    <row r="29" spans="1:2" x14ac:dyDescent="0.35">
      <c r="A29" s="10" t="s">
        <v>23</v>
      </c>
      <c r="B29" s="3"/>
    </row>
    <row r="30" spans="1:2" x14ac:dyDescent="0.35">
      <c r="A30" s="18" t="s">
        <v>31</v>
      </c>
      <c r="B30" s="3"/>
    </row>
    <row r="31" spans="1:2" x14ac:dyDescent="0.35">
      <c r="A31" s="18" t="s">
        <v>1</v>
      </c>
      <c r="B31" s="3"/>
    </row>
    <row r="32" spans="1:2" x14ac:dyDescent="0.35">
      <c r="A32" s="18" t="s">
        <v>32</v>
      </c>
      <c r="B32" s="3"/>
    </row>
    <row r="33" spans="1:2" x14ac:dyDescent="0.35">
      <c r="A33" s="10" t="s">
        <v>24</v>
      </c>
      <c r="B33" s="3"/>
    </row>
    <row r="34" spans="1:2" x14ac:dyDescent="0.35">
      <c r="A34" s="18" t="s">
        <v>33</v>
      </c>
      <c r="B34" s="3"/>
    </row>
    <row r="35" spans="1:2" x14ac:dyDescent="0.35">
      <c r="A35" s="18" t="s">
        <v>34</v>
      </c>
      <c r="B35" s="3"/>
    </row>
    <row r="36" spans="1:2" x14ac:dyDescent="0.35">
      <c r="A36" s="18" t="s">
        <v>35</v>
      </c>
      <c r="B36" s="3"/>
    </row>
    <row r="37" spans="1:2" x14ac:dyDescent="0.35">
      <c r="A37" s="10" t="s">
        <v>25</v>
      </c>
      <c r="B37" s="3"/>
    </row>
    <row r="38" spans="1:2" x14ac:dyDescent="0.35">
      <c r="A38" s="18" t="s">
        <v>26</v>
      </c>
      <c r="B38" s="3"/>
    </row>
    <row r="39" spans="1:2" x14ac:dyDescent="0.35">
      <c r="A39" s="18" t="s">
        <v>27</v>
      </c>
      <c r="B39" s="3"/>
    </row>
    <row r="40" spans="1:2" x14ac:dyDescent="0.35">
      <c r="A40" s="18" t="s">
        <v>37</v>
      </c>
      <c r="B40" s="3"/>
    </row>
    <row r="41" spans="1:2" x14ac:dyDescent="0.35">
      <c r="A41" s="9" t="s">
        <v>11</v>
      </c>
      <c r="B41" s="3">
        <v>-6.7339291339999996E-2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C91B-D12A-4F18-91E6-CCFD6990D0D7}">
  <dimension ref="A1:B41"/>
  <sheetViews>
    <sheetView topLeftCell="B1"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44.7265625" bestFit="1" customWidth="1"/>
  </cols>
  <sheetData>
    <row r="1" spans="1:2" x14ac:dyDescent="0.35">
      <c r="A1" s="17" t="s">
        <v>10</v>
      </c>
      <c r="B1" t="s">
        <v>21</v>
      </c>
    </row>
    <row r="2" spans="1:2" x14ac:dyDescent="0.35">
      <c r="A2" s="9" t="s">
        <v>12</v>
      </c>
      <c r="B2" s="3"/>
    </row>
    <row r="3" spans="1:2" x14ac:dyDescent="0.35">
      <c r="A3" s="10" t="s">
        <v>25</v>
      </c>
      <c r="B3" s="3"/>
    </row>
    <row r="4" spans="1:2" x14ac:dyDescent="0.35">
      <c r="A4" s="18" t="s">
        <v>26</v>
      </c>
      <c r="B4" s="3"/>
    </row>
    <row r="5" spans="1:2" x14ac:dyDescent="0.35">
      <c r="A5" s="18" t="s">
        <v>27</v>
      </c>
      <c r="B5" s="3"/>
    </row>
    <row r="6" spans="1:2" x14ac:dyDescent="0.35">
      <c r="A6" s="18" t="s">
        <v>37</v>
      </c>
      <c r="B6" s="3"/>
    </row>
    <row r="7" spans="1:2" x14ac:dyDescent="0.35">
      <c r="A7" s="9" t="s">
        <v>13</v>
      </c>
      <c r="B7" s="3"/>
    </row>
    <row r="8" spans="1:2" x14ac:dyDescent="0.35">
      <c r="A8" s="10" t="s">
        <v>22</v>
      </c>
      <c r="B8" s="3"/>
    </row>
    <row r="9" spans="1:2" x14ac:dyDescent="0.35">
      <c r="A9" s="18" t="s">
        <v>28</v>
      </c>
      <c r="B9" s="3">
        <v>1.2800000000000001E-2</v>
      </c>
    </row>
    <row r="10" spans="1:2" x14ac:dyDescent="0.35">
      <c r="A10" s="18" t="s">
        <v>29</v>
      </c>
      <c r="B10" s="3">
        <v>-2.8E-3</v>
      </c>
    </row>
    <row r="11" spans="1:2" x14ac:dyDescent="0.35">
      <c r="A11" s="18" t="s">
        <v>30</v>
      </c>
      <c r="B11" s="3">
        <v>-4.4000000000000003E-3</v>
      </c>
    </row>
    <row r="12" spans="1:2" x14ac:dyDescent="0.35">
      <c r="A12" s="10" t="s">
        <v>23</v>
      </c>
      <c r="B12" s="3"/>
    </row>
    <row r="13" spans="1:2" x14ac:dyDescent="0.35">
      <c r="A13" s="18" t="s">
        <v>31</v>
      </c>
      <c r="B13" s="3">
        <v>-5.0000000000000001E-4</v>
      </c>
    </row>
    <row r="14" spans="1:2" x14ac:dyDescent="0.35">
      <c r="A14" s="18" t="s">
        <v>1</v>
      </c>
      <c r="B14" s="3">
        <v>-4.0000000000000002E-4</v>
      </c>
    </row>
    <row r="15" spans="1:2" x14ac:dyDescent="0.35">
      <c r="A15" s="18" t="s">
        <v>32</v>
      </c>
      <c r="B15" s="3">
        <v>-3.8399999999999997E-2</v>
      </c>
    </row>
    <row r="16" spans="1:2" x14ac:dyDescent="0.35">
      <c r="A16" s="10" t="s">
        <v>24</v>
      </c>
      <c r="B16" s="3"/>
    </row>
    <row r="17" spans="1:2" x14ac:dyDescent="0.35">
      <c r="A17" s="18" t="s">
        <v>33</v>
      </c>
      <c r="B17" s="3">
        <v>2.3E-3</v>
      </c>
    </row>
    <row r="18" spans="1:2" x14ac:dyDescent="0.35">
      <c r="A18" s="18" t="s">
        <v>34</v>
      </c>
      <c r="B18" s="3">
        <v>2.5000000000000001E-3</v>
      </c>
    </row>
    <row r="19" spans="1:2" x14ac:dyDescent="0.35">
      <c r="A19" s="18" t="s">
        <v>35</v>
      </c>
      <c r="B19" s="3">
        <v>-2.3999999999999998E-3</v>
      </c>
    </row>
    <row r="20" spans="1:2" x14ac:dyDescent="0.35">
      <c r="A20" s="10" t="s">
        <v>25</v>
      </c>
      <c r="B20" s="3"/>
    </row>
    <row r="21" spans="1:2" x14ac:dyDescent="0.35">
      <c r="A21" s="18" t="s">
        <v>26</v>
      </c>
      <c r="B21" s="3">
        <v>-1.09E-2</v>
      </c>
    </row>
    <row r="22" spans="1:2" x14ac:dyDescent="0.35">
      <c r="A22" s="18" t="s">
        <v>27</v>
      </c>
      <c r="B22" s="3">
        <v>-1.41E-2</v>
      </c>
    </row>
    <row r="23" spans="1:2" x14ac:dyDescent="0.35">
      <c r="A23" s="18" t="s">
        <v>37</v>
      </c>
      <c r="B23" s="3">
        <v>-1.4500000000000001E-2</v>
      </c>
    </row>
    <row r="24" spans="1:2" x14ac:dyDescent="0.35">
      <c r="A24" s="9" t="s">
        <v>14</v>
      </c>
      <c r="B24" s="3"/>
    </row>
    <row r="25" spans="1:2" x14ac:dyDescent="0.35">
      <c r="A25" s="10" t="s">
        <v>22</v>
      </c>
      <c r="B25" s="3"/>
    </row>
    <row r="26" spans="1:2" x14ac:dyDescent="0.35">
      <c r="A26" s="18" t="s">
        <v>28</v>
      </c>
      <c r="B26" s="3">
        <v>-1.49E-2</v>
      </c>
    </row>
    <row r="27" spans="1:2" x14ac:dyDescent="0.35">
      <c r="A27" s="18" t="s">
        <v>29</v>
      </c>
      <c r="B27" s="3">
        <v>-1.52E-2</v>
      </c>
    </row>
    <row r="28" spans="1:2" x14ac:dyDescent="0.35">
      <c r="A28" s="18" t="s">
        <v>30</v>
      </c>
      <c r="B28" s="3">
        <v>-1.5599999999999999E-2</v>
      </c>
    </row>
    <row r="29" spans="1:2" x14ac:dyDescent="0.35">
      <c r="A29" s="10" t="s">
        <v>23</v>
      </c>
      <c r="B29" s="3"/>
    </row>
    <row r="30" spans="1:2" x14ac:dyDescent="0.35">
      <c r="A30" s="18" t="s">
        <v>31</v>
      </c>
      <c r="B30" s="3"/>
    </row>
    <row r="31" spans="1:2" x14ac:dyDescent="0.35">
      <c r="A31" s="18" t="s">
        <v>1</v>
      </c>
      <c r="B31" s="3"/>
    </row>
    <row r="32" spans="1:2" x14ac:dyDescent="0.35">
      <c r="A32" s="18" t="s">
        <v>32</v>
      </c>
      <c r="B32" s="3"/>
    </row>
    <row r="33" spans="1:2" x14ac:dyDescent="0.35">
      <c r="A33" s="10" t="s">
        <v>24</v>
      </c>
      <c r="B33" s="3"/>
    </row>
    <row r="34" spans="1:2" x14ac:dyDescent="0.35">
      <c r="A34" s="18" t="s">
        <v>33</v>
      </c>
      <c r="B34" s="3"/>
    </row>
    <row r="35" spans="1:2" x14ac:dyDescent="0.35">
      <c r="A35" s="18" t="s">
        <v>34</v>
      </c>
      <c r="B35" s="3"/>
    </row>
    <row r="36" spans="1:2" x14ac:dyDescent="0.35">
      <c r="A36" s="18" t="s">
        <v>35</v>
      </c>
      <c r="B36" s="3"/>
    </row>
    <row r="37" spans="1:2" x14ac:dyDescent="0.35">
      <c r="A37" s="10" t="s">
        <v>25</v>
      </c>
      <c r="B37" s="3"/>
    </row>
    <row r="38" spans="1:2" x14ac:dyDescent="0.35">
      <c r="A38" s="18" t="s">
        <v>26</v>
      </c>
      <c r="B38" s="3"/>
    </row>
    <row r="39" spans="1:2" x14ac:dyDescent="0.35">
      <c r="A39" s="18" t="s">
        <v>27</v>
      </c>
      <c r="B39" s="3"/>
    </row>
    <row r="40" spans="1:2" x14ac:dyDescent="0.35">
      <c r="A40" s="18" t="s">
        <v>37</v>
      </c>
      <c r="B40" s="3"/>
    </row>
    <row r="41" spans="1:2" x14ac:dyDescent="0.35">
      <c r="A41" s="9" t="s">
        <v>11</v>
      </c>
      <c r="B41" s="3">
        <v>-0.11650000000000001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DE5F-5115-44DB-86AA-3CE016049DD5}">
  <dimension ref="A1:I28"/>
  <sheetViews>
    <sheetView zoomScale="80" zoomScaleNormal="80" workbookViewId="0">
      <selection activeCell="K7" sqref="K7"/>
    </sheetView>
  </sheetViews>
  <sheetFormatPr defaultRowHeight="14.5" x14ac:dyDescent="0.35"/>
  <cols>
    <col min="1" max="1" width="16" style="8" customWidth="1"/>
    <col min="2" max="2" width="11" customWidth="1"/>
    <col min="3" max="3" width="9.26953125" customWidth="1"/>
    <col min="4" max="4" width="8.90625" customWidth="1"/>
    <col min="5" max="5" width="10.54296875" customWidth="1"/>
    <col min="6" max="6" width="9.81640625" customWidth="1"/>
    <col min="7" max="7" width="12.6328125" customWidth="1"/>
    <col min="8" max="8" width="12.36328125" customWidth="1"/>
    <col min="9" max="9" width="21.26953125" customWidth="1"/>
    <col min="10" max="10" width="15.7265625" customWidth="1"/>
  </cols>
  <sheetData>
    <row r="1" spans="1:9" ht="62.5" customHeight="1" x14ac:dyDescent="0.35">
      <c r="A1" s="11" t="s">
        <v>0</v>
      </c>
      <c r="B1" s="11" t="s">
        <v>3</v>
      </c>
      <c r="C1" s="11" t="s">
        <v>4</v>
      </c>
      <c r="D1" s="11" t="s">
        <v>2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</row>
    <row r="2" spans="1:9" ht="19.5" customHeight="1" x14ac:dyDescent="0.35">
      <c r="A2" s="12">
        <v>45566</v>
      </c>
      <c r="B2" s="5"/>
      <c r="C2" s="1"/>
      <c r="D2" s="5"/>
      <c r="E2" s="1"/>
      <c r="F2" s="1"/>
      <c r="G2" s="1"/>
      <c r="H2" s="1"/>
      <c r="I2" s="4"/>
    </row>
    <row r="3" spans="1:9" ht="29" customHeight="1" x14ac:dyDescent="0.35">
      <c r="A3" s="12">
        <v>45597</v>
      </c>
      <c r="B3" s="5"/>
      <c r="C3" s="1"/>
      <c r="D3" s="5"/>
      <c r="E3" s="1"/>
      <c r="F3" s="1"/>
      <c r="G3" s="1"/>
      <c r="H3" s="1"/>
      <c r="I3" s="4"/>
    </row>
    <row r="4" spans="1:9" ht="29.5" customHeight="1" x14ac:dyDescent="0.35">
      <c r="A4" s="12">
        <v>45627</v>
      </c>
      <c r="B4" s="5"/>
      <c r="C4" s="1"/>
      <c r="D4" s="5"/>
      <c r="E4" s="1"/>
      <c r="F4" s="1"/>
      <c r="G4" s="1"/>
      <c r="H4" s="1"/>
      <c r="I4" s="4"/>
    </row>
    <row r="5" spans="1:9" x14ac:dyDescent="0.35">
      <c r="A5" s="12">
        <v>45658</v>
      </c>
      <c r="B5" s="5">
        <v>0.86</v>
      </c>
      <c r="C5" s="2">
        <v>0.752</v>
      </c>
      <c r="D5" s="5">
        <v>0.16739999999999999</v>
      </c>
      <c r="E5" s="1"/>
      <c r="F5" s="1"/>
      <c r="G5" s="1"/>
      <c r="H5" s="1"/>
      <c r="I5" s="4">
        <v>1.2800000000000001E-2</v>
      </c>
    </row>
    <row r="6" spans="1:9" x14ac:dyDescent="0.35">
      <c r="A6" s="12">
        <v>45689</v>
      </c>
      <c r="B6" s="5">
        <v>0.76</v>
      </c>
      <c r="C6" s="2">
        <v>0.84530000000000005</v>
      </c>
      <c r="D6" s="5">
        <v>0.18579999999999999</v>
      </c>
      <c r="E6" s="1"/>
      <c r="F6" s="1"/>
      <c r="G6" s="1"/>
      <c r="H6" s="1"/>
      <c r="I6" s="6">
        <v>-2.8E-3</v>
      </c>
    </row>
    <row r="7" spans="1:9" x14ac:dyDescent="0.35">
      <c r="A7" s="12">
        <v>45717</v>
      </c>
      <c r="B7" s="5">
        <v>0.73</v>
      </c>
      <c r="C7" s="2">
        <v>0.81640000000000001</v>
      </c>
      <c r="D7" s="5">
        <v>0.24129999999999999</v>
      </c>
      <c r="E7" s="1"/>
      <c r="F7" s="1"/>
      <c r="G7" s="1"/>
      <c r="H7" s="1"/>
      <c r="I7" s="6">
        <v>-4.4000000000000003E-3</v>
      </c>
    </row>
    <row r="8" spans="1:9" x14ac:dyDescent="0.35">
      <c r="A8" s="12">
        <v>45748</v>
      </c>
      <c r="B8" s="5">
        <v>0.81</v>
      </c>
      <c r="C8" s="2">
        <v>0.81140000000000001</v>
      </c>
      <c r="D8" s="5">
        <v>0.2394</v>
      </c>
      <c r="E8" s="1"/>
      <c r="F8" s="1"/>
      <c r="G8" s="1"/>
      <c r="H8" s="1"/>
      <c r="I8" s="6">
        <v>-5.0000000000000001E-4</v>
      </c>
    </row>
    <row r="9" spans="1:9" x14ac:dyDescent="0.35">
      <c r="A9" s="12">
        <v>45778</v>
      </c>
      <c r="B9" s="5">
        <v>0.81</v>
      </c>
      <c r="C9" s="2">
        <v>0.87709999999999999</v>
      </c>
      <c r="D9" s="5">
        <v>0.22559999999999999</v>
      </c>
      <c r="E9" s="1"/>
      <c r="F9" s="1"/>
      <c r="G9" s="1"/>
      <c r="H9" s="1"/>
      <c r="I9" s="6">
        <v>-4.0000000000000002E-4</v>
      </c>
    </row>
    <row r="10" spans="1:9" x14ac:dyDescent="0.35">
      <c r="A10" s="12">
        <v>45809</v>
      </c>
      <c r="B10" s="5">
        <v>0.82</v>
      </c>
      <c r="C10" s="2">
        <v>0.87709999999999999</v>
      </c>
      <c r="D10" s="5">
        <v>0.20019999999999999</v>
      </c>
      <c r="E10" s="1"/>
      <c r="F10" s="1"/>
      <c r="G10" s="1"/>
      <c r="H10" s="1"/>
      <c r="I10" s="6">
        <v>-3.8399999999999997E-2</v>
      </c>
    </row>
    <row r="11" spans="1:9" x14ac:dyDescent="0.35">
      <c r="A11" s="12">
        <v>45839</v>
      </c>
      <c r="B11" s="5">
        <v>0.73</v>
      </c>
      <c r="C11" s="2">
        <v>0.93610000000000004</v>
      </c>
      <c r="D11" s="5">
        <v>0.14580000000000001</v>
      </c>
      <c r="E11" s="1"/>
      <c r="F11" s="1"/>
      <c r="G11" s="1"/>
      <c r="H11" s="1"/>
      <c r="I11" s="4">
        <v>2.3E-3</v>
      </c>
    </row>
    <row r="12" spans="1:9" x14ac:dyDescent="0.35">
      <c r="A12" s="12">
        <v>45870</v>
      </c>
      <c r="B12" s="5">
        <v>0.83</v>
      </c>
      <c r="C12" s="2">
        <v>0.79259999999999997</v>
      </c>
      <c r="D12" s="5">
        <v>0.16739999999999999</v>
      </c>
      <c r="E12" s="1"/>
      <c r="F12" s="1"/>
      <c r="G12" s="1"/>
      <c r="H12" s="1"/>
      <c r="I12" s="4">
        <v>2.5000000000000001E-3</v>
      </c>
    </row>
    <row r="13" spans="1:9" x14ac:dyDescent="0.35">
      <c r="A13" s="12">
        <v>45901</v>
      </c>
      <c r="B13" s="5">
        <v>0.82</v>
      </c>
      <c r="C13" s="2">
        <v>0.79</v>
      </c>
      <c r="D13" s="5">
        <v>0.1852</v>
      </c>
      <c r="E13" s="2">
        <v>-0.15670000000000001</v>
      </c>
      <c r="F13" s="2">
        <v>-8.9999999999999998E-4</v>
      </c>
      <c r="G13" s="2">
        <v>8.8999999999999999E-3</v>
      </c>
      <c r="H13" s="2">
        <v>-1.11E-2</v>
      </c>
      <c r="I13" s="6">
        <v>-2.3999999999999998E-3</v>
      </c>
    </row>
    <row r="14" spans="1:9" x14ac:dyDescent="0.35">
      <c r="A14" s="12">
        <v>45931</v>
      </c>
      <c r="B14" s="5">
        <v>0.82499999999999996</v>
      </c>
      <c r="C14" s="2">
        <v>0.80210000000000004</v>
      </c>
      <c r="D14" s="5">
        <v>0.18640000000000001</v>
      </c>
      <c r="E14" s="2">
        <v>-0.15670000000000001</v>
      </c>
      <c r="F14" s="2">
        <v>3.8999999999999998E-3</v>
      </c>
      <c r="G14" s="2">
        <v>-2.9999999999999997E-4</v>
      </c>
      <c r="H14" s="2">
        <v>-1.06E-2</v>
      </c>
      <c r="I14" s="6">
        <v>-1.09E-2</v>
      </c>
    </row>
    <row r="15" spans="1:9" x14ac:dyDescent="0.35">
      <c r="A15" s="12">
        <v>45962</v>
      </c>
      <c r="B15" s="5">
        <v>0.84199999999999997</v>
      </c>
      <c r="C15" s="2">
        <v>0.81069999999999998</v>
      </c>
      <c r="D15" s="5">
        <v>0.18099999999999999</v>
      </c>
      <c r="E15" s="2">
        <v>-0.25929999999999997</v>
      </c>
      <c r="F15" s="2">
        <v>0</v>
      </c>
      <c r="G15" s="2">
        <v>-3.3999999999999998E-3</v>
      </c>
      <c r="H15" s="2">
        <v>-1.0500000000000001E-2</v>
      </c>
      <c r="I15" s="6">
        <v>-1.41E-2</v>
      </c>
    </row>
    <row r="16" spans="1:9" x14ac:dyDescent="0.35">
      <c r="A16" s="12">
        <v>45992</v>
      </c>
      <c r="B16" s="5">
        <v>0.86199999999999999</v>
      </c>
      <c r="C16" s="2">
        <v>0.8085</v>
      </c>
      <c r="D16" s="5">
        <v>0.1835</v>
      </c>
      <c r="E16" s="2">
        <v>-0.1396571502</v>
      </c>
      <c r="F16" s="2">
        <v>-1.010358636E-2</v>
      </c>
      <c r="G16" s="2">
        <v>-3.9800000000000002E-2</v>
      </c>
      <c r="H16" s="2">
        <v>-1.0339291340000001E-2</v>
      </c>
      <c r="I16" s="6">
        <v>-1.4500000000000001E-2</v>
      </c>
    </row>
    <row r="17" spans="1:9" x14ac:dyDescent="0.35">
      <c r="A17" s="12">
        <v>46023</v>
      </c>
      <c r="B17" s="5">
        <v>0.86</v>
      </c>
      <c r="C17" s="2">
        <v>0.83740000000000003</v>
      </c>
      <c r="D17" s="5">
        <v>0.19420000000000001</v>
      </c>
      <c r="E17" s="2">
        <v>-0.1191</v>
      </c>
      <c r="F17" s="2">
        <v>-1.23E-2</v>
      </c>
      <c r="G17" s="2">
        <v>-4.3E-3</v>
      </c>
      <c r="H17" s="2">
        <v>-1.0699999999999999E-2</v>
      </c>
      <c r="I17" s="7">
        <v>-1.49E-2</v>
      </c>
    </row>
    <row r="18" spans="1:9" x14ac:dyDescent="0.35">
      <c r="A18" s="12">
        <v>46054</v>
      </c>
      <c r="B18" s="5">
        <v>0.76</v>
      </c>
      <c r="C18" s="2">
        <v>0.7802</v>
      </c>
      <c r="D18" s="5">
        <v>0.18870000000000001</v>
      </c>
      <c r="E18" s="2">
        <v>-0.14019999999999999</v>
      </c>
      <c r="F18" s="2">
        <v>-9.4999999999999998E-3</v>
      </c>
      <c r="G18" s="2">
        <v>-5.4000000000000003E-3</v>
      </c>
      <c r="H18" s="2">
        <v>-3.5999999999999999E-3</v>
      </c>
      <c r="I18" s="7">
        <v>-1.52E-2</v>
      </c>
    </row>
    <row r="19" spans="1:9" x14ac:dyDescent="0.35">
      <c r="A19" s="12">
        <v>46082</v>
      </c>
      <c r="B19" s="5">
        <v>0.73</v>
      </c>
      <c r="C19" s="2">
        <v>0.8982</v>
      </c>
      <c r="D19" s="5">
        <v>0.22689999999999999</v>
      </c>
      <c r="E19" s="2">
        <v>-0.17480000000000001</v>
      </c>
      <c r="F19" s="2">
        <v>-4.8999999999999998E-3</v>
      </c>
      <c r="G19" s="2">
        <v>-4.7999999999999996E-3</v>
      </c>
      <c r="H19" s="2">
        <v>-1.0500000000000001E-2</v>
      </c>
      <c r="I19" s="7">
        <v>-1.5599999999999999E-2</v>
      </c>
    </row>
    <row r="20" spans="1:9" x14ac:dyDescent="0.35">
      <c r="A20" s="12">
        <v>46113</v>
      </c>
      <c r="B20" s="5">
        <v>0.81</v>
      </c>
      <c r="C20" s="1"/>
      <c r="D20" s="1"/>
      <c r="E20" s="1"/>
      <c r="F20" s="1"/>
      <c r="G20" s="1"/>
      <c r="H20" s="1"/>
      <c r="I20" s="1"/>
    </row>
    <row r="21" spans="1:9" x14ac:dyDescent="0.35">
      <c r="A21" s="12">
        <v>46143</v>
      </c>
      <c r="B21" s="5">
        <v>0.81</v>
      </c>
      <c r="C21" s="1"/>
      <c r="D21" s="1"/>
      <c r="E21" s="1"/>
      <c r="F21" s="1"/>
      <c r="G21" s="1"/>
      <c r="H21" s="1"/>
      <c r="I21" s="1"/>
    </row>
    <row r="22" spans="1:9" x14ac:dyDescent="0.35">
      <c r="A22" s="12">
        <v>46174</v>
      </c>
      <c r="B22" s="5">
        <v>0.82</v>
      </c>
      <c r="C22" s="1"/>
      <c r="D22" s="1"/>
      <c r="E22" s="1"/>
      <c r="F22" s="1"/>
      <c r="G22" s="1"/>
      <c r="H22" s="1"/>
      <c r="I22" s="1"/>
    </row>
    <row r="23" spans="1:9" x14ac:dyDescent="0.35">
      <c r="A23" s="12">
        <v>46204</v>
      </c>
      <c r="B23" s="5">
        <v>0.73</v>
      </c>
      <c r="C23" s="1"/>
      <c r="D23" s="1"/>
      <c r="E23" s="1"/>
      <c r="F23" s="1"/>
      <c r="G23" s="1"/>
      <c r="H23" s="1"/>
      <c r="I23" s="1"/>
    </row>
    <row r="24" spans="1:9" x14ac:dyDescent="0.35">
      <c r="A24" s="12">
        <v>46235</v>
      </c>
      <c r="B24" s="5">
        <v>0.83</v>
      </c>
      <c r="C24" s="1"/>
      <c r="D24" s="1"/>
      <c r="E24" s="1"/>
      <c r="F24" s="1"/>
      <c r="G24" s="1"/>
      <c r="H24" s="1"/>
      <c r="I24" s="1"/>
    </row>
    <row r="25" spans="1:9" x14ac:dyDescent="0.35">
      <c r="A25" s="12">
        <v>46266</v>
      </c>
      <c r="B25" s="5">
        <v>0.82</v>
      </c>
      <c r="C25" s="1"/>
      <c r="D25" s="1"/>
      <c r="E25" s="1"/>
      <c r="F25" s="1"/>
      <c r="G25" s="1"/>
      <c r="H25" s="1"/>
      <c r="I25" s="1"/>
    </row>
    <row r="26" spans="1:9" x14ac:dyDescent="0.35">
      <c r="A26" s="12">
        <v>46296</v>
      </c>
      <c r="B26" s="5">
        <v>0.82499999999999996</v>
      </c>
      <c r="C26" s="1"/>
      <c r="D26" s="1"/>
      <c r="E26" s="1"/>
      <c r="F26" s="1"/>
      <c r="G26" s="1"/>
      <c r="H26" s="1"/>
      <c r="I26" s="1"/>
    </row>
    <row r="27" spans="1:9" x14ac:dyDescent="0.35">
      <c r="A27" s="12">
        <v>46327</v>
      </c>
      <c r="B27" s="5">
        <v>0.84199999999999997</v>
      </c>
      <c r="C27" s="1"/>
      <c r="D27" s="1"/>
      <c r="E27" s="1"/>
      <c r="F27" s="1"/>
      <c r="G27" s="1"/>
      <c r="H27" s="1"/>
      <c r="I27" s="1"/>
    </row>
    <row r="28" spans="1:9" x14ac:dyDescent="0.35">
      <c r="A28" s="12">
        <v>46357</v>
      </c>
      <c r="B28" s="5">
        <v>0.86199999999999999</v>
      </c>
      <c r="C28" s="1"/>
      <c r="D28" s="1"/>
      <c r="E28" s="1"/>
      <c r="F28" s="1"/>
      <c r="G28" s="1"/>
      <c r="H28" s="1"/>
      <c r="I28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9DC7-4DB6-4569-81E6-06EE880D6C00}">
  <dimension ref="A1"/>
  <sheetViews>
    <sheetView tabSelected="1" zoomScale="30" zoomScaleNormal="30" workbookViewId="0">
      <selection activeCell="BN66" sqref="BN66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Chart of PR &amp; CUF</vt:lpstr>
      <vt:lpstr>Pivot chart DC Loss%</vt:lpstr>
      <vt:lpstr>Pivot chart Inv. Loss%</vt:lpstr>
      <vt:lpstr>Pivot chart Plant AC Loss%</vt:lpstr>
      <vt:lpstr>Pivot chart T.L. Line Loss%</vt:lpstr>
      <vt:lpstr>Pivot chart Inv. to Grid Loss%</vt:lpstr>
      <vt:lpstr>PR, CUF, Losses Table content</vt:lpstr>
      <vt:lpstr>Pivot Chart for all 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Kumar</dc:creator>
  <cp:lastModifiedBy>Pratik Kumar</cp:lastModifiedBy>
  <dcterms:created xsi:type="dcterms:W3CDTF">2026-04-08T10:59:48Z</dcterms:created>
  <dcterms:modified xsi:type="dcterms:W3CDTF">2026-04-09T12:36:14Z</dcterms:modified>
</cp:coreProperties>
</file>